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49971FF4-FFD1-4C26-A0F7-6BF9542E9547}" xr6:coauthVersionLast="47" xr6:coauthVersionMax="47" xr10:uidLastSave="{00000000-0000-0000-0000-000000000000}"/>
  <bookViews>
    <workbookView xWindow="285" yWindow="60" windowWidth="28185" windowHeight="1554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O47" i="1" s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45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<sst xmlns="http://schemas.openxmlformats.org/spreadsheetml/2006/main" count="1771" uniqueCount="763">
  <si>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</si>
  <si>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</si>
  <si>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</si>
  <si>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</si>
  <si>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</si>
  <si>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</si>
  <si>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</si>
  <si>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</si>
  <si>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</si>
  <si>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</si>
  <si>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</si>
  <si>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</si>
  <si>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</si>
  <si>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</si>
  <si>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</si>
  <si>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</si>
  <si>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</si>
  <si>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</si>
  <si>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</si>
  <si>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</si>
  <si>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</si>
  <si>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</si>
  <si>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</si>
  <si>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</si>
  <si>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</si>
  <si>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</si>
  <si>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</si>
  <si>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</si>
  <si>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</si>
  <si>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</si>
  <si>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</si>
  <si>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</si>
  <si>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</si>
  <si>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</si>
  <si>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</si>
  <si>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</si>
  <si>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</si>
  <si>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</si>
  <si>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</si>
  <si>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</si>
  <si>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</si>
  <si>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</si>
  <si>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</si>
  <si>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</si>
  <si>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</si>
  <si>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</si>
  <si>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</si>
  <si>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</si>
  <si>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</si>
  <si>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</si>
  <si>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</si>
  <si>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</si>
  <si>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</si>
  <si>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</si>
  <si>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</si>
  <si>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</si>
  <si>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</si>
  <si>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</si>
  <si>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</si>
  <si>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</si>
  <si>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</si>
  <si>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</si>
  <si>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</si>
  <si>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</si>
  <si>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</si>
  <si>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</si>
  <si>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</si>
  <si>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</si>
  <si>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</si>
  <si>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</si>
  <si>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</si>
  <si>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</si>
  <si>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</si>
  <si>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</si>
  <si>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</si>
  <si>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</si>
  <si>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</si>
  <si>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</si>
  <si>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</si>
  <si>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</si>
  <si>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</si>
  <si>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</si>
  <si>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</si>
  <si>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</si>
  <si>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</si>
  <si>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</si>
  <si>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</si>
  <si>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</si>
  <si>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</si>
  <si>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</si>
  <si>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</si>
  <si>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</si>
  <si>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</si>
  <si>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</si>
  <si>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</si>
  <si>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</si>
  <si>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</si>
  <si>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</si>
  <si>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</si>
  <si>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</si>
  <si>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</si>
  <si>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</si>
  <si>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</si>
  <si>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</si>
  <si>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</si>
  <si>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</si>
  <si>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</si>
  <si>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</si>
  <si>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</si>
  <si>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</si>
  <si>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</si>
  <si>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</si>
  <si>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</si>
  <si>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</si>
  <si>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</si>
  <si>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</si>
  <si>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</si>
  <si>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</si>
  <si>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</si>
  <si>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</si>
  <si>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</si>
  <si>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</si>
  <si>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</si>
  <si>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</si>
  <si>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</si>
  <si>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</si>
  <si>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</si>
  <si>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</si>
  <si>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</si>
  <si>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</si>
  <si>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</si>
  <si>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</si>
  <si>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</si>
  <si>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</si>
  <si>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</si>
  <si>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</si>
  <si>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</si>
  <si>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</si>
  <si>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</si>
  <si>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</si>
  <si>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</si>
  <si>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</si>
  <si>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</si>
  <si>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</si>
  <si>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</si>
  <si>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</si>
  <si>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</si>
  <si>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</si>
  <si>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</si>
  <si>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</si>
  <si>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</si>
  <si>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</si>
  <si>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</si>
  <si>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</si>
  <si>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</si>
  <si>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</si>
  <si>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</si>
  <si>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</si>
  <si>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</si>
  <si>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</si>
  <si>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</si>
  <si>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</si>
  <si>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</si>
  <si>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</si>
  <si>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</si>
  <si>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</si>
  <si>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</si>
  <si>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</si>
  <si>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</si>
  <si>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</si>
  <si>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</si>
  <si>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</si>
  <si>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</si>
  <si>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</si>
  <si>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</si>
  <si>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</si>
  <si>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</si>
  <si>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</si>
  <si>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</si>
  <si>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</si>
  <si>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</si>
  <si>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</si>
  <si>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</si>
  <si>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</si>
  <si>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</si>
  <si>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</si>
  <si>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</si>
  <si>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</si>
  <si>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</si>
  <si>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</si>
  <si>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</si>
  <si>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</si>
  <si>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</si>
  <si>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</si>
  <si>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</si>
  <si>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</si>
  <si>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</si>
  <si>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</si>
  <si>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</si>
  <si>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</si>
  <si>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</si>
  <si>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</si>
  <si>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</si>
  <si>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</si>
  <si>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</si>
  <si>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</si>
  <si>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</si>
  <si>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</si>
  <si>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</si>
  <si>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</si>
  <si>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</si>
  <si>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</si>
  <si>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</si>
  <si>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</si>
  <si>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</si>
  <si>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</si>
  <si>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</si>
  <si>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</si>
  <si>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</si>
  <si>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</si>
  <si>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</si>
  <si>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</si>
  <si>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</si>
  <si>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</si>
  <si>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</si>
  <si>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</si>
  <si>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</si>
  <si>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</si>
  <si>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</si>
  <si>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</si>
  <si>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</si>
  <si>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</si>
  <si>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</si>
  <si>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</si>
  <si>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</si>
  <si>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</si>
  <si>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</si>
  <si>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</si>
  <si>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</si>
  <si>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</si>
  <si>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</si>
  <si>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</si>
  <si>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</si>
  <si>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</si>
  <si>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</si>
  <si>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</si>
  <si>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</si>
  <si>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</si>
  <si>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</si>
  <si>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</si>
  <si>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</si>
  <si>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</si>
  <si>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</si>
  <si>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</si>
  <si>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</si>
  <si>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</si>
  <si>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</si>
  <si>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</si>
  <si>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</si>
  <si>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</si>
  <si>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</si>
  <si>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</si>
  <si>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</si>
  <si>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</si>
  <si>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</si>
  <si>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</si>
  <si>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</si>
  <si>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</si>
  <si>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</si>
  <si>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</si>
  <si>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</si>
  <si>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</si>
  <si>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</si>
  <si>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</si>
  <si>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</si>
  <si>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</si>
  <si>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</si>
  <si>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</si>
  <si>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</si>
  <si>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</si>
  <si>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</si>
  <si>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</si>
  <si>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</si>
  <si>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</si>
  <si>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</si>
  <si>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</si>
  <si>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</si>
  <si>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</si>
  <si>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</si>
  <si>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</si>
  <si>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</si>
  <si>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</si>
  <si>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</si>
  <si>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</si>
  <si>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</si>
  <si>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</si>
  <si>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</si>
  <si>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</si>
  <si>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</si>
  <si>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</si>
  <si>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</si>
  <si>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</si>
  <si>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</si>
  <si>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</si>
  <si>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</si>
  <si>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</si>
  <si>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</si>
  <si>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</si>
  <si>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</si>
  <si>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</si>
  <si>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</si>
  <si>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</si>
  <si>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</si>
  <si>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</si>
  <si>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</si>
  <si>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</si>
  <si>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</si>
  <si>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</si>
  <si>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</si>
  <si>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</si>
  <si>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</si>
  <si>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</si>
  <si>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</si>
  <si>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</si>
  <si>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</si>
  <si>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</si>
  <si>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</si>
  <si>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</si>
  <si>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</si>
  <si>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</si>
  <si>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</si>
  <si>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</si>
  <si>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</si>
  <si>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</si>
  <si>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</si>
  <si>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</si>
  <si>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</si>
  <si>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</si>
  <si>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</si>
  <si>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</si>
  <si>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</si>
  <si>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</si>
  <si>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</si>
  <si>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</si>
  <si>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</si>
  <si>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</si>
  <si>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</si>
  <si>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</si>
  <si>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</si>
  <si>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</si>
  <si>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</si>
  <si>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</si>
  <si>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</si>
  <si>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</si>
  <si>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</si>
  <si>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</si>
  <si>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</si>
  <si>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</si>
  <si>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</si>
  <si>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</si>
  <si>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</si>
  <si>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</si>
  <si>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</si>
  <si>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</si>
  <si>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</si>
  <si>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</si>
  <si>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</si>
  <si>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</si>
  <si>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</si>
  <si>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</si>
  <si>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</si>
  <si>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</si>
  <si>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</si>
  <si>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</si>
  <si>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</si>
  <si>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</si>
  <si>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</si>
  <si>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</si>
  <si>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</si>
  <si>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</si>
  <si>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</si>
  <si>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</si>
  <si>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</si>
  <si>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</si>
  <si>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</si>
  <si>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</si>
  <si>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</si>
  <si>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</si>
  <si>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</si>
  <si>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</si>
  <si>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</si>
  <si>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</si>
  <si>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</si>
  <si>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</si>
  <si>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</si>
  <si>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</si>
  <si>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</si>
  <si>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</si>
  <si>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</si>
  <si>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</si>
  <si>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</si>
  <si>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</si>
  <si>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</si>
  <si>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</si>
  <si>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</si>
  <si>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</si>
  <si>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</si>
  <si>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</si>
  <si>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</si>
  <si>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</si>
  <si>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</si>
  <si>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</si>
  <si>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</si>
  <si>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</si>
  <si>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</si>
  <si>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</si>
  <si>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</si>
  <si>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</si>
  <si>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</si>
  <si>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</si>
  <si>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</si>
  <si>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</si>
  <si>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</si>
  <si>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</si>
  <si>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</si>
  <si>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</si>
  <si>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</si>
  <si>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</si>
  <si>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</si>
  <si>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</si>
  <si>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</si>
  <si>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</si>
  <si>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</si>
  <si>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</si>
  <si>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</si>
  <si>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</si>
  <si>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</si>
  <si>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</si>
  <si>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</si>
  <si>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</si>
  <si>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</si>
  <si>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</si>
  <si>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</si>
  <si>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</si>
  <si>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</si>
  <si>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</si>
  <si>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</si>
  <si>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</si>
  <si>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</si>
  <si>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</si>
  <si>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</si>
  <si>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</si>
  <si>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</si>
  <si>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</si>
  <si>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</si>
  <si>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</si>
  <si>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</si>
  <si>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</si>
  <si>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</si>
  <si>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</si>
  <si>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</si>
  <si>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</si>
  <si>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</si>
  <si>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</si>
  <si>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</si>
  <si>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</si>
  <si>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</si>
  <si>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</si>
  <si>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</si>
  <si>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</si>
  <si>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</si>
  <si>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</si>
  <si>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</si>
  <si>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</si>
  <si>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</si>
  <si>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</si>
  <si>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</si>
  <si>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</si>
  <si>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</si>
  <si>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</si>
  <si>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</si>
  <si>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</si>
  <si>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</si>
  <si>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</si>
  <si>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</si>
  <si>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</si>
  <si>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</si>
  <si>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</si>
  <si>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</si>
  <si>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</si>
  <si>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</si>
  <si>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</si>
  <si>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</si>
  <si>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</si>
  <si>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</si>
  <si>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</si>
  <si>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</si>
  <si>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</si>
  <si>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</si>
  <si>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</si>
  <si>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</si>
  <si>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</si>
  <si>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</si>
  <si>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</si>
  <si>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</si>
  <si>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</si>
  <si>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</si>
  <si>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</si>
  <si>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</si>
  <si>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</si>
  <si>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</si>
  <si>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</si>
  <si>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</si>
  <si>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</si>
  <si>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</si>
  <si>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</si>
  <si>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</si>
  <si>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</si>
  <si>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</si>
  <si>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</si>
  <si>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</si>
  <si>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</si>
  <si>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</si>
  <si>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</si>
  <si>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</si>
  <si>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</si>
  <si>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</si>
  <si>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</si>
  <si>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</si>
  <si>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</si>
  <si>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</si>
  <si>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</si>
  <si>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</si>
  <si>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</si>
  <si>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</si>
  <si>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</si>
  <si>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</si>
  <si>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</si>
  <si>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</si>
  <si>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</si>
  <si>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</si>
  <si>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</si>
  <si>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</si>
  <si>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</si>
  <si>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</si>
  <si>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</si>
  <si>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</si>
  <si>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</si>
  <si>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</si>
  <si>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</si>
  <si>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</si>
  <si>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</si>
  <si>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</si>
  <si>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</si>
  <si>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</si>
  <si>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</si>
  <si>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</si>
  <si>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</si>
  <si>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</si>
  <si>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</si>
  <si>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</si>
  <si>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</si>
  <si>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</si>
  <si>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</si>
  <si>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</si>
  <si>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</si>
  <si>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</si>
  <si>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</si>
  <si>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</si>
  <si>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</si>
  <si>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</si>
  <si>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</si>
  <si>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</si>
  <si>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</si>
  <si>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</si>
  <si>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</si>
  <si>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</si>
  <si>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</si>
  <si>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</si>
  <si>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</si>
  <si>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</si>
  <si>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</si>
  <si>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</si>
  <si>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</si>
  <si>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</si>
  <si>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</si>
  <si>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</si>
  <si>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</si>
  <si>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</si>
  <si>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</si>
  <si>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</si>
  <si>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</si>
  <si>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</si>
  <si>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</si>
  <si>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</si>
  <si>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</si>
  <si>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</si>
  <si>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</si>
  <si>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</si>
  <si>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</si>
  <si>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</si>
  <si>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</si>
  <si>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</si>
  <si>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</si>
  <si>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</si>
  <si>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</si>
  <si>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</si>
  <si>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</si>
  <si>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</si>
  <si>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</si>
  <si>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</si>
  <si>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</si>
  <si>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</si>
  <si>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</si>
  <si>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</si>
  <si>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</si>
  <si>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</si>
  <si>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</si>
  <si>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</si>
  <si>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</si>
  <si>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</si>
  <si>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</si>
  <si>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</si>
  <si>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</si>
  <si>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</si>
  <si>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</si>
  <si>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</si>
  <si>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</si>
  <si>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</si>
  <si>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</si>
  <si>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</si>
  <si>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</si>
  <si>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</si>
  <si>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</si>
  <si>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</si>
  <si>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</si>
  <si>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</si>
  <si>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</si>
  <si>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</si>
  <si>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</si>
  <si>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</si>
  <si>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</si>
  <si>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</si>
  <si>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</si>
  <si>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</si>
  <si>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</si>
  <si>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</si>
  <si>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</si>
  <si>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</si>
  <si>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</si>
  <si>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</si>
  <si>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</si>
  <si>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</si>
  <si>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</si>
  <si>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</si>
  <si>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</si>
  <si>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</si>
  <si>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</si>
  <si>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</si>
  <si>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</si>
  <si>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</si>
  <si>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</si>
  <si>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</si>
  <si>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</si>
  <si>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</si>
  <si>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</si>
  <si>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</si>
  <si>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</si>
  <si>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</si>
  <si>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</si>
  <si>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</si>
  <si>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</si>
  <si>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</si>
  <si>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</si>
  <si>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</si>
  <si>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</si>
  <si>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</si>
  <si>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</si>
  <si>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</si>
  <si>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</si>
  <si>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</si>
  <si>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</si>
  <si>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</si>
  <si>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</si>
  <si>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</si>
  <si>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</si>
  <si>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</si>
  <si>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</si>
  <si>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</si>
  <si>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</si>
  <si>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</si>
  <si>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</si>
  <si>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</si>
  <si>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</si>
  <si>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</si>
  <si>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</si>
  <si>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</si>
  <si>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</si>
  <si>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</si>
  <si>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</si>
  <si>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</si>
  <si>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</si>
  <si>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</si>
  <si>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Roland Hall</t>
  </si>
  <si>
    <t>Yvonne Bowers</t>
  </si>
  <si>
    <t>Michael Rogers</t>
  </si>
  <si>
    <t>roland26h@yahoo.com</t>
  </si>
  <si>
    <t>cribbageclub100@gmail.com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</si>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</sst>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3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6" t="s">
        <v>609</v>
      </c>
      <c r="D1" s="127"/>
      <c r="E1" s="128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9" t="s">
        <v>702</v>
      </c>
      <c r="D3" s="130"/>
      <c r="E3" s="130"/>
      <c r="F3" s="130"/>
      <c r="G3" s="131"/>
    </row>
    <row r="4" spans="1:8" ht="15.75" thickBot="1" x14ac:dyDescent="0.3"/>
    <row r="5" spans="1:8" ht="16.5" thickBot="1" x14ac:dyDescent="0.3">
      <c r="A5" s="71" t="s">
        <v>610</v>
      </c>
      <c r="C5" s="129" t="s">
        <v>699</v>
      </c>
      <c r="D5" s="130"/>
      <c r="E5" s="130"/>
      <c r="F5" s="130"/>
      <c r="G5" s="131"/>
    </row>
    <row r="6" spans="1:8" ht="15.75" thickBot="1" x14ac:dyDescent="0.3">
      <c r="H6" s="72"/>
    </row>
    <row r="7" spans="1:8" ht="16.5" thickBot="1" x14ac:dyDescent="0.3">
      <c r="A7" s="71" t="s">
        <v>611</v>
      </c>
      <c r="C7" s="129" t="s">
        <v>700</v>
      </c>
      <c r="D7" s="130"/>
      <c r="E7" s="130"/>
      <c r="F7" s="130"/>
      <c r="G7" s="131"/>
    </row>
    <row r="8" spans="1:8" ht="15.75" thickBot="1" x14ac:dyDescent="0.3"/>
    <row r="9" spans="1:8" ht="16.5" thickBot="1" x14ac:dyDescent="0.3">
      <c r="A9" s="71" t="s">
        <v>421</v>
      </c>
      <c r="C9" s="111">
        <v>45402</v>
      </c>
    </row>
    <row r="10" spans="1:8" ht="15.75" thickBot="1" x14ac:dyDescent="0.3"/>
    <row r="11" spans="1:8" ht="16.5" thickBot="1" x14ac:dyDescent="0.3">
      <c r="A11" s="71" t="s">
        <v>612</v>
      </c>
      <c r="C11" s="124" t="s">
        <v>703</v>
      </c>
      <c r="D11" s="125"/>
      <c r="E11" s="124" t="s">
        <v>704</v>
      </c>
      <c r="F11" s="125"/>
      <c r="G11" s="124" t="s">
        <v>705</v>
      </c>
      <c r="H11" s="125"/>
    </row>
    <row r="12" spans="1:8" ht="16.5" thickBot="1" x14ac:dyDescent="0.3">
      <c r="A12" s="71"/>
      <c r="C12" s="110"/>
      <c r="D12" s="110"/>
      <c r="E12" s="52"/>
      <c r="F12" s="52"/>
      <c r="G12" s="52"/>
      <c r="H12" s="52"/>
    </row>
    <row r="13" spans="1:8" ht="16.5" thickBot="1" x14ac:dyDescent="0.3">
      <c r="A13" s="71" t="s">
        <v>428</v>
      </c>
      <c r="C13" s="124" t="s">
        <v>706</v>
      </c>
      <c r="D13" s="125"/>
      <c r="E13" s="124" t="s">
        <v>707</v>
      </c>
      <c r="F13" s="125"/>
      <c r="G13" s="124" t="s">
        <v>562</v>
      </c>
      <c r="H13" s="125"/>
    </row>
    <row r="14" spans="1:8" ht="16.5" thickBot="1" x14ac:dyDescent="0.3">
      <c r="A14" s="71"/>
      <c r="C14" s="110"/>
      <c r="D14" s="110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4" t="s">
        <v>708</v>
      </c>
      <c r="D15" s="125"/>
      <c r="E15" s="124"/>
      <c r="F15" s="125"/>
      <c r="G15" s="124"/>
      <c r="H15" s="125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5" t="s">
        <v>702</v>
      </c>
      <c r="C4" s="135"/>
      <c r="D4" s="135"/>
      <c r="E4" s="135"/>
      <c r="F4" s="135"/>
    </row>
    <row r="5" spans="1:7" x14ac:dyDescent="0.25">
      <c r="A5" s="4" t="s">
        <v>616</v>
      </c>
      <c r="B5" s="136" t="s">
        <v>699</v>
      </c>
      <c r="C5" s="136"/>
      <c r="D5" s="136"/>
      <c r="E5" s="136"/>
      <c r="F5" s="136"/>
    </row>
    <row r="6" spans="1:7" x14ac:dyDescent="0.25">
      <c r="A6" s="4" t="s">
        <v>617</v>
      </c>
      <c r="B6" s="136" t="s">
        <v>700</v>
      </c>
      <c r="C6" s="136"/>
      <c r="D6" s="136"/>
      <c r="E6" s="136"/>
      <c r="F6" s="136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7" t="s">
        <v>623</v>
      </c>
      <c r="D15" s="137"/>
      <c r="E15" s="137"/>
      <c r="F15" s="137"/>
    </row>
    <row r="16" spans="1:7" ht="16.5" thickBot="1" x14ac:dyDescent="0.3">
      <c r="A16" s="4" t="s">
        <v>624</v>
      </c>
      <c r="B16" s="4"/>
      <c r="C16" s="97">
        <v>1</v>
      </c>
      <c r="D16" s="97">
        <v>2</v>
      </c>
      <c r="E16" s="97">
        <v>3</v>
      </c>
      <c r="F16" s="97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8">
        <v>10</v>
      </c>
      <c r="D18" s="108">
        <v>10</v>
      </c>
      <c r="E18" s="108">
        <v>20</v>
      </c>
      <c r="F18" s="108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9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8" t="s">
        <v>609</v>
      </c>
      <c r="D2" s="139"/>
      <c r="E2" s="139"/>
      <c r="F2" s="139"/>
      <c r="G2" s="140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5" t="s">
        <v>702</v>
      </c>
      <c r="C4" s="135"/>
      <c r="D4" s="135"/>
      <c r="E4" s="135"/>
      <c r="F4" s="135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7" t="s">
        <v>636</v>
      </c>
      <c r="D15" s="137"/>
      <c r="E15" s="137"/>
      <c r="F15" s="137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5" t="s">
        <v>417</v>
      </c>
      <c r="I2" s="105"/>
      <c r="J2" s="16"/>
      <c r="K2" s="141" t="s">
        <v>702</v>
      </c>
      <c r="L2" s="141"/>
      <c r="M2" s="141"/>
      <c r="N2" s="141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5" t="s">
        <v>419</v>
      </c>
      <c r="I3" s="105"/>
      <c r="J3" s="16"/>
      <c r="K3" s="141" t="s">
        <v>699</v>
      </c>
      <c r="L3" s="141"/>
      <c r="M3" s="141"/>
      <c r="N3" s="141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5" t="s">
        <v>420</v>
      </c>
      <c r="I4" s="105"/>
      <c r="J4" s="16"/>
      <c r="K4" s="141" t="s">
        <v>700</v>
      </c>
      <c r="L4" s="141"/>
      <c r="M4" s="141"/>
      <c r="N4" s="141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5" t="s">
        <v>421</v>
      </c>
      <c r="I5" s="105"/>
      <c r="J5" s="16"/>
      <c r="K5" s="142">
        <v>45402</v>
      </c>
      <c r="L5" s="142"/>
      <c r="M5" s="106"/>
      <c r="N5" s="10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4">
        <f>COUNTIF(B12:B322,"&lt;&gt;" &amp; "")</f>
        <v>60</v>
      </c>
      <c r="C10" s="31"/>
      <c r="D10" s="31"/>
      <c r="E10" s="17"/>
      <c r="F10" s="17"/>
      <c r="G10" s="17"/>
      <c r="H10" s="104">
        <f>COUNTIF(H12:H411,"&lt;&gt;" &amp; "")</f>
        <v>50</v>
      </c>
      <c r="I10" s="104">
        <f t="shared" ref="I10:N10" si="0">COUNTIF(I12:I411,"&lt;&gt;" &amp; "")</f>
        <v>32</v>
      </c>
      <c r="J10" s="104">
        <f t="shared" si="0"/>
        <v>36</v>
      </c>
      <c r="K10" s="104">
        <f t="shared" si="0"/>
        <v>16</v>
      </c>
      <c r="L10" s="104">
        <f t="shared" si="0"/>
        <v>14</v>
      </c>
      <c r="M10" s="104">
        <f t="shared" si="0"/>
        <v>2</v>
      </c>
      <c r="N10" s="104">
        <f t="shared" si="0"/>
        <v>10</v>
      </c>
      <c r="O10" s="103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101" t="s">
        <v>696</v>
      </c>
      <c r="J11" s="102" t="s">
        <v>696</v>
      </c>
      <c r="K11" s="102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709</v>
      </c>
      <c r="D12" s="5"/>
      <c r="E12" s="6" t="s">
        <v>6</v>
      </c>
      <c r="F12" s="48"/>
      <c r="G12" s="116"/>
      <c r="H12" s="49">
        <v>1</v>
      </c>
      <c r="I12" s="47"/>
      <c r="J12" s="47">
        <v>1</v>
      </c>
      <c r="K12" s="47"/>
      <c r="L12" s="47"/>
      <c r="M12" s="47"/>
      <c r="N12" s="47"/>
      <c r="O12" s="98">
        <f t="shared" ref="O12:O17" si="2">T12*N12</f>
        <v>0</v>
      </c>
      <c r="P12" s="47" t="s">
        <v>701</v>
      </c>
      <c r="Q12" s="47">
        <v>909</v>
      </c>
      <c r="R12" s="99">
        <f t="shared" ref="R12:R31" si="3">IF(OR(P12="c",P12="C"),+T12,"")</f>
        <v>100</v>
      </c>
      <c r="S12" s="99" t="str">
        <f t="shared" ref="S12:S17" si="4">IF(OR(P12="$",N12=1),+T12,"")</f>
        <v/>
      </c>
      <c r="T12" s="100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710</v>
      </c>
      <c r="D13" s="5" t="s">
        <v>103</v>
      </c>
      <c r="E13" s="6" t="s">
        <v>711</v>
      </c>
      <c r="F13" s="48">
        <v>9169894301</v>
      </c>
      <c r="G13" s="116" t="s">
        <v>712</v>
      </c>
      <c r="H13" s="49">
        <v>1</v>
      </c>
      <c r="I13" s="47"/>
      <c r="J13" s="47">
        <v>1</v>
      </c>
      <c r="K13" s="47"/>
      <c r="L13" s="47"/>
      <c r="M13" s="47"/>
      <c r="N13" s="47"/>
      <c r="O13" s="98">
        <f t="shared" si="2"/>
        <v>0</v>
      </c>
      <c r="P13" s="47" t="s">
        <v>701</v>
      </c>
      <c r="Q13" s="47">
        <v>909</v>
      </c>
      <c r="R13" s="99">
        <f t="shared" si="3"/>
        <v>100</v>
      </c>
      <c r="S13" s="99" t="str">
        <f t="shared" si="4"/>
        <v/>
      </c>
      <c r="T13" s="100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21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8">
        <f t="shared" si="2"/>
        <v>80</v>
      </c>
      <c r="P14" s="47" t="s">
        <v>713</v>
      </c>
      <c r="Q14" s="47"/>
      <c r="R14" s="99" t="str">
        <f t="shared" si="3"/>
        <v/>
      </c>
      <c r="S14" s="99">
        <f t="shared" si="4"/>
        <v>80</v>
      </c>
      <c r="T14" s="100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714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8">
        <f t="shared" si="2"/>
        <v>0</v>
      </c>
      <c r="P15" s="47" t="s">
        <v>701</v>
      </c>
      <c r="Q15" s="47">
        <v>1015</v>
      </c>
      <c r="R15" s="99">
        <f t="shared" si="3"/>
        <v>160</v>
      </c>
      <c r="S15" s="99" t="str">
        <f t="shared" si="4"/>
        <v/>
      </c>
      <c r="T15" s="100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8">
        <f t="shared" si="2"/>
        <v>0</v>
      </c>
      <c r="P16" s="47" t="s">
        <v>701</v>
      </c>
      <c r="Q16" s="47">
        <v>3403</v>
      </c>
      <c r="R16" s="99">
        <f t="shared" si="3"/>
        <v>160</v>
      </c>
      <c r="S16" s="99" t="str">
        <f t="shared" si="4"/>
        <v/>
      </c>
      <c r="T16" s="100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6" t="s">
        <v>644</v>
      </c>
      <c r="F17" s="120">
        <v>5305666454</v>
      </c>
      <c r="G17" s="118" t="s">
        <v>715</v>
      </c>
      <c r="H17" s="49">
        <v>1</v>
      </c>
      <c r="I17" s="47"/>
      <c r="J17" s="47"/>
      <c r="K17" s="47"/>
      <c r="L17" s="47">
        <v>1</v>
      </c>
      <c r="M17" s="47"/>
      <c r="N17" s="47"/>
      <c r="O17" s="98">
        <f t="shared" si="2"/>
        <v>0</v>
      </c>
      <c r="P17" s="47" t="s">
        <v>701</v>
      </c>
      <c r="Q17" s="119" t="s">
        <v>716</v>
      </c>
      <c r="R17" s="99">
        <f t="shared" si="3"/>
        <v>80</v>
      </c>
      <c r="S17" s="99" t="str">
        <f t="shared" si="4"/>
        <v/>
      </c>
      <c r="T17" s="100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717</v>
      </c>
      <c r="D18" s="7" t="s">
        <v>67</v>
      </c>
      <c r="E18" s="8" t="s">
        <v>718</v>
      </c>
      <c r="F18" s="55">
        <v>7075994896</v>
      </c>
      <c r="G18" s="118" t="s">
        <v>719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8"/>
      <c r="P18" s="47" t="s">
        <v>713</v>
      </c>
      <c r="Q18" s="47"/>
      <c r="R18" s="99" t="str">
        <f t="shared" si="3"/>
        <v/>
      </c>
      <c r="S18" s="99">
        <v>110</v>
      </c>
      <c r="T18" s="100">
        <f>H18*[1]!FMainPool1Fee+I18*[1]!FMainPool2Fee+J18*[1]!FMainPool3Fee+K18*[1]!FMainPool4Fee+B18*[1]!FMainEntryFee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>
        <v>1</v>
      </c>
      <c r="M19" s="47"/>
      <c r="N19" s="47"/>
      <c r="O19" s="98">
        <f>T19*N19</f>
        <v>0</v>
      </c>
      <c r="P19" s="47" t="s">
        <v>701</v>
      </c>
      <c r="Q19" s="47">
        <v>171</v>
      </c>
      <c r="R19" s="99">
        <f t="shared" si="3"/>
        <v>80</v>
      </c>
      <c r="S19" s="99" t="str">
        <f t="shared" ref="S19:S31" si="5">IF(OR(P19="$",N19=1),+T19,"")</f>
        <v/>
      </c>
      <c r="T19" s="100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7">
        <v>7079744711</v>
      </c>
      <c r="G20" s="118" t="s">
        <v>649</v>
      </c>
      <c r="H20" s="49"/>
      <c r="I20" s="47"/>
      <c r="J20" s="47"/>
      <c r="K20" s="47"/>
      <c r="L20" s="47"/>
      <c r="M20" s="47"/>
      <c r="N20" s="47"/>
      <c r="O20" s="98">
        <f>T20*N20</f>
        <v>0</v>
      </c>
      <c r="P20" s="47" t="s">
        <v>701</v>
      </c>
      <c r="Q20" s="47">
        <v>1075</v>
      </c>
      <c r="R20" s="99">
        <f t="shared" si="3"/>
        <v>70</v>
      </c>
      <c r="S20" s="99" t="str">
        <f t="shared" si="5"/>
        <v/>
      </c>
      <c r="T20" s="100">
        <f>H20*[1]!FMainPool1Fee+I20*[1]!FMainPool2Fee+J20*[1]!FMainPool3Fee+K20*[1]!FMainPool4Fee+B20*[1]!FMainEntryFee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722</v>
      </c>
      <c r="D21" s="15" t="s">
        <v>67</v>
      </c>
      <c r="E21" s="10" t="s">
        <v>723</v>
      </c>
      <c r="F21" s="117">
        <v>7075027980</v>
      </c>
      <c r="G21" s="118" t="s">
        <v>724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8"/>
      <c r="P21" s="47" t="s">
        <v>713</v>
      </c>
      <c r="Q21" s="47"/>
      <c r="R21" s="99" t="str">
        <f t="shared" si="3"/>
        <v/>
      </c>
      <c r="S21" s="99">
        <f t="shared" si="5"/>
        <v>110</v>
      </c>
      <c r="T21" s="100">
        <f>H21*[1]!FMainPool1Fee+I21*[1]!FMainPool2Fee+J21*[1]!FMainPool3Fee+K21*[1]!FMainPool4Fee+B21*[1]!FMainEntryFee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16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8">
        <f t="shared" ref="O22:O31" si="6">T22*N22</f>
        <v>0</v>
      </c>
      <c r="P22" s="47" t="s">
        <v>713</v>
      </c>
      <c r="Q22" s="47"/>
      <c r="R22" s="99" t="str">
        <f t="shared" si="3"/>
        <v/>
      </c>
      <c r="S22" s="99">
        <f t="shared" si="5"/>
        <v>100</v>
      </c>
      <c r="T22" s="100">
        <f>H22*[1]!FMainPool1Fee+I22*[1]!FMainPool2Fee+J22*[1]!FMainPool3Fee+K22*[1]!FMainPool4Fee+B22*[1]!FMainEntryFee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7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8">
        <f t="shared" si="6"/>
        <v>0</v>
      </c>
      <c r="P23" s="47" t="s">
        <v>701</v>
      </c>
      <c r="Q23" s="47">
        <v>1299</v>
      </c>
      <c r="R23" s="99">
        <f t="shared" si="3"/>
        <v>110</v>
      </c>
      <c r="S23" s="99" t="str">
        <f t="shared" si="5"/>
        <v/>
      </c>
      <c r="T23" s="100">
        <f>H23*[1]!FMainPool1Fee+I23*[1]!FMainPool2Fee+J23*[1]!FMainPool3Fee+K23*[1]!FMainPool4Fee+B23*[1]!FMainEntryFee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7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8">
        <f t="shared" si="6"/>
        <v>0</v>
      </c>
      <c r="P24" s="47" t="s">
        <v>701</v>
      </c>
      <c r="Q24" s="47">
        <v>1974</v>
      </c>
      <c r="R24" s="99">
        <f t="shared" si="3"/>
        <v>110</v>
      </c>
      <c r="S24" s="99" t="str">
        <f t="shared" si="5"/>
        <v/>
      </c>
      <c r="T24" s="100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113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8">
        <f t="shared" si="6"/>
        <v>0</v>
      </c>
      <c r="P25" s="47" t="s">
        <v>701</v>
      </c>
      <c r="Q25" s="47">
        <v>2213</v>
      </c>
      <c r="R25" s="99">
        <f t="shared" si="3"/>
        <v>160</v>
      </c>
      <c r="S25" s="99" t="str">
        <f t="shared" si="5"/>
        <v/>
      </c>
      <c r="T25" s="100">
        <f>H25*[1]!FMainPool1Fee+I25*[1]!FMainPool2Fee+J25*[1]!FMainPool3Fee+K25*[1]!FMainPool4Fee+B25*[1]!FMainEntryFee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8">
        <f t="shared" si="6"/>
        <v>0</v>
      </c>
      <c r="P26" s="47" t="s">
        <v>701</v>
      </c>
      <c r="Q26" s="47">
        <v>4008</v>
      </c>
      <c r="R26" s="99">
        <f t="shared" si="3"/>
        <v>160</v>
      </c>
      <c r="S26" s="99" t="str">
        <f t="shared" si="5"/>
        <v/>
      </c>
      <c r="T26" s="100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16" t="s">
        <v>491</v>
      </c>
      <c r="H27" s="49"/>
      <c r="I27" s="47"/>
      <c r="J27" s="47"/>
      <c r="K27" s="47"/>
      <c r="L27" s="47"/>
      <c r="M27" s="47"/>
      <c r="N27" s="47"/>
      <c r="O27" s="98">
        <f t="shared" si="6"/>
        <v>0</v>
      </c>
      <c r="P27" s="47" t="s">
        <v>701</v>
      </c>
      <c r="Q27" s="47">
        <v>1795</v>
      </c>
      <c r="R27" s="99">
        <f t="shared" si="3"/>
        <v>70</v>
      </c>
      <c r="S27" s="99" t="str">
        <f t="shared" si="5"/>
        <v/>
      </c>
      <c r="T27" s="100">
        <f>H27*[1]!FMainPool1Fee+I27*[1]!FMainPool2Fee+J27*[1]!FMainPool3Fee+K27*[1]!FMainPool4Fee+B27*[1]!FMainEntryFee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725</v>
      </c>
      <c r="D28" s="5" t="s">
        <v>185</v>
      </c>
      <c r="E28" s="6" t="s">
        <v>726</v>
      </c>
      <c r="F28" s="59">
        <v>9258406622</v>
      </c>
      <c r="G28" s="116" t="s">
        <v>727</v>
      </c>
      <c r="H28" s="49">
        <v>1</v>
      </c>
      <c r="I28" s="47"/>
      <c r="J28" s="47"/>
      <c r="K28" s="47"/>
      <c r="L28" s="47"/>
      <c r="M28" s="47"/>
      <c r="N28" s="47"/>
      <c r="O28" s="98">
        <f t="shared" si="6"/>
        <v>0</v>
      </c>
      <c r="P28" s="47" t="s">
        <v>701</v>
      </c>
      <c r="Q28" s="47">
        <v>1208</v>
      </c>
      <c r="R28" s="99">
        <f t="shared" si="3"/>
        <v>80</v>
      </c>
      <c r="S28" s="99" t="str">
        <f t="shared" si="5"/>
        <v/>
      </c>
      <c r="T28" s="100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7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8">
        <f t="shared" si="6"/>
        <v>160</v>
      </c>
      <c r="P29" s="47" t="s">
        <v>713</v>
      </c>
      <c r="Q29" s="47"/>
      <c r="R29" s="99" t="str">
        <f t="shared" si="3"/>
        <v/>
      </c>
      <c r="S29" s="99">
        <f t="shared" si="5"/>
        <v>160</v>
      </c>
      <c r="T29" s="100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8">
        <f t="shared" si="6"/>
        <v>0</v>
      </c>
      <c r="P30" s="47" t="s">
        <v>713</v>
      </c>
      <c r="Q30" s="47"/>
      <c r="R30" s="99" t="str">
        <f t="shared" si="3"/>
        <v/>
      </c>
      <c r="S30" s="99">
        <f t="shared" si="5"/>
        <v>160</v>
      </c>
      <c r="T30" s="100">
        <f>H30*[1]!FMainPool1Fee+I30*[1]!FMainPool2Fee+J30*[1]!FMainPool3Fee+K30*[1]!FMainPool4Fee+B30*[1]!FMainEntryFee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7">
        <v>5103043540</v>
      </c>
      <c r="G31" s="118" t="s">
        <v>728</v>
      </c>
      <c r="H31" s="49">
        <v>1</v>
      </c>
      <c r="I31" s="47"/>
      <c r="J31" s="47"/>
      <c r="K31" s="47"/>
      <c r="L31" s="47"/>
      <c r="M31" s="47"/>
      <c r="N31" s="47">
        <v>1</v>
      </c>
      <c r="O31" s="98">
        <f t="shared" si="6"/>
        <v>80</v>
      </c>
      <c r="P31" s="47" t="s">
        <v>713</v>
      </c>
      <c r="Q31" s="47"/>
      <c r="R31" s="99" t="str">
        <f t="shared" si="3"/>
        <v/>
      </c>
      <c r="S31" s="99">
        <f t="shared" si="5"/>
        <v>80</v>
      </c>
      <c r="T31" s="100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729</v>
      </c>
      <c r="D32" s="15" t="s">
        <v>730</v>
      </c>
      <c r="E32" s="10" t="s">
        <v>731</v>
      </c>
      <c r="F32" s="117">
        <v>5309277047</v>
      </c>
      <c r="G32" s="123" t="s">
        <v>732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8"/>
      <c r="P32" s="47" t="s">
        <v>701</v>
      </c>
      <c r="Q32" s="47">
        <v>6681</v>
      </c>
      <c r="R32" s="99">
        <v>160</v>
      </c>
      <c r="S32" s="99"/>
      <c r="T32" s="100">
        <f>H32*[1]!FMainPool1Fee+I32*[1]!FMainPool2Fee+J32*[1]!FMainPool3Fee+K32*[1]!FMainPool4Fee+B32*[1]!FMainEntryFee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733</v>
      </c>
      <c r="D33" s="15" t="s">
        <v>730</v>
      </c>
      <c r="E33" s="10" t="s">
        <v>734</v>
      </c>
      <c r="F33" s="117">
        <v>5309277048</v>
      </c>
      <c r="G33" s="118" t="s">
        <v>735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8"/>
      <c r="P33" s="47" t="s">
        <v>701</v>
      </c>
      <c r="Q33" s="47">
        <v>6681</v>
      </c>
      <c r="R33" s="99">
        <v>160</v>
      </c>
      <c r="S33" s="99"/>
      <c r="T33" s="100">
        <f>H33*[1]!FMainPool1Fee+I33*[1]!FMainPool2Fee+J33*[1]!FMainPool3Fee+K33*[1]!FMainPool4Fee+B33*[1]!FMainEntryFee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7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8">
        <f>T34*N34</f>
        <v>0</v>
      </c>
      <c r="P34" s="47" t="s">
        <v>701</v>
      </c>
      <c r="Q34" s="47">
        <v>8899</v>
      </c>
      <c r="R34" s="99">
        <f t="shared" ref="R34:R58" si="7">IF(OR(P34="c",P34="C"),+T34,"")</f>
        <v>110</v>
      </c>
      <c r="S34" s="99" t="str">
        <f t="shared" ref="S34:S65" si="8">IF(OR(P34="$",N34=1),+T34,"")</f>
        <v/>
      </c>
      <c r="T34" s="100">
        <f>H34*[1]!FMainPool1Fee+I34*[1]!FMainPool2Fee+J34*[1]!FMainPool3Fee+K34*[1]!FMainPool4Fee+B34*[1]!FMainEntryFee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8">
        <f>T35*N35</f>
        <v>0</v>
      </c>
      <c r="P35" s="47" t="s">
        <v>701</v>
      </c>
      <c r="Q35" s="47">
        <v>2548</v>
      </c>
      <c r="R35" s="99">
        <f t="shared" si="7"/>
        <v>80</v>
      </c>
      <c r="S35" s="99" t="str">
        <f t="shared" si="8"/>
        <v/>
      </c>
      <c r="T35" s="100">
        <f>H35*[1]!FMainPool1Fee+I35*[1]!FMainPool2Fee+J35*[1]!FMainPool3Fee+K35*[1]!FMainPool4Fee+B35*[1]!FMainEntryFee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8">
        <f>T36*N36</f>
        <v>0</v>
      </c>
      <c r="P36" s="47" t="s">
        <v>701</v>
      </c>
      <c r="Q36" s="47">
        <v>7240</v>
      </c>
      <c r="R36" s="99">
        <f t="shared" si="7"/>
        <v>110</v>
      </c>
      <c r="S36" s="99" t="str">
        <f t="shared" si="8"/>
        <v/>
      </c>
      <c r="T36" s="100">
        <f>H36*[1]!FMainPool1Fee+I36*[1]!FMainPool2Fee+J36*[1]!FMainPool3Fee+K36*[1]!FMainPool4Fee+B36*[1]!FMainEntryFee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16" t="s">
        <v>736</v>
      </c>
      <c r="H37" s="49">
        <v>1</v>
      </c>
      <c r="I37" s="47"/>
      <c r="J37" s="47"/>
      <c r="K37" s="47"/>
      <c r="L37" s="47"/>
      <c r="M37" s="47"/>
      <c r="N37" s="47"/>
      <c r="O37" s="98">
        <f>T37*N37</f>
        <v>0</v>
      </c>
      <c r="P37" s="47" t="s">
        <v>701</v>
      </c>
      <c r="Q37" s="47">
        <v>170</v>
      </c>
      <c r="R37" s="99">
        <f t="shared" si="7"/>
        <v>80</v>
      </c>
      <c r="S37" s="99" t="str">
        <f t="shared" si="8"/>
        <v/>
      </c>
      <c r="T37" s="100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20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8">
        <v>80</v>
      </c>
      <c r="P38" s="47" t="s">
        <v>713</v>
      </c>
      <c r="Q38" s="47"/>
      <c r="R38" s="99" t="str">
        <f t="shared" si="7"/>
        <v/>
      </c>
      <c r="S38" s="99">
        <f t="shared" si="8"/>
        <v>80</v>
      </c>
      <c r="T38" s="100">
        <f>H38*[1]!FMainPool1Fee+I38*[1]!FMainPool2Fee+J38*[1]!FMainPool3Fee+K38*[1]!FMainPool4Fee+B38*[1]!FMainEntryFee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16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8">
        <f t="shared" ref="O39:O45" si="9">T39*N39</f>
        <v>0</v>
      </c>
      <c r="P39" s="47" t="s">
        <v>701</v>
      </c>
      <c r="Q39" s="47">
        <v>5206</v>
      </c>
      <c r="R39" s="99">
        <f t="shared" si="7"/>
        <v>160</v>
      </c>
      <c r="S39" s="99" t="str">
        <f t="shared" si="8"/>
        <v/>
      </c>
      <c r="T39" s="100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8">
        <f t="shared" si="9"/>
        <v>0</v>
      </c>
      <c r="P40" s="47" t="s">
        <v>701</v>
      </c>
      <c r="Q40" s="47">
        <v>4900</v>
      </c>
      <c r="R40" s="99">
        <f t="shared" si="7"/>
        <v>80</v>
      </c>
      <c r="S40" s="99" t="str">
        <f t="shared" si="8"/>
        <v/>
      </c>
      <c r="T40" s="100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8">
        <f t="shared" si="9"/>
        <v>0</v>
      </c>
      <c r="P41" s="47" t="s">
        <v>713</v>
      </c>
      <c r="Q41" s="47"/>
      <c r="R41" s="99" t="str">
        <f t="shared" si="7"/>
        <v/>
      </c>
      <c r="S41" s="99">
        <f t="shared" si="8"/>
        <v>80</v>
      </c>
      <c r="T41" s="100">
        <f>H41*[1]!FMainPool1Fee+I41*[1]!FMainPool2Fee+J41*[1]!FMainPool3Fee+K41*[1]!FMainPool4Fee+B41*[1]!FMainEntryFee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20">
        <v>8315959920</v>
      </c>
      <c r="G42" s="118" t="s">
        <v>738</v>
      </c>
      <c r="H42" s="49">
        <v>1</v>
      </c>
      <c r="I42" s="47"/>
      <c r="J42" s="47"/>
      <c r="K42" s="47"/>
      <c r="L42" s="47"/>
      <c r="M42" s="47"/>
      <c r="N42" s="47"/>
      <c r="O42" s="98">
        <f t="shared" si="9"/>
        <v>0</v>
      </c>
      <c r="P42" s="47" t="s">
        <v>701</v>
      </c>
      <c r="Q42" s="47">
        <v>16285</v>
      </c>
      <c r="R42" s="99">
        <f t="shared" si="7"/>
        <v>80</v>
      </c>
      <c r="S42" s="99" t="str">
        <f t="shared" si="8"/>
        <v/>
      </c>
      <c r="T42" s="100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20">
        <v>5104930824</v>
      </c>
      <c r="G43" s="118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8">
        <f t="shared" si="9"/>
        <v>80</v>
      </c>
      <c r="P43" s="47" t="s">
        <v>713</v>
      </c>
      <c r="Q43" s="47"/>
      <c r="R43" s="99" t="str">
        <f t="shared" si="7"/>
        <v/>
      </c>
      <c r="S43" s="99">
        <f t="shared" si="8"/>
        <v>80</v>
      </c>
      <c r="T43" s="100">
        <f>H43*[1]!FMainPool1Fee+I43*[1]!FMainPool2Fee+J43*[1]!FMainPool3Fee+K43*[1]!FMainPool4Fee+B43*[1]!FMainEntryFee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8">
        <f t="shared" si="9"/>
        <v>0</v>
      </c>
      <c r="P44" s="47" t="s">
        <v>701</v>
      </c>
      <c r="Q44" s="47">
        <v>5878</v>
      </c>
      <c r="R44" s="99">
        <f t="shared" si="7"/>
        <v>160</v>
      </c>
      <c r="S44" s="99" t="str">
        <f t="shared" si="8"/>
        <v/>
      </c>
      <c r="T44" s="100">
        <f>H44*[1]!FMainPool1Fee+I44*[1]!FMainPool2Fee+J44*[1]!FMainPool3Fee+K44*[1]!FMainPool4Fee+B44*[1]!FMainEntryFee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739</v>
      </c>
      <c r="D45" s="5" t="s">
        <v>45</v>
      </c>
      <c r="E45" s="6" t="s">
        <v>740</v>
      </c>
      <c r="F45" s="120">
        <v>7072279891</v>
      </c>
      <c r="G45" s="116" t="s">
        <v>741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8">
        <f t="shared" si="9"/>
        <v>0</v>
      </c>
      <c r="P45" s="47" t="s">
        <v>713</v>
      </c>
      <c r="Q45" s="47"/>
      <c r="R45" s="99" t="str">
        <f t="shared" si="7"/>
        <v/>
      </c>
      <c r="S45" s="99">
        <f t="shared" si="8"/>
        <v>160</v>
      </c>
      <c r="T45" s="100">
        <f>H45*[1]!FMainPool1Fee+I45*[1]!FMainPool2Fee+J45*[1]!FMainPool3Fee+K45*[1]!FMainPool4Fee+B45*[1]!FMainEntryFee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20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8">
        <v>110</v>
      </c>
      <c r="P46" s="47" t="s">
        <v>713</v>
      </c>
      <c r="Q46" s="47"/>
      <c r="R46" s="99" t="str">
        <f t="shared" si="7"/>
        <v/>
      </c>
      <c r="S46" s="99">
        <f t="shared" si="8"/>
        <v>110</v>
      </c>
      <c r="T46" s="100">
        <f>H46*[1]!FMainPool1Fee+I46*[1]!FMainPool2Fee+J46*[1]!FMainPool3Fee+K46*[1]!FMainPool4Fee+B46*[1]!FMainEntryFee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8">
        <f>T47*N47</f>
        <v>0</v>
      </c>
      <c r="P47" s="47" t="s">
        <v>701</v>
      </c>
      <c r="Q47" s="47">
        <v>2491</v>
      </c>
      <c r="R47" s="99">
        <f t="shared" si="7"/>
        <v>160</v>
      </c>
      <c r="S47" s="99" t="str">
        <f t="shared" si="8"/>
        <v/>
      </c>
      <c r="T47" s="100">
        <f>H47*[1]!FMainPool1Fee+I47*[1]!FMainPool2Fee+J47*[1]!FMainPool3Fee+K47*[1]!FMainPool4Fee+B47*[1]!FMainEntryFee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742</v>
      </c>
      <c r="D48" s="7"/>
      <c r="E48" s="8" t="s">
        <v>743</v>
      </c>
      <c r="F48" s="55"/>
      <c r="G48" s="116" t="s">
        <v>744</v>
      </c>
      <c r="H48" s="49"/>
      <c r="I48" s="47"/>
      <c r="J48" s="47">
        <v>1</v>
      </c>
      <c r="K48" s="47"/>
      <c r="L48" s="47"/>
      <c r="M48" s="47"/>
      <c r="N48" s="47">
        <v>1</v>
      </c>
      <c r="O48" s="98">
        <v>90</v>
      </c>
      <c r="P48" s="47" t="s">
        <v>713</v>
      </c>
      <c r="Q48" s="47"/>
      <c r="R48" s="99" t="str">
        <f t="shared" si="7"/>
        <v/>
      </c>
      <c r="S48" s="99">
        <f t="shared" si="8"/>
        <v>90</v>
      </c>
      <c r="T48" s="100">
        <f>H48*[1]!FMainPool1Fee+I48*[1]!FMainPool2Fee+J48*[1]!FMainPool3Fee+K48*[1]!FMainPool4Fee+B48*[1]!FMainEntryFee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745</v>
      </c>
      <c r="D49" s="15" t="s">
        <v>232</v>
      </c>
      <c r="E49" s="10" t="s">
        <v>746</v>
      </c>
      <c r="F49" s="120">
        <v>9254081849</v>
      </c>
      <c r="G49" s="118" t="s">
        <v>747</v>
      </c>
      <c r="H49" s="49">
        <v>1</v>
      </c>
      <c r="I49" s="47"/>
      <c r="J49" s="47"/>
      <c r="K49" s="47"/>
      <c r="L49" s="47"/>
      <c r="M49" s="47"/>
      <c r="N49" s="47"/>
      <c r="O49" s="98">
        <f t="shared" ref="O49:O80" si="10">T49*N49</f>
        <v>0</v>
      </c>
      <c r="P49" s="47" t="s">
        <v>701</v>
      </c>
      <c r="Q49" s="47">
        <v>776</v>
      </c>
      <c r="R49" s="99">
        <f t="shared" si="7"/>
        <v>80</v>
      </c>
      <c r="S49" s="99" t="str">
        <f t="shared" si="8"/>
        <v/>
      </c>
      <c r="T49" s="100">
        <f>H49*[1]!FMainPool1Fee+I49*[1]!FMainPool2Fee+J49*[1]!FMainPool3Fee+K49*[1]!FMainPool4Fee+B49*[1]!FMainEntryFee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8">
        <f t="shared" si="10"/>
        <v>0</v>
      </c>
      <c r="P50" s="47" t="s">
        <v>701</v>
      </c>
      <c r="Q50" s="47">
        <v>16285</v>
      </c>
      <c r="R50" s="99">
        <f t="shared" si="7"/>
        <v>110</v>
      </c>
      <c r="S50" s="99" t="str">
        <f t="shared" si="8"/>
        <v/>
      </c>
      <c r="T50" s="100">
        <f>H50*[1]!FMainPool1Fee+I50*[1]!FMainPool2Fee+J50*[1]!FMainPool3Fee+K50*[1]!FMainPool4Fee+B50*[1]!FMainEntryFee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113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8">
        <f t="shared" si="10"/>
        <v>0</v>
      </c>
      <c r="P51" s="47" t="s">
        <v>701</v>
      </c>
      <c r="Q51" s="47">
        <v>5196</v>
      </c>
      <c r="R51" s="99">
        <f t="shared" si="7"/>
        <v>110</v>
      </c>
      <c r="S51" s="99" t="str">
        <f t="shared" si="8"/>
        <v/>
      </c>
      <c r="T51" s="100">
        <f>H51*[1]!FMainPool1Fee+I51*[1]!FMainPool2Fee+J51*[1]!FMainPool3Fee+K51*[1]!FMainPool4Fee+B51*[1]!FMainEntryFee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8">
        <f t="shared" si="10"/>
        <v>0</v>
      </c>
      <c r="P52" s="47" t="s">
        <v>701</v>
      </c>
      <c r="Q52" s="47">
        <v>7346</v>
      </c>
      <c r="R52" s="99">
        <f t="shared" si="7"/>
        <v>110</v>
      </c>
      <c r="S52" s="99" t="str">
        <f t="shared" si="8"/>
        <v/>
      </c>
      <c r="T52" s="100">
        <f>H52*[1]!FMainPool1Fee+I52*[1]!FMainPool2Fee+J52*[1]!FMainPool3Fee+K52*[1]!FMainPool4Fee+B52*[1]!FMainEntryFee</f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20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8">
        <f t="shared" si="10"/>
        <v>100</v>
      </c>
      <c r="P53" s="47" t="s">
        <v>713</v>
      </c>
      <c r="Q53" s="47"/>
      <c r="R53" s="99" t="str">
        <f t="shared" si="7"/>
        <v/>
      </c>
      <c r="S53" s="99">
        <f t="shared" si="8"/>
        <v>100</v>
      </c>
      <c r="T53" s="100">
        <f>H53*[1]!FMainPool1Fee+I53*[1]!FMainPool2Fee+J53*[1]!FMainPool3Fee+K53*[1]!FMainPool4Fee+B53*[1]!FMainEntryFee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16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8">
        <f t="shared" si="10"/>
        <v>0</v>
      </c>
      <c r="P54" s="47" t="s">
        <v>701</v>
      </c>
      <c r="Q54" s="47">
        <v>4939</v>
      </c>
      <c r="R54" s="99">
        <f t="shared" si="7"/>
        <v>160</v>
      </c>
      <c r="S54" s="99" t="str">
        <f t="shared" si="8"/>
        <v/>
      </c>
      <c r="T54" s="100">
        <f>H54*[1]!FMainPool1Fee+I54*[1]!FMainPool2Fee+J54*[1]!FMainPool3Fee+K54*[1]!FMainPool4Fee+B54*[1]!FMainEntryFee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20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8">
        <f t="shared" si="10"/>
        <v>0</v>
      </c>
      <c r="P55" s="47" t="s">
        <v>701</v>
      </c>
      <c r="Q55" s="47">
        <v>141</v>
      </c>
      <c r="R55" s="99">
        <f t="shared" si="7"/>
        <v>160</v>
      </c>
      <c r="S55" s="99" t="str">
        <f t="shared" si="8"/>
        <v/>
      </c>
      <c r="T55" s="100">
        <f>H55*[1]!FMainPool1Fee+I55*[1]!FMainPool2Fee+J55*[1]!FMainPool3Fee+K55*[1]!FMainPool4Fee+B55*[1]!FMainEntryFee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748</v>
      </c>
      <c r="D56" s="5" t="s">
        <v>211</v>
      </c>
      <c r="E56" s="6" t="s">
        <v>749</v>
      </c>
      <c r="F56" s="120">
        <v>4086670073</v>
      </c>
      <c r="G56" s="118" t="s">
        <v>750</v>
      </c>
      <c r="H56" s="49"/>
      <c r="I56" s="47"/>
      <c r="J56" s="47"/>
      <c r="K56" s="47"/>
      <c r="L56" s="47"/>
      <c r="M56" s="47"/>
      <c r="N56" s="47"/>
      <c r="O56" s="98">
        <f t="shared" si="10"/>
        <v>0</v>
      </c>
      <c r="P56" s="47" t="s">
        <v>701</v>
      </c>
      <c r="Q56" s="47">
        <v>1034</v>
      </c>
      <c r="R56" s="99">
        <f t="shared" si="7"/>
        <v>70</v>
      </c>
      <c r="S56" s="99" t="str">
        <f t="shared" si="8"/>
        <v/>
      </c>
      <c r="T56" s="100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751</v>
      </c>
      <c r="D57" s="7" t="s">
        <v>45</v>
      </c>
      <c r="E57" s="8" t="s">
        <v>752</v>
      </c>
      <c r="F57" s="58">
        <v>7072944291</v>
      </c>
      <c r="G57" s="116" t="s">
        <v>753</v>
      </c>
      <c r="H57" s="49">
        <v>1</v>
      </c>
      <c r="I57" s="47"/>
      <c r="J57" s="47"/>
      <c r="K57" s="47"/>
      <c r="L57" s="47"/>
      <c r="M57" s="47"/>
      <c r="N57" s="47"/>
      <c r="O57" s="98">
        <f t="shared" si="10"/>
        <v>0</v>
      </c>
      <c r="P57" s="47" t="s">
        <v>701</v>
      </c>
      <c r="Q57" s="47">
        <v>1376</v>
      </c>
      <c r="R57" s="99">
        <f t="shared" si="7"/>
        <v>80</v>
      </c>
      <c r="S57" s="99" t="str">
        <f t="shared" si="8"/>
        <v/>
      </c>
      <c r="T57" s="100">
        <f>H57*[1]!FMainPool1Fee+I57*[1]!FMainPool2Fee+J57*[1]!FMainPool3Fee+K57*[1]!FMainPool4Fee+B57*[1]!FMainEntryFee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112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8">
        <f t="shared" si="10"/>
        <v>0</v>
      </c>
      <c r="P58" s="47" t="s">
        <v>701</v>
      </c>
      <c r="Q58" s="47">
        <v>1508</v>
      </c>
      <c r="R58" s="99">
        <f t="shared" si="7"/>
        <v>160</v>
      </c>
      <c r="S58" s="99" t="str">
        <f t="shared" si="8"/>
        <v/>
      </c>
      <c r="T58" s="100">
        <f>H58*[1]!FMainPool1Fee+I58*[1]!FMainPool2Fee+J58*[1]!FMainPool3Fee+K58*[1]!FMainPool4Fee+B58*[1]!FMainEntryFee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8">
        <f t="shared" si="10"/>
        <v>0</v>
      </c>
      <c r="P59" s="47" t="s">
        <v>701</v>
      </c>
      <c r="Q59" s="47">
        <v>1508</v>
      </c>
      <c r="R59" s="99">
        <v>160</v>
      </c>
      <c r="S59" s="99" t="str">
        <f t="shared" si="8"/>
        <v/>
      </c>
      <c r="T59" s="100">
        <f>H59*[1]!FMainPool1Fee+I59*[1]!FMainPool2Fee+J59*[1]!FMainPool3Fee+K59*[1]!FMainPool4Fee+B59*[1]!FMainEntryFee</f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754</v>
      </c>
      <c r="D60" s="14" t="s">
        <v>755</v>
      </c>
      <c r="E60" s="6" t="s">
        <v>756</v>
      </c>
      <c r="F60" s="48">
        <v>7752876408</v>
      </c>
      <c r="G60" s="116" t="s">
        <v>757</v>
      </c>
      <c r="H60" s="49">
        <v>1</v>
      </c>
      <c r="I60" s="47"/>
      <c r="J60" s="47"/>
      <c r="K60" s="47"/>
      <c r="L60" s="47"/>
      <c r="M60" s="47"/>
      <c r="N60" s="47"/>
      <c r="O60" s="98">
        <f t="shared" si="10"/>
        <v>0</v>
      </c>
      <c r="P60" s="47" t="s">
        <v>713</v>
      </c>
      <c r="Q60" s="47"/>
      <c r="R60" s="99" t="str">
        <f t="shared" ref="R60:R91" si="11">IF(OR(P60="c",P60="C"),+T60,"")</f>
        <v/>
      </c>
      <c r="S60" s="99">
        <f t="shared" si="8"/>
        <v>80</v>
      </c>
      <c r="T60" s="100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112">
        <v>7076641532</v>
      </c>
      <c r="G61" s="116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8">
        <f t="shared" si="10"/>
        <v>0</v>
      </c>
      <c r="P61" s="47" t="s">
        <v>701</v>
      </c>
      <c r="Q61" s="47">
        <v>204</v>
      </c>
      <c r="R61" s="99">
        <f t="shared" si="11"/>
        <v>100</v>
      </c>
      <c r="S61" s="99" t="str">
        <f t="shared" si="8"/>
        <v/>
      </c>
      <c r="T61" s="100">
        <f>H61*[1]!FMainPool1Fee+I61*[1]!FMainPool2Fee+J61*[1]!FMainPool3Fee+K61*[1]!FMainPool4Fee+B61*[1]!FMainEntryFee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21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8">
        <f t="shared" si="10"/>
        <v>0</v>
      </c>
      <c r="P62" s="47" t="s">
        <v>713</v>
      </c>
      <c r="Q62" s="47"/>
      <c r="R62" s="99" t="str">
        <f t="shared" si="11"/>
        <v/>
      </c>
      <c r="S62" s="99">
        <f t="shared" si="8"/>
        <v>110</v>
      </c>
      <c r="T62" s="100">
        <f>H62*[1]!FMainPool1Fee+I62*[1]!FMainPool2Fee+J62*[1]!FMainPool3Fee+K62*[1]!FMainPool4Fee+B62*[1]!FMainEntryFee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758</v>
      </c>
      <c r="D63" s="5" t="s">
        <v>45</v>
      </c>
      <c r="E63" s="6" t="s">
        <v>759</v>
      </c>
      <c r="F63" s="120">
        <v>7074804517</v>
      </c>
      <c r="G63" s="116" t="s">
        <v>760</v>
      </c>
      <c r="H63" s="49"/>
      <c r="I63" s="47"/>
      <c r="J63" s="47"/>
      <c r="K63" s="47"/>
      <c r="L63" s="47"/>
      <c r="M63" s="47"/>
      <c r="N63" s="47"/>
      <c r="O63" s="98">
        <f t="shared" si="10"/>
        <v>0</v>
      </c>
      <c r="P63" s="47" t="s">
        <v>713</v>
      </c>
      <c r="Q63" s="47"/>
      <c r="R63" s="99" t="str">
        <f t="shared" si="11"/>
        <v/>
      </c>
      <c r="S63" s="99">
        <f t="shared" si="8"/>
        <v>70</v>
      </c>
      <c r="T63" s="100">
        <f>H63*[1]!FMainPool1Fee+I63*[1]!FMainPool2Fee+J63*[1]!FMainPool3Fee+K63*[1]!FMainPool4Fee+B63*[1]!FMainEntryFee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16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8">
        <f t="shared" si="10"/>
        <v>0</v>
      </c>
      <c r="P64" s="47" t="s">
        <v>701</v>
      </c>
      <c r="Q64" s="47">
        <v>8223</v>
      </c>
      <c r="R64" s="99">
        <f t="shared" si="11"/>
        <v>100</v>
      </c>
      <c r="S64" s="99" t="str">
        <f t="shared" si="8"/>
        <v/>
      </c>
      <c r="T64" s="100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8">
        <f t="shared" si="10"/>
        <v>0</v>
      </c>
      <c r="P65" s="47" t="s">
        <v>701</v>
      </c>
      <c r="Q65" s="47">
        <v>677</v>
      </c>
      <c r="R65" s="99">
        <f t="shared" si="11"/>
        <v>110</v>
      </c>
      <c r="S65" s="99" t="str">
        <f t="shared" si="8"/>
        <v/>
      </c>
      <c r="T65" s="100">
        <f>H65*[1]!FMainPool1Fee+I65*[1]!FMainPool2Fee+J65*[1]!FMainPool3Fee+K65*[1]!FMainPool4Fee+B65*[1]!FMainEntryFee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8">
        <f t="shared" si="10"/>
        <v>0</v>
      </c>
      <c r="P66" s="47" t="s">
        <v>701</v>
      </c>
      <c r="Q66" s="47">
        <v>677</v>
      </c>
      <c r="R66" s="99">
        <f t="shared" si="11"/>
        <v>80</v>
      </c>
      <c r="S66" s="99" t="str">
        <f t="shared" ref="S66:S97" si="12">IF(OR(P66="$",N66=1),+T66,"")</f>
        <v/>
      </c>
      <c r="T66" s="100">
        <f>H66*[1]!FMainPool1Fee+I66*[1]!FMainPool2Fee+J66*[1]!FMainPool3Fee+K66*[1]!FMainPool4Fee+B66*[1]!FMainEntryFee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8">
        <f t="shared" si="10"/>
        <v>0</v>
      </c>
      <c r="P67" s="47" t="s">
        <v>701</v>
      </c>
      <c r="Q67" s="47">
        <v>2480</v>
      </c>
      <c r="R67" s="99">
        <f t="shared" si="11"/>
        <v>80</v>
      </c>
      <c r="S67" s="99" t="str">
        <f t="shared" si="12"/>
        <v/>
      </c>
      <c r="T67" s="100">
        <f>H67*[1]!FMainPool1Fee+I67*[1]!FMainPool2Fee+J67*[1]!FMainPool3Fee+K67*[1]!FMainPool4Fee+B67*[1]!FMainEntryFee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16" t="s">
        <v>597</v>
      </c>
      <c r="H68" s="49"/>
      <c r="I68" s="47"/>
      <c r="J68" s="47"/>
      <c r="K68" s="47"/>
      <c r="L68" s="47"/>
      <c r="M68" s="47"/>
      <c r="N68" s="47">
        <v>1</v>
      </c>
      <c r="O68" s="98">
        <f t="shared" si="10"/>
        <v>70</v>
      </c>
      <c r="P68" s="47" t="s">
        <v>713</v>
      </c>
      <c r="Q68" s="47"/>
      <c r="R68" s="99" t="str">
        <f t="shared" si="11"/>
        <v/>
      </c>
      <c r="S68" s="99">
        <f t="shared" si="12"/>
        <v>70</v>
      </c>
      <c r="T68" s="100">
        <f>H68*[1]!FMainPool1Fee+I68*[1]!FMainPool2Fee+J68*[1]!FMainPool3Fee+K68*[1]!FMainPool4Fee+B68*[1]!FMainEntryFee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761</v>
      </c>
      <c r="D69" s="7" t="s">
        <v>409</v>
      </c>
      <c r="E69" s="8" t="s">
        <v>762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8">
        <f t="shared" si="10"/>
        <v>70</v>
      </c>
      <c r="P69" s="47" t="s">
        <v>713</v>
      </c>
      <c r="Q69" s="47"/>
      <c r="R69" s="99" t="str">
        <f t="shared" si="11"/>
        <v/>
      </c>
      <c r="S69" s="99">
        <f t="shared" si="12"/>
        <v>70</v>
      </c>
      <c r="T69" s="100">
        <f>H69*[1]!FMainPool1Fee+I69*[1]!FMainPool2Fee+J69*[1]!FMainPool3Fee+K69*[1]!FMainPool4Fee+B69*[1]!FMainEntryFee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16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8">
        <f t="shared" si="10"/>
        <v>0</v>
      </c>
      <c r="P70" s="47" t="s">
        <v>701</v>
      </c>
      <c r="Q70" s="47">
        <v>3948</v>
      </c>
      <c r="R70" s="99">
        <f t="shared" si="11"/>
        <v>100</v>
      </c>
      <c r="S70" s="99" t="str">
        <f t="shared" si="12"/>
        <v/>
      </c>
      <c r="T70" s="100">
        <f>H70*[1]!FMainPool1Fee+I70*[1]!FMainPool2Fee+J70*[1]!FMainPool3Fee+K70*[1]!FMainPool4Fee+B70*[1]!FMainEntryFee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20">
        <v>5103661378</v>
      </c>
      <c r="G71" s="116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8">
        <f t="shared" si="10"/>
        <v>0</v>
      </c>
      <c r="P71" s="47" t="s">
        <v>701</v>
      </c>
      <c r="Q71" s="47">
        <v>317</v>
      </c>
      <c r="R71" s="99">
        <f t="shared" si="11"/>
        <v>90</v>
      </c>
      <c r="S71" s="99" t="str">
        <f t="shared" si="12"/>
        <v/>
      </c>
      <c r="T71" s="100">
        <f>H71*[1]!FMainPool1Fee+I71*[1]!FMainPool2Fee+J71*[1]!FMainPool3Fee+K71*[1]!FMainPool4Fee+B71*[1]!FMainEntryFee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8">
        <f t="shared" si="10"/>
        <v>0</v>
      </c>
      <c r="P72" s="47" t="s">
        <v>701</v>
      </c>
      <c r="Q72" s="47"/>
      <c r="R72" s="99">
        <f t="shared" si="11"/>
        <v>0</v>
      </c>
      <c r="S72" s="99" t="str">
        <f t="shared" si="12"/>
        <v/>
      </c>
      <c r="T72" s="100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112">
        <v>9098875893</v>
      </c>
      <c r="G73" s="116" t="s">
        <v>448</v>
      </c>
      <c r="H73" s="49"/>
      <c r="I73" s="47"/>
      <c r="J73" s="47"/>
      <c r="K73" s="47"/>
      <c r="L73" s="47"/>
      <c r="M73" s="47"/>
      <c r="N73" s="47"/>
      <c r="O73" s="98">
        <f t="shared" si="10"/>
        <v>0</v>
      </c>
      <c r="P73" s="47" t="s">
        <v>701</v>
      </c>
      <c r="Q73" s="47"/>
      <c r="R73" s="99">
        <f t="shared" si="11"/>
        <v>0</v>
      </c>
      <c r="S73" s="99" t="str">
        <f t="shared" si="12"/>
        <v/>
      </c>
      <c r="T73" s="100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8">
        <f t="shared" si="10"/>
        <v>0</v>
      </c>
      <c r="P74" s="47" t="s">
        <v>701</v>
      </c>
      <c r="Q74" s="47"/>
      <c r="R74" s="99">
        <f t="shared" si="11"/>
        <v>0</v>
      </c>
      <c r="S74" s="99" t="str">
        <f t="shared" si="12"/>
        <v/>
      </c>
      <c r="T74" s="100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8">
        <f t="shared" si="10"/>
        <v>0</v>
      </c>
      <c r="P75" s="47" t="s">
        <v>701</v>
      </c>
      <c r="Q75" s="47"/>
      <c r="R75" s="99">
        <f t="shared" si="11"/>
        <v>0</v>
      </c>
      <c r="S75" s="99" t="str">
        <f t="shared" si="12"/>
        <v/>
      </c>
      <c r="T75" s="100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16" t="s">
        <v>451</v>
      </c>
      <c r="H76" s="49"/>
      <c r="I76" s="47"/>
      <c r="J76" s="47"/>
      <c r="K76" s="47"/>
      <c r="L76" s="47"/>
      <c r="M76" s="47"/>
      <c r="N76" s="47"/>
      <c r="O76" s="98">
        <f t="shared" si="10"/>
        <v>0</v>
      </c>
      <c r="P76" s="47" t="s">
        <v>701</v>
      </c>
      <c r="Q76" s="47"/>
      <c r="R76" s="99">
        <f t="shared" si="11"/>
        <v>0</v>
      </c>
      <c r="S76" s="99" t="str">
        <f t="shared" si="12"/>
        <v/>
      </c>
      <c r="T76" s="100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7"/>
      <c r="E77" s="30" t="s">
        <v>698</v>
      </c>
      <c r="F77" s="122"/>
      <c r="G77" s="107"/>
      <c r="H77" s="49"/>
      <c r="I77" s="47"/>
      <c r="J77" s="47"/>
      <c r="K77" s="47"/>
      <c r="L77" s="47"/>
      <c r="M77" s="47"/>
      <c r="N77" s="47"/>
      <c r="O77" s="98">
        <f t="shared" si="10"/>
        <v>0</v>
      </c>
      <c r="P77" s="47" t="s">
        <v>701</v>
      </c>
      <c r="Q77" s="47"/>
      <c r="R77" s="99">
        <f t="shared" si="11"/>
        <v>0</v>
      </c>
      <c r="S77" s="99" t="str">
        <f t="shared" si="12"/>
        <v/>
      </c>
      <c r="T77" s="100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20"/>
      <c r="G78" s="15"/>
      <c r="H78" s="49"/>
      <c r="I78" s="47"/>
      <c r="J78" s="47"/>
      <c r="K78" s="47"/>
      <c r="L78" s="47"/>
      <c r="M78" s="47"/>
      <c r="N78" s="47"/>
      <c r="O78" s="98">
        <f t="shared" si="10"/>
        <v>0</v>
      </c>
      <c r="P78" s="47" t="s">
        <v>701</v>
      </c>
      <c r="Q78" s="47"/>
      <c r="R78" s="99">
        <f t="shared" si="11"/>
        <v>0</v>
      </c>
      <c r="S78" s="99" t="str">
        <f t="shared" si="12"/>
        <v/>
      </c>
      <c r="T78" s="100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16" t="s">
        <v>454</v>
      </c>
      <c r="H79" s="49"/>
      <c r="I79" s="47"/>
      <c r="J79" s="47"/>
      <c r="K79" s="47"/>
      <c r="L79" s="47"/>
      <c r="M79" s="47"/>
      <c r="N79" s="47"/>
      <c r="O79" s="98">
        <f t="shared" si="10"/>
        <v>0</v>
      </c>
      <c r="P79" s="47" t="s">
        <v>701</v>
      </c>
      <c r="Q79" s="47"/>
      <c r="R79" s="99">
        <f t="shared" si="11"/>
        <v>0</v>
      </c>
      <c r="S79" s="99" t="str">
        <f t="shared" si="12"/>
        <v/>
      </c>
      <c r="T79" s="100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8">
        <f t="shared" si="10"/>
        <v>0</v>
      </c>
      <c r="P80" s="47" t="s">
        <v>701</v>
      </c>
      <c r="Q80" s="47"/>
      <c r="R80" s="99">
        <f t="shared" si="11"/>
        <v>0</v>
      </c>
      <c r="S80" s="99" t="str">
        <f t="shared" si="12"/>
        <v/>
      </c>
      <c r="T80" s="100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8">
        <f t="shared" ref="O81:O112" si="14">T81*N81</f>
        <v>0</v>
      </c>
      <c r="P81" s="47" t="s">
        <v>701</v>
      </c>
      <c r="Q81" s="47"/>
      <c r="R81" s="99">
        <f t="shared" si="11"/>
        <v>0</v>
      </c>
      <c r="S81" s="99" t="str">
        <f t="shared" si="12"/>
        <v/>
      </c>
      <c r="T81" s="100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20"/>
      <c r="G82" s="15"/>
      <c r="H82" s="49"/>
      <c r="I82" s="47"/>
      <c r="J82" s="47"/>
      <c r="K82" s="47"/>
      <c r="L82" s="47"/>
      <c r="M82" s="47"/>
      <c r="N82" s="47"/>
      <c r="O82" s="98">
        <f t="shared" si="14"/>
        <v>0</v>
      </c>
      <c r="P82" s="47" t="s">
        <v>701</v>
      </c>
      <c r="Q82" s="47"/>
      <c r="R82" s="99">
        <f t="shared" si="11"/>
        <v>0</v>
      </c>
      <c r="S82" s="99" t="str">
        <f t="shared" si="12"/>
        <v/>
      </c>
      <c r="T82" s="100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20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8">
        <f t="shared" si="14"/>
        <v>0</v>
      </c>
      <c r="P83" s="47" t="s">
        <v>701</v>
      </c>
      <c r="Q83" s="47"/>
      <c r="R83" s="99">
        <f t="shared" si="11"/>
        <v>0</v>
      </c>
      <c r="S83" s="99" t="str">
        <f t="shared" si="12"/>
        <v/>
      </c>
      <c r="T83" s="100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113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8">
        <f t="shared" si="14"/>
        <v>0</v>
      </c>
      <c r="P84" s="47" t="s">
        <v>701</v>
      </c>
      <c r="Q84" s="47"/>
      <c r="R84" s="99">
        <f t="shared" si="11"/>
        <v>0</v>
      </c>
      <c r="S84" s="99" t="str">
        <f t="shared" si="12"/>
        <v/>
      </c>
      <c r="T84" s="100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8">
        <f t="shared" si="14"/>
        <v>0</v>
      </c>
      <c r="P85" s="47" t="s">
        <v>701</v>
      </c>
      <c r="Q85" s="47"/>
      <c r="R85" s="99">
        <f t="shared" si="11"/>
        <v>0</v>
      </c>
      <c r="S85" s="99" t="str">
        <f t="shared" si="12"/>
        <v/>
      </c>
      <c r="T85" s="100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8">
        <f t="shared" si="14"/>
        <v>0</v>
      </c>
      <c r="P86" s="47" t="s">
        <v>701</v>
      </c>
      <c r="Q86" s="47"/>
      <c r="R86" s="99">
        <f t="shared" si="11"/>
        <v>0</v>
      </c>
      <c r="S86" s="99" t="str">
        <f t="shared" si="12"/>
        <v/>
      </c>
      <c r="T86" s="100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112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8">
        <f t="shared" si="14"/>
        <v>0</v>
      </c>
      <c r="P87" s="47" t="s">
        <v>701</v>
      </c>
      <c r="Q87" s="47"/>
      <c r="R87" s="99">
        <f t="shared" si="11"/>
        <v>0</v>
      </c>
      <c r="S87" s="99" t="str">
        <f t="shared" si="12"/>
        <v/>
      </c>
      <c r="T87" s="100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8">
        <f t="shared" si="14"/>
        <v>0</v>
      </c>
      <c r="P88" s="47" t="s">
        <v>701</v>
      </c>
      <c r="Q88" s="47"/>
      <c r="R88" s="99">
        <f t="shared" si="11"/>
        <v>0</v>
      </c>
      <c r="S88" s="99" t="str">
        <f t="shared" si="12"/>
        <v/>
      </c>
      <c r="T88" s="100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720</v>
      </c>
      <c r="D89" s="5" t="s">
        <v>235</v>
      </c>
      <c r="E89" s="6" t="s">
        <v>721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8">
        <f t="shared" si="14"/>
        <v>0</v>
      </c>
      <c r="P89" s="47" t="s">
        <v>701</v>
      </c>
      <c r="Q89" s="47">
        <v>4818</v>
      </c>
      <c r="R89" s="99">
        <f t="shared" si="11"/>
        <v>0</v>
      </c>
      <c r="S89" s="99" t="str">
        <f t="shared" si="12"/>
        <v/>
      </c>
      <c r="T89" s="100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8">
        <f t="shared" si="14"/>
        <v>0</v>
      </c>
      <c r="P90" s="47" t="s">
        <v>701</v>
      </c>
      <c r="Q90" s="47"/>
      <c r="R90" s="99">
        <f t="shared" si="11"/>
        <v>0</v>
      </c>
      <c r="S90" s="99" t="str">
        <f t="shared" si="12"/>
        <v/>
      </c>
      <c r="T90" s="100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8">
        <f t="shared" si="14"/>
        <v>0</v>
      </c>
      <c r="P91" s="47" t="s">
        <v>701</v>
      </c>
      <c r="Q91" s="47"/>
      <c r="R91" s="99">
        <f t="shared" si="11"/>
        <v>0</v>
      </c>
      <c r="S91" s="99" t="str">
        <f t="shared" si="12"/>
        <v/>
      </c>
      <c r="T91" s="100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8">
        <f t="shared" si="14"/>
        <v>0</v>
      </c>
      <c r="P92" s="47" t="s">
        <v>701</v>
      </c>
      <c r="Q92" s="47"/>
      <c r="R92" s="99">
        <f t="shared" ref="R92:R123" si="15">IF(OR(P92="c",P92="C"),+T92,"")</f>
        <v>0</v>
      </c>
      <c r="S92" s="99" t="str">
        <f t="shared" si="12"/>
        <v/>
      </c>
      <c r="T92" s="100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8">
        <f t="shared" si="14"/>
        <v>0</v>
      </c>
      <c r="P93" s="47" t="s">
        <v>701</v>
      </c>
      <c r="Q93" s="47"/>
      <c r="R93" s="99">
        <f t="shared" si="15"/>
        <v>0</v>
      </c>
      <c r="S93" s="99" t="str">
        <f t="shared" si="12"/>
        <v/>
      </c>
      <c r="T93" s="100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16" t="s">
        <v>467</v>
      </c>
      <c r="H94" s="49"/>
      <c r="I94" s="47"/>
      <c r="J94" s="47"/>
      <c r="K94" s="47"/>
      <c r="L94" s="47"/>
      <c r="M94" s="47"/>
      <c r="N94" s="47"/>
      <c r="O94" s="98">
        <f t="shared" si="14"/>
        <v>0</v>
      </c>
      <c r="P94" s="47" t="s">
        <v>701</v>
      </c>
      <c r="Q94" s="47"/>
      <c r="R94" s="99">
        <f t="shared" si="15"/>
        <v>0</v>
      </c>
      <c r="S94" s="99" t="str">
        <f t="shared" si="12"/>
        <v/>
      </c>
      <c r="T94" s="100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8">
        <f t="shared" si="14"/>
        <v>0</v>
      </c>
      <c r="P95" s="47" t="s">
        <v>701</v>
      </c>
      <c r="Q95" s="47"/>
      <c r="R95" s="99">
        <f t="shared" si="15"/>
        <v>0</v>
      </c>
      <c r="S95" s="99" t="str">
        <f t="shared" si="12"/>
        <v/>
      </c>
      <c r="T95" s="100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20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8">
        <f t="shared" si="14"/>
        <v>0</v>
      </c>
      <c r="P96" s="47" t="s">
        <v>701</v>
      </c>
      <c r="Q96" s="47"/>
      <c r="R96" s="99">
        <f t="shared" si="15"/>
        <v>0</v>
      </c>
      <c r="S96" s="99" t="str">
        <f t="shared" si="12"/>
        <v/>
      </c>
      <c r="T96" s="100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8">
        <f t="shared" si="14"/>
        <v>0</v>
      </c>
      <c r="P97" s="47" t="s">
        <v>701</v>
      </c>
      <c r="Q97" s="47"/>
      <c r="R97" s="99">
        <f t="shared" si="15"/>
        <v>0</v>
      </c>
      <c r="S97" s="99" t="str">
        <f t="shared" si="12"/>
        <v/>
      </c>
      <c r="T97" s="100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8">
        <f t="shared" si="14"/>
        <v>0</v>
      </c>
      <c r="P98" s="47" t="s">
        <v>701</v>
      </c>
      <c r="Q98" s="47"/>
      <c r="R98" s="99">
        <f t="shared" si="15"/>
        <v>0</v>
      </c>
      <c r="S98" s="99" t="str">
        <f t="shared" ref="S98:S129" si="16">IF(OR(P98="$",N98=1),+T98,"")</f>
        <v/>
      </c>
      <c r="T98" s="100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8">
        <f t="shared" si="14"/>
        <v>0</v>
      </c>
      <c r="P99" s="47" t="s">
        <v>701</v>
      </c>
      <c r="Q99" s="47"/>
      <c r="R99" s="99">
        <f t="shared" si="15"/>
        <v>0</v>
      </c>
      <c r="S99" s="99" t="str">
        <f t="shared" si="16"/>
        <v/>
      </c>
      <c r="T99" s="100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8">
        <f t="shared" si="14"/>
        <v>0</v>
      </c>
      <c r="P100" s="47" t="s">
        <v>701</v>
      </c>
      <c r="Q100" s="47"/>
      <c r="R100" s="99">
        <f t="shared" si="15"/>
        <v>0</v>
      </c>
      <c r="S100" s="99" t="str">
        <f t="shared" si="16"/>
        <v/>
      </c>
      <c r="T100" s="100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8">
        <f t="shared" si="14"/>
        <v>0</v>
      </c>
      <c r="P101" s="47" t="s">
        <v>701</v>
      </c>
      <c r="Q101" s="47"/>
      <c r="R101" s="99">
        <f t="shared" si="15"/>
        <v>0</v>
      </c>
      <c r="S101" s="99" t="str">
        <f t="shared" si="16"/>
        <v/>
      </c>
      <c r="T101" s="100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8">
        <f t="shared" si="14"/>
        <v>0</v>
      </c>
      <c r="P102" s="47" t="s">
        <v>701</v>
      </c>
      <c r="Q102" s="47"/>
      <c r="R102" s="99">
        <f t="shared" si="15"/>
        <v>0</v>
      </c>
      <c r="S102" s="99" t="str">
        <f t="shared" si="16"/>
        <v/>
      </c>
      <c r="T102" s="100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8">
        <f t="shared" si="14"/>
        <v>0</v>
      </c>
      <c r="P103" s="47" t="s">
        <v>701</v>
      </c>
      <c r="Q103" s="47"/>
      <c r="R103" s="99">
        <f t="shared" si="15"/>
        <v>0</v>
      </c>
      <c r="S103" s="99" t="str">
        <f t="shared" si="16"/>
        <v/>
      </c>
      <c r="T103" s="100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8">
        <f t="shared" si="14"/>
        <v>0</v>
      </c>
      <c r="P104" s="47" t="s">
        <v>701</v>
      </c>
      <c r="Q104" s="47"/>
      <c r="R104" s="99">
        <f t="shared" si="15"/>
        <v>0</v>
      </c>
      <c r="S104" s="99" t="str">
        <f t="shared" si="16"/>
        <v/>
      </c>
      <c r="T104" s="100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20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8">
        <f t="shared" si="14"/>
        <v>0</v>
      </c>
      <c r="P105" s="47" t="s">
        <v>701</v>
      </c>
      <c r="Q105" s="47"/>
      <c r="R105" s="99">
        <f t="shared" si="15"/>
        <v>0</v>
      </c>
      <c r="S105" s="99" t="str">
        <f t="shared" si="16"/>
        <v/>
      </c>
      <c r="T105" s="100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8">
        <f t="shared" si="14"/>
        <v>0</v>
      </c>
      <c r="P106" s="47" t="s">
        <v>701</v>
      </c>
      <c r="Q106" s="47"/>
      <c r="R106" s="99">
        <f t="shared" si="15"/>
        <v>0</v>
      </c>
      <c r="S106" s="99" t="str">
        <f t="shared" si="16"/>
        <v/>
      </c>
      <c r="T106" s="100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8">
        <f t="shared" si="14"/>
        <v>0</v>
      </c>
      <c r="P107" s="47" t="s">
        <v>701</v>
      </c>
      <c r="Q107" s="47"/>
      <c r="R107" s="99">
        <f t="shared" si="15"/>
        <v>0</v>
      </c>
      <c r="S107" s="99" t="str">
        <f t="shared" si="16"/>
        <v/>
      </c>
      <c r="T107" s="100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8">
        <f t="shared" si="14"/>
        <v>0</v>
      </c>
      <c r="P108" s="47" t="s">
        <v>701</v>
      </c>
      <c r="Q108" s="47"/>
      <c r="R108" s="99">
        <f t="shared" si="15"/>
        <v>0</v>
      </c>
      <c r="S108" s="99" t="str">
        <f t="shared" si="16"/>
        <v/>
      </c>
      <c r="T108" s="100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112"/>
      <c r="G109" s="12" t="s">
        <v>494</v>
      </c>
      <c r="H109" s="49"/>
      <c r="I109" s="47"/>
      <c r="J109" s="47"/>
      <c r="K109" s="47"/>
      <c r="L109" s="47"/>
      <c r="M109" s="47"/>
      <c r="N109" s="47"/>
      <c r="O109" s="98">
        <f t="shared" si="14"/>
        <v>0</v>
      </c>
      <c r="P109" s="47" t="s">
        <v>701</v>
      </c>
      <c r="Q109" s="47"/>
      <c r="R109" s="99">
        <f t="shared" si="15"/>
        <v>0</v>
      </c>
      <c r="S109" s="99" t="str">
        <f t="shared" si="16"/>
        <v/>
      </c>
      <c r="T109" s="100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17"/>
      <c r="G110" s="15"/>
      <c r="H110" s="49"/>
      <c r="I110" s="47"/>
      <c r="J110" s="47"/>
      <c r="K110" s="47"/>
      <c r="L110" s="47"/>
      <c r="M110" s="47"/>
      <c r="N110" s="47"/>
      <c r="O110" s="98">
        <f t="shared" si="14"/>
        <v>0</v>
      </c>
      <c r="P110" s="47" t="s">
        <v>701</v>
      </c>
      <c r="Q110" s="47"/>
      <c r="R110" s="99">
        <f t="shared" si="15"/>
        <v>0</v>
      </c>
      <c r="S110" s="99" t="str">
        <f t="shared" si="16"/>
        <v/>
      </c>
      <c r="T110" s="100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8">
        <f t="shared" si="14"/>
        <v>0</v>
      </c>
      <c r="P111" s="47" t="s">
        <v>701</v>
      </c>
      <c r="Q111" s="47"/>
      <c r="R111" s="99">
        <f t="shared" si="15"/>
        <v>0</v>
      </c>
      <c r="S111" s="99" t="str">
        <f t="shared" si="16"/>
        <v/>
      </c>
      <c r="T111" s="100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16" t="s">
        <v>495</v>
      </c>
      <c r="H112" s="49"/>
      <c r="I112" s="47"/>
      <c r="J112" s="47"/>
      <c r="K112" s="47"/>
      <c r="L112" s="47"/>
      <c r="M112" s="47"/>
      <c r="N112" s="47"/>
      <c r="O112" s="98">
        <f t="shared" si="14"/>
        <v>0</v>
      </c>
      <c r="P112" s="47" t="s">
        <v>701</v>
      </c>
      <c r="Q112" s="47"/>
      <c r="R112" s="99">
        <f t="shared" si="15"/>
        <v>0</v>
      </c>
      <c r="S112" s="99" t="str">
        <f t="shared" si="16"/>
        <v/>
      </c>
      <c r="T112" s="100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16" t="s">
        <v>496</v>
      </c>
      <c r="H113" s="49"/>
      <c r="I113" s="47"/>
      <c r="J113" s="47"/>
      <c r="K113" s="47"/>
      <c r="L113" s="47"/>
      <c r="M113" s="47"/>
      <c r="N113" s="47"/>
      <c r="O113" s="98">
        <f t="shared" ref="O113:O144" si="17">T113*N113</f>
        <v>0</v>
      </c>
      <c r="P113" s="47" t="s">
        <v>701</v>
      </c>
      <c r="Q113" s="47"/>
      <c r="R113" s="99">
        <f t="shared" si="15"/>
        <v>0</v>
      </c>
      <c r="S113" s="99" t="str">
        <f t="shared" si="16"/>
        <v/>
      </c>
      <c r="T113" s="100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20"/>
      <c r="G114" s="15"/>
      <c r="H114" s="49"/>
      <c r="I114" s="47"/>
      <c r="J114" s="47"/>
      <c r="K114" s="47"/>
      <c r="L114" s="47"/>
      <c r="M114" s="47"/>
      <c r="N114" s="47"/>
      <c r="O114" s="98">
        <f t="shared" si="17"/>
        <v>0</v>
      </c>
      <c r="P114" s="47" t="s">
        <v>701</v>
      </c>
      <c r="Q114" s="47"/>
      <c r="R114" s="99">
        <f t="shared" si="15"/>
        <v>0</v>
      </c>
      <c r="S114" s="99" t="str">
        <f t="shared" si="16"/>
        <v/>
      </c>
      <c r="T114" s="100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8">
        <f t="shared" si="17"/>
        <v>0</v>
      </c>
      <c r="P115" s="47" t="s">
        <v>701</v>
      </c>
      <c r="Q115" s="47"/>
      <c r="R115" s="99">
        <f t="shared" si="15"/>
        <v>0</v>
      </c>
      <c r="S115" s="99" t="str">
        <f t="shared" si="16"/>
        <v/>
      </c>
      <c r="T115" s="100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8">
        <f t="shared" si="17"/>
        <v>0</v>
      </c>
      <c r="P116" s="47" t="s">
        <v>701</v>
      </c>
      <c r="Q116" s="47"/>
      <c r="R116" s="99">
        <f t="shared" si="15"/>
        <v>0</v>
      </c>
      <c r="S116" s="99" t="str">
        <f t="shared" si="16"/>
        <v/>
      </c>
      <c r="T116" s="100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16" t="s">
        <v>500</v>
      </c>
      <c r="H117" s="49"/>
      <c r="I117" s="47"/>
      <c r="J117" s="47"/>
      <c r="K117" s="47"/>
      <c r="L117" s="47"/>
      <c r="M117" s="47"/>
      <c r="N117" s="47"/>
      <c r="O117" s="98">
        <f t="shared" si="17"/>
        <v>0</v>
      </c>
      <c r="P117" s="47" t="s">
        <v>701</v>
      </c>
      <c r="Q117" s="47"/>
      <c r="R117" s="99">
        <f t="shared" si="15"/>
        <v>0</v>
      </c>
      <c r="S117" s="99" t="str">
        <f t="shared" si="16"/>
        <v/>
      </c>
      <c r="T117" s="100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20"/>
      <c r="G118" s="116" t="s">
        <v>660</v>
      </c>
      <c r="H118" s="49"/>
      <c r="I118" s="47"/>
      <c r="J118" s="47"/>
      <c r="K118" s="47"/>
      <c r="L118" s="47"/>
      <c r="M118" s="47"/>
      <c r="N118" s="47"/>
      <c r="O118" s="98">
        <f t="shared" si="17"/>
        <v>0</v>
      </c>
      <c r="P118" s="47" t="s">
        <v>701</v>
      </c>
      <c r="Q118" s="47"/>
      <c r="R118" s="99">
        <f t="shared" si="15"/>
        <v>0</v>
      </c>
      <c r="S118" s="99" t="str">
        <f t="shared" si="16"/>
        <v/>
      </c>
      <c r="T118" s="100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20"/>
      <c r="G119" s="116" t="s">
        <v>663</v>
      </c>
      <c r="H119" s="49"/>
      <c r="I119" s="47"/>
      <c r="J119" s="47"/>
      <c r="K119" s="47"/>
      <c r="L119" s="47"/>
      <c r="M119" s="47"/>
      <c r="N119" s="47"/>
      <c r="O119" s="98">
        <f t="shared" si="17"/>
        <v>0</v>
      </c>
      <c r="P119" s="47" t="s">
        <v>701</v>
      </c>
      <c r="Q119" s="47"/>
      <c r="R119" s="99">
        <f t="shared" si="15"/>
        <v>0</v>
      </c>
      <c r="S119" s="99" t="str">
        <f t="shared" si="16"/>
        <v/>
      </c>
      <c r="T119" s="100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16" t="s">
        <v>501</v>
      </c>
      <c r="H120" s="49"/>
      <c r="I120" s="47"/>
      <c r="J120" s="47"/>
      <c r="K120" s="47"/>
      <c r="L120" s="47"/>
      <c r="M120" s="47"/>
      <c r="N120" s="47"/>
      <c r="O120" s="98">
        <f t="shared" si="17"/>
        <v>0</v>
      </c>
      <c r="P120" s="47" t="s">
        <v>701</v>
      </c>
      <c r="Q120" s="47"/>
      <c r="R120" s="99">
        <f t="shared" si="15"/>
        <v>0</v>
      </c>
      <c r="S120" s="99" t="str">
        <f t="shared" si="16"/>
        <v/>
      </c>
      <c r="T120" s="100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112"/>
      <c r="G121" s="12" t="s">
        <v>503</v>
      </c>
      <c r="H121" s="49"/>
      <c r="I121" s="47"/>
      <c r="J121" s="47"/>
      <c r="K121" s="47"/>
      <c r="L121" s="47"/>
      <c r="M121" s="47"/>
      <c r="N121" s="47"/>
      <c r="O121" s="98">
        <f t="shared" si="17"/>
        <v>0</v>
      </c>
      <c r="P121" s="47" t="s">
        <v>701</v>
      </c>
      <c r="Q121" s="47"/>
      <c r="R121" s="99">
        <f t="shared" si="15"/>
        <v>0</v>
      </c>
      <c r="S121" s="99" t="str">
        <f t="shared" si="16"/>
        <v/>
      </c>
      <c r="T121" s="100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90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8">
        <f t="shared" si="17"/>
        <v>0</v>
      </c>
      <c r="P122" s="47" t="s">
        <v>701</v>
      </c>
      <c r="Q122" s="47"/>
      <c r="R122" s="99">
        <f t="shared" si="15"/>
        <v>0</v>
      </c>
      <c r="S122" s="99" t="str">
        <f t="shared" si="16"/>
        <v/>
      </c>
      <c r="T122" s="100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90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8">
        <f t="shared" si="17"/>
        <v>0</v>
      </c>
      <c r="P123" s="47" t="s">
        <v>701</v>
      </c>
      <c r="Q123" s="47"/>
      <c r="R123" s="99">
        <f t="shared" si="15"/>
        <v>0</v>
      </c>
      <c r="S123" s="99" t="str">
        <f t="shared" si="16"/>
        <v/>
      </c>
      <c r="T123" s="100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8">
        <f t="shared" si="17"/>
        <v>0</v>
      </c>
      <c r="P124" s="47" t="s">
        <v>701</v>
      </c>
      <c r="Q124" s="47"/>
      <c r="R124" s="99">
        <f t="shared" ref="R124:R155" si="18">IF(OR(P124="c",P124="C"),+T124,"")</f>
        <v>0</v>
      </c>
      <c r="S124" s="99" t="str">
        <f t="shared" si="16"/>
        <v/>
      </c>
      <c r="T124" s="100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8">
        <f t="shared" si="17"/>
        <v>0</v>
      </c>
      <c r="P125" s="47" t="s">
        <v>701</v>
      </c>
      <c r="Q125" s="47"/>
      <c r="R125" s="99">
        <f t="shared" si="18"/>
        <v>0</v>
      </c>
      <c r="S125" s="99" t="str">
        <f t="shared" si="16"/>
        <v/>
      </c>
      <c r="T125" s="100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8">
        <f t="shared" si="17"/>
        <v>0</v>
      </c>
      <c r="P126" s="47" t="s">
        <v>701</v>
      </c>
      <c r="Q126" s="47"/>
      <c r="R126" s="99">
        <f t="shared" si="18"/>
        <v>0</v>
      </c>
      <c r="S126" s="99" t="str">
        <f t="shared" si="16"/>
        <v/>
      </c>
      <c r="T126" s="100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8">
        <f t="shared" si="17"/>
        <v>0</v>
      </c>
      <c r="P127" s="47" t="s">
        <v>701</v>
      </c>
      <c r="Q127" s="47"/>
      <c r="R127" s="99">
        <f t="shared" si="18"/>
        <v>0</v>
      </c>
      <c r="S127" s="99" t="str">
        <f t="shared" si="16"/>
        <v/>
      </c>
      <c r="T127" s="100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8">
        <f t="shared" si="17"/>
        <v>0</v>
      </c>
      <c r="P128" s="47" t="s">
        <v>701</v>
      </c>
      <c r="Q128" s="47"/>
      <c r="R128" s="99">
        <f t="shared" si="18"/>
        <v>0</v>
      </c>
      <c r="S128" s="99" t="str">
        <f t="shared" si="16"/>
        <v/>
      </c>
      <c r="T128" s="100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8">
        <f t="shared" si="17"/>
        <v>0</v>
      </c>
      <c r="P129" s="47" t="s">
        <v>701</v>
      </c>
      <c r="Q129" s="47"/>
      <c r="R129" s="99">
        <f t="shared" si="18"/>
        <v>0</v>
      </c>
      <c r="S129" s="99" t="str">
        <f t="shared" si="16"/>
        <v/>
      </c>
      <c r="T129" s="100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20" t="s">
        <v>737</v>
      </c>
      <c r="G130" s="116" t="s">
        <v>517</v>
      </c>
      <c r="H130" s="49"/>
      <c r="I130" s="47"/>
      <c r="J130" s="47"/>
      <c r="K130" s="47"/>
      <c r="L130" s="47"/>
      <c r="M130" s="47"/>
      <c r="N130" s="47"/>
      <c r="O130" s="98">
        <f t="shared" si="17"/>
        <v>0</v>
      </c>
      <c r="P130" s="47" t="s">
        <v>701</v>
      </c>
      <c r="Q130" s="47"/>
      <c r="R130" s="99">
        <f t="shared" si="18"/>
        <v>0</v>
      </c>
      <c r="S130" s="99" t="str">
        <f t="shared" ref="S130:S161" si="19">IF(OR(P130="$",N130=1),+T130,"")</f>
        <v/>
      </c>
      <c r="T130" s="100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8">
        <f t="shared" si="17"/>
        <v>0</v>
      </c>
      <c r="P131" s="47" t="s">
        <v>701</v>
      </c>
      <c r="Q131" s="47"/>
      <c r="R131" s="99">
        <f t="shared" si="18"/>
        <v>0</v>
      </c>
      <c r="S131" s="99" t="str">
        <f t="shared" si="19"/>
        <v/>
      </c>
      <c r="T131" s="100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8">
        <f t="shared" si="17"/>
        <v>0</v>
      </c>
      <c r="P132" s="47" t="s">
        <v>701</v>
      </c>
      <c r="Q132" s="47"/>
      <c r="R132" s="99">
        <f t="shared" si="18"/>
        <v>0</v>
      </c>
      <c r="S132" s="99" t="str">
        <f t="shared" si="19"/>
        <v/>
      </c>
      <c r="T132" s="100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16" t="s">
        <v>521</v>
      </c>
      <c r="H133" s="49"/>
      <c r="I133" s="47"/>
      <c r="J133" s="47"/>
      <c r="K133" s="47"/>
      <c r="L133" s="47"/>
      <c r="M133" s="47"/>
      <c r="N133" s="47"/>
      <c r="O133" s="98">
        <f t="shared" si="17"/>
        <v>0</v>
      </c>
      <c r="P133" s="47" t="s">
        <v>701</v>
      </c>
      <c r="Q133" s="47"/>
      <c r="R133" s="99">
        <f t="shared" si="18"/>
        <v>0</v>
      </c>
      <c r="S133" s="99" t="str">
        <f t="shared" si="19"/>
        <v/>
      </c>
      <c r="T133" s="100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8">
        <f t="shared" si="17"/>
        <v>0</v>
      </c>
      <c r="P134" s="47" t="s">
        <v>701</v>
      </c>
      <c r="Q134" s="47"/>
      <c r="R134" s="99">
        <f t="shared" si="18"/>
        <v>0</v>
      </c>
      <c r="S134" s="99" t="str">
        <f t="shared" si="19"/>
        <v/>
      </c>
      <c r="T134" s="100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112"/>
      <c r="G135" s="12" t="s">
        <v>522</v>
      </c>
      <c r="H135" s="49"/>
      <c r="I135" s="47"/>
      <c r="J135" s="47"/>
      <c r="K135" s="47"/>
      <c r="L135" s="47"/>
      <c r="M135" s="47"/>
      <c r="N135" s="47"/>
      <c r="O135" s="98">
        <f t="shared" si="17"/>
        <v>0</v>
      </c>
      <c r="P135" s="47" t="s">
        <v>701</v>
      </c>
      <c r="Q135" s="47"/>
      <c r="R135" s="99">
        <f t="shared" si="18"/>
        <v>0</v>
      </c>
      <c r="S135" s="99" t="str">
        <f t="shared" si="19"/>
        <v/>
      </c>
      <c r="T135" s="100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20"/>
      <c r="G136" s="12" t="s">
        <v>523</v>
      </c>
      <c r="H136" s="49"/>
      <c r="I136" s="47"/>
      <c r="J136" s="47"/>
      <c r="K136" s="47"/>
      <c r="L136" s="47"/>
      <c r="M136" s="47"/>
      <c r="N136" s="47"/>
      <c r="O136" s="98">
        <f t="shared" si="17"/>
        <v>0</v>
      </c>
      <c r="P136" s="47" t="s">
        <v>701</v>
      </c>
      <c r="Q136" s="47"/>
      <c r="R136" s="99">
        <f t="shared" si="18"/>
        <v>0</v>
      </c>
      <c r="S136" s="99" t="str">
        <f t="shared" si="19"/>
        <v/>
      </c>
      <c r="T136" s="100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8">
        <f t="shared" si="17"/>
        <v>0</v>
      </c>
      <c r="P137" s="47" t="s">
        <v>701</v>
      </c>
      <c r="Q137" s="47"/>
      <c r="R137" s="99">
        <f t="shared" si="18"/>
        <v>0</v>
      </c>
      <c r="S137" s="99" t="str">
        <f t="shared" si="19"/>
        <v/>
      </c>
      <c r="T137" s="100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8">
        <f t="shared" si="17"/>
        <v>0</v>
      </c>
      <c r="P138" s="47" t="s">
        <v>701</v>
      </c>
      <c r="Q138" s="47"/>
      <c r="R138" s="99">
        <f t="shared" si="18"/>
        <v>0</v>
      </c>
      <c r="S138" s="99" t="str">
        <f t="shared" si="19"/>
        <v/>
      </c>
      <c r="T138" s="100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8">
        <f t="shared" si="17"/>
        <v>0</v>
      </c>
      <c r="P139" s="47" t="s">
        <v>701</v>
      </c>
      <c r="Q139" s="47"/>
      <c r="R139" s="99">
        <f t="shared" si="18"/>
        <v>0</v>
      </c>
      <c r="S139" s="99" t="str">
        <f t="shared" si="19"/>
        <v/>
      </c>
      <c r="T139" s="100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16" t="s">
        <v>525</v>
      </c>
      <c r="H140" s="49"/>
      <c r="I140" s="47"/>
      <c r="J140" s="47"/>
      <c r="K140" s="47"/>
      <c r="L140" s="47"/>
      <c r="M140" s="47"/>
      <c r="N140" s="47"/>
      <c r="O140" s="98">
        <f t="shared" si="17"/>
        <v>0</v>
      </c>
      <c r="P140" s="47" t="s">
        <v>701</v>
      </c>
      <c r="Q140" s="47">
        <v>1059</v>
      </c>
      <c r="R140" s="99">
        <f t="shared" si="18"/>
        <v>0</v>
      </c>
      <c r="S140" s="99" t="str">
        <f t="shared" si="19"/>
        <v/>
      </c>
      <c r="T140" s="100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8">
        <f t="shared" si="17"/>
        <v>0</v>
      </c>
      <c r="P141" s="47" t="s">
        <v>701</v>
      </c>
      <c r="Q141" s="47"/>
      <c r="R141" s="99">
        <f t="shared" si="18"/>
        <v>0</v>
      </c>
      <c r="S141" s="99" t="str">
        <f t="shared" si="19"/>
        <v/>
      </c>
      <c r="T141" s="100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8">
        <f t="shared" si="17"/>
        <v>0</v>
      </c>
      <c r="P142" s="47" t="s">
        <v>701</v>
      </c>
      <c r="Q142" s="47"/>
      <c r="R142" s="99">
        <f t="shared" si="18"/>
        <v>0</v>
      </c>
      <c r="S142" s="99" t="str">
        <f t="shared" si="19"/>
        <v/>
      </c>
      <c r="T142" s="100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8">
        <f t="shared" si="17"/>
        <v>0</v>
      </c>
      <c r="P143" s="47" t="s">
        <v>701</v>
      </c>
      <c r="Q143" s="47"/>
      <c r="R143" s="99">
        <f t="shared" si="18"/>
        <v>0</v>
      </c>
      <c r="S143" s="99" t="str">
        <f t="shared" si="19"/>
        <v/>
      </c>
      <c r="T143" s="100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8">
        <f t="shared" si="17"/>
        <v>0</v>
      </c>
      <c r="P144" s="47" t="s">
        <v>701</v>
      </c>
      <c r="Q144" s="47"/>
      <c r="R144" s="99">
        <f t="shared" si="18"/>
        <v>0</v>
      </c>
      <c r="S144" s="99" t="str">
        <f t="shared" si="19"/>
        <v/>
      </c>
      <c r="T144" s="100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8">
        <f t="shared" ref="O145:O176" si="21">T145*N145</f>
        <v>0</v>
      </c>
      <c r="P145" s="47" t="s">
        <v>701</v>
      </c>
      <c r="Q145" s="47"/>
      <c r="R145" s="99">
        <f t="shared" si="18"/>
        <v>0</v>
      </c>
      <c r="S145" s="99" t="str">
        <f t="shared" si="19"/>
        <v/>
      </c>
      <c r="T145" s="100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8">
        <f t="shared" si="21"/>
        <v>0</v>
      </c>
      <c r="P146" s="47" t="s">
        <v>701</v>
      </c>
      <c r="Q146" s="47"/>
      <c r="R146" s="99">
        <f t="shared" si="18"/>
        <v>0</v>
      </c>
      <c r="S146" s="99" t="str">
        <f t="shared" si="19"/>
        <v/>
      </c>
      <c r="T146" s="100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8">
        <f t="shared" si="21"/>
        <v>0</v>
      </c>
      <c r="P147" s="47" t="s">
        <v>701</v>
      </c>
      <c r="Q147" s="47"/>
      <c r="R147" s="99">
        <f t="shared" si="18"/>
        <v>0</v>
      </c>
      <c r="S147" s="99" t="str">
        <f t="shared" si="19"/>
        <v/>
      </c>
      <c r="T147" s="100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21" t="s">
        <v>535</v>
      </c>
      <c r="G148" s="116" t="s">
        <v>536</v>
      </c>
      <c r="H148" s="49"/>
      <c r="I148" s="47"/>
      <c r="J148" s="47"/>
      <c r="K148" s="47"/>
      <c r="L148" s="47"/>
      <c r="M148" s="47"/>
      <c r="N148" s="47"/>
      <c r="O148" s="98">
        <f t="shared" si="21"/>
        <v>0</v>
      </c>
      <c r="P148" s="47" t="s">
        <v>701</v>
      </c>
      <c r="Q148" s="47"/>
      <c r="R148" s="99">
        <f t="shared" si="18"/>
        <v>0</v>
      </c>
      <c r="S148" s="99" t="str">
        <f t="shared" si="19"/>
        <v/>
      </c>
      <c r="T148" s="100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20" t="s">
        <v>535</v>
      </c>
      <c r="G149" s="116" t="s">
        <v>537</v>
      </c>
      <c r="H149" s="49"/>
      <c r="I149" s="47"/>
      <c r="J149" s="47"/>
      <c r="K149" s="47"/>
      <c r="L149" s="47"/>
      <c r="M149" s="47"/>
      <c r="N149" s="47"/>
      <c r="O149" s="98">
        <f t="shared" si="21"/>
        <v>0</v>
      </c>
      <c r="P149" s="47" t="s">
        <v>701</v>
      </c>
      <c r="Q149" s="47"/>
      <c r="R149" s="99">
        <f t="shared" si="18"/>
        <v>0</v>
      </c>
      <c r="S149" s="99" t="str">
        <f t="shared" si="19"/>
        <v/>
      </c>
      <c r="T149" s="100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20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8">
        <f t="shared" si="21"/>
        <v>0</v>
      </c>
      <c r="P150" s="47" t="s">
        <v>701</v>
      </c>
      <c r="Q150" s="47"/>
      <c r="R150" s="99">
        <f t="shared" si="18"/>
        <v>0</v>
      </c>
      <c r="S150" s="99" t="str">
        <f t="shared" si="19"/>
        <v/>
      </c>
      <c r="T150" s="100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8">
        <f t="shared" si="21"/>
        <v>0</v>
      </c>
      <c r="P151" s="47" t="s">
        <v>701</v>
      </c>
      <c r="Q151" s="47"/>
      <c r="R151" s="99">
        <f t="shared" si="18"/>
        <v>0</v>
      </c>
      <c r="S151" s="99" t="str">
        <f t="shared" si="19"/>
        <v/>
      </c>
      <c r="T151" s="100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8">
        <f t="shared" si="21"/>
        <v>0</v>
      </c>
      <c r="P152" s="47" t="s">
        <v>701</v>
      </c>
      <c r="Q152" s="47"/>
      <c r="R152" s="99">
        <f t="shared" si="18"/>
        <v>0</v>
      </c>
      <c r="S152" s="99" t="str">
        <f t="shared" si="19"/>
        <v/>
      </c>
      <c r="T152" s="100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8">
        <f t="shared" si="21"/>
        <v>0</v>
      </c>
      <c r="P153" s="47" t="s">
        <v>701</v>
      </c>
      <c r="Q153" s="47"/>
      <c r="R153" s="99">
        <f t="shared" si="18"/>
        <v>0</v>
      </c>
      <c r="S153" s="99" t="str">
        <f t="shared" si="19"/>
        <v/>
      </c>
      <c r="T153" s="100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3" t="s">
        <v>546</v>
      </c>
      <c r="H154" s="49"/>
      <c r="I154" s="47"/>
      <c r="J154" s="47"/>
      <c r="K154" s="47"/>
      <c r="L154" s="47"/>
      <c r="M154" s="47"/>
      <c r="N154" s="47"/>
      <c r="O154" s="98">
        <f t="shared" si="21"/>
        <v>0</v>
      </c>
      <c r="P154" s="47" t="s">
        <v>701</v>
      </c>
      <c r="Q154" s="47"/>
      <c r="R154" s="99">
        <f t="shared" si="18"/>
        <v>0</v>
      </c>
      <c r="S154" s="99" t="str">
        <f t="shared" si="19"/>
        <v/>
      </c>
      <c r="T154" s="100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20"/>
      <c r="G155" s="118" t="s">
        <v>676</v>
      </c>
      <c r="H155" s="49"/>
      <c r="I155" s="47"/>
      <c r="J155" s="47"/>
      <c r="K155" s="47"/>
      <c r="L155" s="47"/>
      <c r="M155" s="47"/>
      <c r="N155" s="47"/>
      <c r="O155" s="98">
        <f t="shared" si="21"/>
        <v>0</v>
      </c>
      <c r="P155" s="47" t="s">
        <v>701</v>
      </c>
      <c r="Q155" s="47"/>
      <c r="R155" s="99">
        <f t="shared" si="18"/>
        <v>0</v>
      </c>
      <c r="S155" s="99" t="str">
        <f t="shared" si="19"/>
        <v/>
      </c>
      <c r="T155" s="100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8">
        <f t="shared" si="21"/>
        <v>0</v>
      </c>
      <c r="P156" s="47" t="s">
        <v>701</v>
      </c>
      <c r="Q156" s="47"/>
      <c r="R156" s="99">
        <f t="shared" ref="R156:R187" si="22">IF(OR(P156="c",P156="C"),+T156,"")</f>
        <v>0</v>
      </c>
      <c r="S156" s="99" t="str">
        <f t="shared" si="19"/>
        <v/>
      </c>
      <c r="T156" s="100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8">
        <f t="shared" si="21"/>
        <v>0</v>
      </c>
      <c r="P157" s="47" t="s">
        <v>701</v>
      </c>
      <c r="Q157" s="47"/>
      <c r="R157" s="99">
        <f t="shared" si="22"/>
        <v>0</v>
      </c>
      <c r="S157" s="99" t="str">
        <f t="shared" si="19"/>
        <v/>
      </c>
      <c r="T157" s="100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8">
        <f t="shared" si="21"/>
        <v>0</v>
      </c>
      <c r="P158" s="47" t="s">
        <v>701</v>
      </c>
      <c r="Q158" s="47"/>
      <c r="R158" s="99">
        <f t="shared" si="22"/>
        <v>0</v>
      </c>
      <c r="S158" s="99" t="str">
        <f t="shared" si="19"/>
        <v/>
      </c>
      <c r="T158" s="100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8">
        <f t="shared" si="21"/>
        <v>0</v>
      </c>
      <c r="P159" s="47" t="s">
        <v>701</v>
      </c>
      <c r="Q159" s="47"/>
      <c r="R159" s="99">
        <f t="shared" si="22"/>
        <v>0</v>
      </c>
      <c r="S159" s="99" t="str">
        <f t="shared" si="19"/>
        <v/>
      </c>
      <c r="T159" s="100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20"/>
      <c r="G160" s="116" t="s">
        <v>679</v>
      </c>
      <c r="H160" s="49"/>
      <c r="I160" s="47"/>
      <c r="J160" s="47"/>
      <c r="K160" s="47"/>
      <c r="L160" s="47"/>
      <c r="M160" s="47"/>
      <c r="N160" s="47"/>
      <c r="O160" s="98">
        <f t="shared" si="21"/>
        <v>0</v>
      </c>
      <c r="P160" s="47" t="s">
        <v>701</v>
      </c>
      <c r="Q160" s="47"/>
      <c r="R160" s="99">
        <f t="shared" si="22"/>
        <v>0</v>
      </c>
      <c r="S160" s="99" t="str">
        <f t="shared" si="19"/>
        <v/>
      </c>
      <c r="T160" s="100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8">
        <f t="shared" si="21"/>
        <v>0</v>
      </c>
      <c r="P161" s="47" t="s">
        <v>701</v>
      </c>
      <c r="Q161" s="47"/>
      <c r="R161" s="99">
        <f t="shared" si="22"/>
        <v>0</v>
      </c>
      <c r="S161" s="99" t="str">
        <f t="shared" si="19"/>
        <v/>
      </c>
      <c r="T161" s="100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8">
        <f t="shared" si="21"/>
        <v>0</v>
      </c>
      <c r="P162" s="47" t="s">
        <v>701</v>
      </c>
      <c r="Q162" s="47"/>
      <c r="R162" s="99">
        <f t="shared" si="22"/>
        <v>0</v>
      </c>
      <c r="S162" s="99" t="str">
        <f t="shared" ref="S162:S193" si="23">IF(OR(P162="$",N162=1),+T162,"")</f>
        <v/>
      </c>
      <c r="T162" s="100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8">
        <f t="shared" si="21"/>
        <v>0</v>
      </c>
      <c r="P163" s="47" t="s">
        <v>701</v>
      </c>
      <c r="Q163" s="47"/>
      <c r="R163" s="99">
        <f t="shared" si="22"/>
        <v>0</v>
      </c>
      <c r="S163" s="99" t="str">
        <f t="shared" si="23"/>
        <v/>
      </c>
      <c r="T163" s="100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8">
        <f t="shared" si="21"/>
        <v>0</v>
      </c>
      <c r="P164" s="47" t="s">
        <v>701</v>
      </c>
      <c r="Q164" s="47"/>
      <c r="R164" s="99">
        <f t="shared" si="22"/>
        <v>0</v>
      </c>
      <c r="S164" s="99" t="str">
        <f t="shared" si="23"/>
        <v/>
      </c>
      <c r="T164" s="100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8">
        <f t="shared" si="21"/>
        <v>0</v>
      </c>
      <c r="P165" s="47" t="s">
        <v>701</v>
      </c>
      <c r="Q165" s="47"/>
      <c r="R165" s="99">
        <f t="shared" si="22"/>
        <v>0</v>
      </c>
      <c r="S165" s="99" t="str">
        <f t="shared" si="23"/>
        <v/>
      </c>
      <c r="T165" s="100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8">
        <f t="shared" si="21"/>
        <v>0</v>
      </c>
      <c r="P166" s="47" t="s">
        <v>701</v>
      </c>
      <c r="Q166" s="47"/>
      <c r="R166" s="99">
        <f t="shared" si="22"/>
        <v>0</v>
      </c>
      <c r="S166" s="99" t="str">
        <f t="shared" si="23"/>
        <v/>
      </c>
      <c r="T166" s="100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8">
        <f t="shared" si="21"/>
        <v>0</v>
      </c>
      <c r="P167" s="47" t="s">
        <v>701</v>
      </c>
      <c r="Q167" s="47"/>
      <c r="R167" s="99">
        <f t="shared" si="22"/>
        <v>0</v>
      </c>
      <c r="S167" s="99" t="str">
        <f t="shared" si="23"/>
        <v/>
      </c>
      <c r="T167" s="100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8">
        <f t="shared" si="21"/>
        <v>0</v>
      </c>
      <c r="P168" s="47" t="s">
        <v>701</v>
      </c>
      <c r="Q168" s="47"/>
      <c r="R168" s="99">
        <f t="shared" si="22"/>
        <v>0</v>
      </c>
      <c r="S168" s="99" t="str">
        <f t="shared" si="23"/>
        <v/>
      </c>
      <c r="T168" s="100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8">
        <f t="shared" si="21"/>
        <v>0</v>
      </c>
      <c r="P169" s="47" t="s">
        <v>701</v>
      </c>
      <c r="Q169" s="47"/>
      <c r="R169" s="99">
        <f t="shared" si="22"/>
        <v>0</v>
      </c>
      <c r="S169" s="99" t="str">
        <f t="shared" si="23"/>
        <v/>
      </c>
      <c r="T169" s="100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8">
        <f t="shared" si="21"/>
        <v>0</v>
      </c>
      <c r="P170" s="47" t="s">
        <v>701</v>
      </c>
      <c r="Q170" s="47"/>
      <c r="R170" s="99">
        <f t="shared" si="22"/>
        <v>0</v>
      </c>
      <c r="S170" s="99" t="str">
        <f t="shared" si="23"/>
        <v/>
      </c>
      <c r="T170" s="100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8">
        <f t="shared" si="21"/>
        <v>0</v>
      </c>
      <c r="P171" s="47" t="s">
        <v>701</v>
      </c>
      <c r="Q171" s="47"/>
      <c r="R171" s="99">
        <f t="shared" si="22"/>
        <v>0</v>
      </c>
      <c r="S171" s="99" t="str">
        <f t="shared" si="23"/>
        <v/>
      </c>
      <c r="T171" s="100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8">
        <f t="shared" si="21"/>
        <v>0</v>
      </c>
      <c r="P172" s="47" t="s">
        <v>701</v>
      </c>
      <c r="Q172" s="47"/>
      <c r="R172" s="99">
        <f t="shared" si="22"/>
        <v>0</v>
      </c>
      <c r="S172" s="99" t="str">
        <f t="shared" si="23"/>
        <v/>
      </c>
      <c r="T172" s="100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16" t="s">
        <v>568</v>
      </c>
      <c r="H173" s="49"/>
      <c r="I173" s="47"/>
      <c r="J173" s="47"/>
      <c r="K173" s="47"/>
      <c r="L173" s="47"/>
      <c r="M173" s="47"/>
      <c r="N173" s="47"/>
      <c r="O173" s="98">
        <f t="shared" si="21"/>
        <v>0</v>
      </c>
      <c r="P173" s="47" t="s">
        <v>701</v>
      </c>
      <c r="Q173" s="47"/>
      <c r="R173" s="99">
        <f t="shared" si="22"/>
        <v>0</v>
      </c>
      <c r="S173" s="99" t="str">
        <f t="shared" si="23"/>
        <v/>
      </c>
      <c r="T173" s="100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8">
        <f t="shared" si="21"/>
        <v>0</v>
      </c>
      <c r="P174" s="47" t="s">
        <v>701</v>
      </c>
      <c r="Q174" s="47"/>
      <c r="R174" s="99">
        <f t="shared" si="22"/>
        <v>0</v>
      </c>
      <c r="S174" s="99" t="str">
        <f t="shared" si="23"/>
        <v/>
      </c>
      <c r="T174" s="100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20"/>
      <c r="G175" s="116" t="s">
        <v>684</v>
      </c>
      <c r="H175" s="49"/>
      <c r="I175" s="47"/>
      <c r="J175" s="47"/>
      <c r="K175" s="47"/>
      <c r="L175" s="47"/>
      <c r="M175" s="47"/>
      <c r="N175" s="47"/>
      <c r="O175" s="98">
        <f t="shared" si="21"/>
        <v>0</v>
      </c>
      <c r="P175" s="47" t="s">
        <v>701</v>
      </c>
      <c r="Q175" s="47"/>
      <c r="R175" s="99">
        <f t="shared" si="22"/>
        <v>0</v>
      </c>
      <c r="S175" s="99" t="str">
        <f t="shared" si="23"/>
        <v/>
      </c>
      <c r="T175" s="100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8">
        <f t="shared" si="21"/>
        <v>0</v>
      </c>
      <c r="P176" s="47" t="s">
        <v>701</v>
      </c>
      <c r="Q176" s="47"/>
      <c r="R176" s="99">
        <f t="shared" si="22"/>
        <v>0</v>
      </c>
      <c r="S176" s="99" t="str">
        <f t="shared" si="23"/>
        <v/>
      </c>
      <c r="T176" s="100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16" t="s">
        <v>573</v>
      </c>
      <c r="H177" s="49"/>
      <c r="I177" s="47"/>
      <c r="J177" s="47"/>
      <c r="K177" s="47"/>
      <c r="L177" s="47"/>
      <c r="M177" s="47"/>
      <c r="N177" s="47"/>
      <c r="O177" s="98">
        <f t="shared" ref="O177:O201" si="24">T177*N177</f>
        <v>0</v>
      </c>
      <c r="P177" s="47" t="s">
        <v>701</v>
      </c>
      <c r="Q177" s="47"/>
      <c r="R177" s="99">
        <f t="shared" si="22"/>
        <v>0</v>
      </c>
      <c r="S177" s="99" t="str">
        <f t="shared" si="23"/>
        <v/>
      </c>
      <c r="T177" s="100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20">
        <v>7752876408</v>
      </c>
      <c r="G178" s="15"/>
      <c r="H178" s="49"/>
      <c r="I178" s="47"/>
      <c r="J178" s="47"/>
      <c r="K178" s="47"/>
      <c r="L178" s="47"/>
      <c r="M178" s="47"/>
      <c r="N178" s="47"/>
      <c r="O178" s="98">
        <f t="shared" si="24"/>
        <v>0</v>
      </c>
      <c r="P178" s="47" t="s">
        <v>701</v>
      </c>
      <c r="Q178" s="47"/>
      <c r="R178" s="99">
        <f t="shared" si="22"/>
        <v>0</v>
      </c>
      <c r="S178" s="99" t="str">
        <f t="shared" si="23"/>
        <v/>
      </c>
      <c r="T178" s="100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8">
        <f t="shared" si="24"/>
        <v>0</v>
      </c>
      <c r="P179" s="47" t="s">
        <v>701</v>
      </c>
      <c r="Q179" s="47"/>
      <c r="R179" s="99">
        <f t="shared" si="22"/>
        <v>0</v>
      </c>
      <c r="S179" s="99" t="str">
        <f t="shared" si="23"/>
        <v/>
      </c>
      <c r="T179" s="100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16" t="s">
        <v>575</v>
      </c>
      <c r="H180" s="49"/>
      <c r="I180" s="47"/>
      <c r="J180" s="47"/>
      <c r="K180" s="47"/>
      <c r="L180" s="47"/>
      <c r="M180" s="47"/>
      <c r="N180" s="47"/>
      <c r="O180" s="98">
        <f t="shared" si="24"/>
        <v>0</v>
      </c>
      <c r="P180" s="47" t="s">
        <v>701</v>
      </c>
      <c r="Q180" s="47"/>
      <c r="R180" s="99">
        <f t="shared" si="22"/>
        <v>0</v>
      </c>
      <c r="S180" s="99" t="str">
        <f t="shared" si="23"/>
        <v/>
      </c>
      <c r="T180" s="100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8">
        <f t="shared" si="24"/>
        <v>0</v>
      </c>
      <c r="P181" s="47" t="s">
        <v>701</v>
      </c>
      <c r="Q181" s="47"/>
      <c r="R181" s="99">
        <f t="shared" si="22"/>
        <v>0</v>
      </c>
      <c r="S181" s="99" t="str">
        <f t="shared" si="23"/>
        <v/>
      </c>
      <c r="T181" s="100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8">
        <f t="shared" si="24"/>
        <v>0</v>
      </c>
      <c r="P182" s="47" t="s">
        <v>701</v>
      </c>
      <c r="Q182" s="47"/>
      <c r="R182" s="99">
        <f t="shared" si="22"/>
        <v>0</v>
      </c>
      <c r="S182" s="99" t="str">
        <f t="shared" si="23"/>
        <v/>
      </c>
      <c r="T182" s="100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8">
        <f t="shared" si="24"/>
        <v>0</v>
      </c>
      <c r="P183" s="47" t="s">
        <v>701</v>
      </c>
      <c r="Q183" s="47"/>
      <c r="R183" s="99">
        <f t="shared" si="22"/>
        <v>0</v>
      </c>
      <c r="S183" s="99" t="str">
        <f t="shared" si="23"/>
        <v/>
      </c>
      <c r="T183" s="100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20"/>
      <c r="G184" s="116" t="s">
        <v>688</v>
      </c>
      <c r="H184" s="49"/>
      <c r="I184" s="47"/>
      <c r="J184" s="47"/>
      <c r="K184" s="47"/>
      <c r="L184" s="47"/>
      <c r="M184" s="47"/>
      <c r="N184" s="47"/>
      <c r="O184" s="98">
        <f t="shared" si="24"/>
        <v>0</v>
      </c>
      <c r="P184" s="47" t="s">
        <v>701</v>
      </c>
      <c r="Q184" s="47"/>
      <c r="R184" s="99">
        <f t="shared" si="22"/>
        <v>0</v>
      </c>
      <c r="S184" s="99" t="str">
        <f t="shared" si="23"/>
        <v/>
      </c>
      <c r="T184" s="100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8">
        <f t="shared" si="24"/>
        <v>0</v>
      </c>
      <c r="P185" s="47" t="s">
        <v>701</v>
      </c>
      <c r="Q185" s="47"/>
      <c r="R185" s="99">
        <f t="shared" si="22"/>
        <v>0</v>
      </c>
      <c r="S185" s="99" t="str">
        <f t="shared" si="23"/>
        <v/>
      </c>
      <c r="T185" s="100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8">
        <f t="shared" si="24"/>
        <v>0</v>
      </c>
      <c r="P186" s="47" t="s">
        <v>701</v>
      </c>
      <c r="Q186" s="47"/>
      <c r="R186" s="99">
        <f t="shared" si="22"/>
        <v>0</v>
      </c>
      <c r="S186" s="99" t="str">
        <f t="shared" si="23"/>
        <v/>
      </c>
      <c r="T186" s="100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8">
        <f t="shared" si="24"/>
        <v>0</v>
      </c>
      <c r="P187" s="47" t="s">
        <v>701</v>
      </c>
      <c r="Q187" s="47"/>
      <c r="R187" s="99">
        <f t="shared" si="22"/>
        <v>0</v>
      </c>
      <c r="S187" s="99" t="str">
        <f t="shared" si="23"/>
        <v/>
      </c>
      <c r="T187" s="100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8">
        <f t="shared" si="24"/>
        <v>0</v>
      </c>
      <c r="P188" s="47" t="s">
        <v>701</v>
      </c>
      <c r="Q188" s="47"/>
      <c r="R188" s="99">
        <f t="shared" ref="R188:R201" si="25">IF(OR(P188="c",P188="C"),+T188,"")</f>
        <v>0</v>
      </c>
      <c r="S188" s="99" t="str">
        <f t="shared" si="23"/>
        <v/>
      </c>
      <c r="T188" s="100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20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8">
        <f t="shared" si="24"/>
        <v>0</v>
      </c>
      <c r="P189" s="47" t="s">
        <v>701</v>
      </c>
      <c r="Q189" s="47"/>
      <c r="R189" s="99">
        <f t="shared" si="25"/>
        <v>0</v>
      </c>
      <c r="S189" s="99" t="str">
        <f t="shared" si="23"/>
        <v/>
      </c>
      <c r="T189" s="100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8">
        <f t="shared" si="24"/>
        <v>0</v>
      </c>
      <c r="P190" s="47" t="s">
        <v>701</v>
      </c>
      <c r="Q190" s="47"/>
      <c r="R190" s="99">
        <f t="shared" si="25"/>
        <v>0</v>
      </c>
      <c r="S190" s="99" t="str">
        <f t="shared" si="23"/>
        <v/>
      </c>
      <c r="T190" s="100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8">
        <f t="shared" si="24"/>
        <v>0</v>
      </c>
      <c r="P191" s="47" t="s">
        <v>701</v>
      </c>
      <c r="Q191" s="47"/>
      <c r="R191" s="99">
        <f t="shared" si="25"/>
        <v>0</v>
      </c>
      <c r="S191" s="99" t="str">
        <f t="shared" si="23"/>
        <v/>
      </c>
      <c r="T191" s="100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8">
        <f t="shared" si="24"/>
        <v>0</v>
      </c>
      <c r="P192" s="47" t="s">
        <v>701</v>
      </c>
      <c r="Q192" s="47"/>
      <c r="R192" s="99">
        <f t="shared" si="25"/>
        <v>0</v>
      </c>
      <c r="S192" s="99" t="str">
        <f t="shared" si="23"/>
        <v/>
      </c>
      <c r="T192" s="100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8">
        <f t="shared" si="24"/>
        <v>0</v>
      </c>
      <c r="P193" s="47" t="s">
        <v>701</v>
      </c>
      <c r="Q193" s="47"/>
      <c r="R193" s="99">
        <f t="shared" si="25"/>
        <v>0</v>
      </c>
      <c r="S193" s="99" t="str">
        <f t="shared" si="23"/>
        <v/>
      </c>
      <c r="T193" s="100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8">
        <f t="shared" si="24"/>
        <v>0</v>
      </c>
      <c r="P194" s="47" t="s">
        <v>701</v>
      </c>
      <c r="Q194" s="47"/>
      <c r="R194" s="99">
        <f t="shared" si="25"/>
        <v>0</v>
      </c>
      <c r="S194" s="99" t="str">
        <f t="shared" ref="S194:S201" si="26">IF(OR(P194="$",N194=1),+T194,"")</f>
        <v/>
      </c>
      <c r="T194" s="100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8">
        <f t="shared" si="24"/>
        <v>0</v>
      </c>
      <c r="P195" s="47" t="s">
        <v>701</v>
      </c>
      <c r="Q195" s="47"/>
      <c r="R195" s="99">
        <f t="shared" si="25"/>
        <v>0</v>
      </c>
      <c r="S195" s="99" t="str">
        <f t="shared" si="26"/>
        <v/>
      </c>
      <c r="T195" s="100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8">
        <f t="shared" si="24"/>
        <v>0</v>
      </c>
      <c r="P196" s="47" t="s">
        <v>701</v>
      </c>
      <c r="Q196" s="47"/>
      <c r="R196" s="99">
        <f t="shared" si="25"/>
        <v>0</v>
      </c>
      <c r="S196" s="99" t="str">
        <f t="shared" si="26"/>
        <v/>
      </c>
      <c r="T196" s="100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8">
        <f t="shared" si="24"/>
        <v>0</v>
      </c>
      <c r="P197" s="47" t="s">
        <v>701</v>
      </c>
      <c r="Q197" s="47"/>
      <c r="R197" s="99">
        <f t="shared" si="25"/>
        <v>0</v>
      </c>
      <c r="S197" s="99" t="str">
        <f t="shared" si="26"/>
        <v/>
      </c>
      <c r="T197" s="100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16" t="s">
        <v>601</v>
      </c>
      <c r="H198" s="49"/>
      <c r="I198" s="47"/>
      <c r="J198" s="47"/>
      <c r="K198" s="47"/>
      <c r="L198" s="47"/>
      <c r="M198" s="47"/>
      <c r="N198" s="47"/>
      <c r="O198" s="98">
        <f t="shared" si="24"/>
        <v>0</v>
      </c>
      <c r="P198" s="47" t="s">
        <v>701</v>
      </c>
      <c r="Q198" s="47"/>
      <c r="R198" s="99">
        <f t="shared" si="25"/>
        <v>0</v>
      </c>
      <c r="S198" s="99" t="str">
        <f t="shared" si="26"/>
        <v/>
      </c>
      <c r="T198" s="100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8">
        <f t="shared" si="24"/>
        <v>0</v>
      </c>
      <c r="P199" s="47" t="s">
        <v>701</v>
      </c>
      <c r="Q199" s="47"/>
      <c r="R199" s="99">
        <f t="shared" si="25"/>
        <v>0</v>
      </c>
      <c r="S199" s="99" t="str">
        <f t="shared" si="26"/>
        <v/>
      </c>
      <c r="T199" s="100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20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8">
        <f t="shared" si="24"/>
        <v>0</v>
      </c>
      <c r="P200" s="47" t="s">
        <v>701</v>
      </c>
      <c r="Q200" s="47"/>
      <c r="R200" s="99">
        <f t="shared" si="25"/>
        <v>0</v>
      </c>
      <c r="S200" s="99" t="str">
        <f t="shared" si="26"/>
        <v/>
      </c>
      <c r="T200" s="100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20"/>
      <c r="G201" s="15"/>
      <c r="H201" s="49"/>
      <c r="I201" s="47"/>
      <c r="J201" s="47"/>
      <c r="K201" s="47"/>
      <c r="L201" s="47"/>
      <c r="M201" s="47"/>
      <c r="N201" s="47"/>
      <c r="O201" s="98">
        <f t="shared" si="24"/>
        <v>0</v>
      </c>
      <c r="P201" s="47" t="s">
        <v>701</v>
      </c>
      <c r="Q201" s="47"/>
      <c r="R201" s="99">
        <f t="shared" si="25"/>
        <v>0</v>
      </c>
      <c r="S201" s="99" t="str">
        <f t="shared" si="26"/>
        <v/>
      </c>
      <c r="T201" s="100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8">
        <f t="shared" ref="O202:O203" si="27">T202*N202</f>
        <v>0</v>
      </c>
      <c r="P202" s="50"/>
      <c r="Q202" s="50"/>
      <c r="R202" s="99" t="str">
        <f t="shared" ref="R202:R203" si="28">IF(OR(P202="c",P202="C"),+T202,"")</f>
        <v/>
      </c>
      <c r="S202" s="99" t="str">
        <f t="shared" ref="S202:S203" si="29">IF(OR(P202="$",N202=1),+T202,"")</f>
        <v/>
      </c>
      <c r="T202" s="100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8">
        <f t="shared" si="27"/>
        <v>0</v>
      </c>
      <c r="P203" s="50"/>
      <c r="Q203" s="50"/>
      <c r="R203" s="99" t="str">
        <f t="shared" si="28"/>
        <v/>
      </c>
      <c r="S203" s="99" t="str">
        <f t="shared" si="29"/>
        <v/>
      </c>
      <c r="T203" s="100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8">
        <f t="shared" ref="O204:O267" si="32">T204*N204</f>
        <v>0</v>
      </c>
      <c r="P204" s="50"/>
      <c r="Q204" s="50"/>
      <c r="R204" s="99" t="str">
        <f t="shared" ref="R204:R267" si="33">IF(OR(P204="c",P204="C"),+T204,"")</f>
        <v/>
      </c>
      <c r="S204" s="99" t="str">
        <f t="shared" ref="S204:S267" si="34">IF(OR(P204="$",N204=1),+T204,"")</f>
        <v/>
      </c>
      <c r="T204" s="100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8">
        <f t="shared" si="32"/>
        <v>0</v>
      </c>
      <c r="P205" s="50"/>
      <c r="Q205" s="50"/>
      <c r="R205" s="99" t="str">
        <f t="shared" si="33"/>
        <v/>
      </c>
      <c r="S205" s="99" t="str">
        <f t="shared" si="34"/>
        <v/>
      </c>
      <c r="T205" s="100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8">
        <f t="shared" si="32"/>
        <v>0</v>
      </c>
      <c r="P206" s="50"/>
      <c r="Q206" s="50"/>
      <c r="R206" s="99" t="str">
        <f t="shared" si="33"/>
        <v/>
      </c>
      <c r="S206" s="99" t="str">
        <f t="shared" si="34"/>
        <v/>
      </c>
      <c r="T206" s="100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8">
        <f t="shared" si="32"/>
        <v>0</v>
      </c>
      <c r="P207" s="50"/>
      <c r="Q207" s="50"/>
      <c r="R207" s="99" t="str">
        <f t="shared" si="33"/>
        <v/>
      </c>
      <c r="S207" s="99" t="str">
        <f t="shared" si="34"/>
        <v/>
      </c>
      <c r="T207" s="100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8">
        <f t="shared" si="32"/>
        <v>0</v>
      </c>
      <c r="P208" s="50"/>
      <c r="Q208" s="50"/>
      <c r="R208" s="99" t="str">
        <f t="shared" si="33"/>
        <v/>
      </c>
      <c r="S208" s="99" t="str">
        <f t="shared" si="34"/>
        <v/>
      </c>
      <c r="T208" s="100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8">
        <f t="shared" si="32"/>
        <v>0</v>
      </c>
      <c r="P209" s="50"/>
      <c r="Q209" s="50"/>
      <c r="R209" s="99" t="str">
        <f t="shared" si="33"/>
        <v/>
      </c>
      <c r="S209" s="99" t="str">
        <f t="shared" si="34"/>
        <v/>
      </c>
      <c r="T209" s="100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8">
        <f t="shared" si="32"/>
        <v>0</v>
      </c>
      <c r="P210" s="50"/>
      <c r="Q210" s="50"/>
      <c r="R210" s="99" t="str">
        <f t="shared" si="33"/>
        <v/>
      </c>
      <c r="S210" s="99" t="str">
        <f t="shared" si="34"/>
        <v/>
      </c>
      <c r="T210" s="100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8">
        <f t="shared" si="32"/>
        <v>0</v>
      </c>
      <c r="P211" s="50"/>
      <c r="Q211" s="50"/>
      <c r="R211" s="99" t="str">
        <f t="shared" si="33"/>
        <v/>
      </c>
      <c r="S211" s="99" t="str">
        <f t="shared" si="34"/>
        <v/>
      </c>
      <c r="T211" s="100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8">
        <f t="shared" si="32"/>
        <v>0</v>
      </c>
      <c r="P212" s="50"/>
      <c r="Q212" s="50"/>
      <c r="R212" s="99" t="str">
        <f t="shared" si="33"/>
        <v/>
      </c>
      <c r="S212" s="99" t="str">
        <f t="shared" si="34"/>
        <v/>
      </c>
      <c r="T212" s="100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8">
        <f t="shared" si="32"/>
        <v>0</v>
      </c>
      <c r="P213" s="50"/>
      <c r="Q213" s="50"/>
      <c r="R213" s="99" t="str">
        <f t="shared" si="33"/>
        <v/>
      </c>
      <c r="S213" s="99" t="str">
        <f t="shared" si="34"/>
        <v/>
      </c>
      <c r="T213" s="100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8">
        <f t="shared" si="32"/>
        <v>0</v>
      </c>
      <c r="P214" s="50"/>
      <c r="Q214" s="50"/>
      <c r="R214" s="99" t="str">
        <f t="shared" si="33"/>
        <v/>
      </c>
      <c r="S214" s="99" t="str">
        <f t="shared" si="34"/>
        <v/>
      </c>
      <c r="T214" s="100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8">
        <f t="shared" si="32"/>
        <v>0</v>
      </c>
      <c r="P215" s="50"/>
      <c r="Q215" s="50"/>
      <c r="R215" s="99" t="str">
        <f t="shared" si="33"/>
        <v/>
      </c>
      <c r="S215" s="99" t="str">
        <f t="shared" si="34"/>
        <v/>
      </c>
      <c r="T215" s="100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8">
        <f t="shared" si="32"/>
        <v>0</v>
      </c>
      <c r="P216" s="50"/>
      <c r="Q216" s="50"/>
      <c r="R216" s="99" t="str">
        <f t="shared" si="33"/>
        <v/>
      </c>
      <c r="S216" s="99" t="str">
        <f t="shared" si="34"/>
        <v/>
      </c>
      <c r="T216" s="100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8">
        <f t="shared" si="32"/>
        <v>0</v>
      </c>
      <c r="P217" s="50"/>
      <c r="Q217" s="50"/>
      <c r="R217" s="99" t="str">
        <f t="shared" si="33"/>
        <v/>
      </c>
      <c r="S217" s="99" t="str">
        <f t="shared" si="34"/>
        <v/>
      </c>
      <c r="T217" s="100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8">
        <f t="shared" si="32"/>
        <v>0</v>
      </c>
      <c r="P218" s="50"/>
      <c r="Q218" s="50"/>
      <c r="R218" s="99" t="str">
        <f t="shared" si="33"/>
        <v/>
      </c>
      <c r="S218" s="99" t="str">
        <f t="shared" si="34"/>
        <v/>
      </c>
      <c r="T218" s="100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8">
        <f t="shared" si="32"/>
        <v>0</v>
      </c>
      <c r="P219" s="50"/>
      <c r="Q219" s="50"/>
      <c r="R219" s="99" t="str">
        <f t="shared" si="33"/>
        <v/>
      </c>
      <c r="S219" s="99" t="str">
        <f t="shared" si="34"/>
        <v/>
      </c>
      <c r="T219" s="100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8">
        <f t="shared" si="32"/>
        <v>0</v>
      </c>
      <c r="P220" s="50"/>
      <c r="Q220" s="50"/>
      <c r="R220" s="99" t="str">
        <f t="shared" si="33"/>
        <v/>
      </c>
      <c r="S220" s="99" t="str">
        <f t="shared" si="34"/>
        <v/>
      </c>
      <c r="T220" s="100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8">
        <f t="shared" si="32"/>
        <v>0</v>
      </c>
      <c r="P221" s="50"/>
      <c r="Q221" s="50"/>
      <c r="R221" s="99" t="str">
        <f t="shared" si="33"/>
        <v/>
      </c>
      <c r="S221" s="99" t="str">
        <f t="shared" si="34"/>
        <v/>
      </c>
      <c r="T221" s="100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8">
        <f t="shared" si="32"/>
        <v>0</v>
      </c>
      <c r="P222" s="50"/>
      <c r="Q222" s="50"/>
      <c r="R222" s="99" t="str">
        <f t="shared" si="33"/>
        <v/>
      </c>
      <c r="S222" s="99" t="str">
        <f t="shared" si="34"/>
        <v/>
      </c>
      <c r="T222" s="100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8">
        <f t="shared" si="32"/>
        <v>0</v>
      </c>
      <c r="P223" s="50"/>
      <c r="Q223" s="50"/>
      <c r="R223" s="99" t="str">
        <f t="shared" si="33"/>
        <v/>
      </c>
      <c r="S223" s="99" t="str">
        <f t="shared" si="34"/>
        <v/>
      </c>
      <c r="T223" s="100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8">
        <f t="shared" si="32"/>
        <v>0</v>
      </c>
      <c r="P224" s="50"/>
      <c r="Q224" s="50"/>
      <c r="R224" s="99" t="str">
        <f t="shared" si="33"/>
        <v/>
      </c>
      <c r="S224" s="99" t="str">
        <f t="shared" si="34"/>
        <v/>
      </c>
      <c r="T224" s="100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8">
        <f t="shared" si="32"/>
        <v>0</v>
      </c>
      <c r="P225" s="50"/>
      <c r="Q225" s="50"/>
      <c r="R225" s="99" t="str">
        <f t="shared" si="33"/>
        <v/>
      </c>
      <c r="S225" s="99" t="str">
        <f t="shared" si="34"/>
        <v/>
      </c>
      <c r="T225" s="100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8">
        <f t="shared" si="32"/>
        <v>0</v>
      </c>
      <c r="P226" s="50"/>
      <c r="Q226" s="50"/>
      <c r="R226" s="99" t="str">
        <f t="shared" si="33"/>
        <v/>
      </c>
      <c r="S226" s="99" t="str">
        <f t="shared" si="34"/>
        <v/>
      </c>
      <c r="T226" s="100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8">
        <f t="shared" si="32"/>
        <v>0</v>
      </c>
      <c r="P227" s="50"/>
      <c r="Q227" s="50"/>
      <c r="R227" s="99" t="str">
        <f t="shared" si="33"/>
        <v/>
      </c>
      <c r="S227" s="99" t="str">
        <f t="shared" si="34"/>
        <v/>
      </c>
      <c r="T227" s="100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8">
        <f t="shared" si="32"/>
        <v>0</v>
      </c>
      <c r="P228" s="50"/>
      <c r="Q228" s="50"/>
      <c r="R228" s="99" t="str">
        <f t="shared" si="33"/>
        <v/>
      </c>
      <c r="S228" s="99" t="str">
        <f t="shared" si="34"/>
        <v/>
      </c>
      <c r="T228" s="100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8">
        <f t="shared" si="32"/>
        <v>0</v>
      </c>
      <c r="P229" s="50"/>
      <c r="Q229" s="50"/>
      <c r="R229" s="99" t="str">
        <f t="shared" si="33"/>
        <v/>
      </c>
      <c r="S229" s="99" t="str">
        <f t="shared" si="34"/>
        <v/>
      </c>
      <c r="T229" s="100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8">
        <f t="shared" si="32"/>
        <v>0</v>
      </c>
      <c r="P230" s="50"/>
      <c r="Q230" s="50"/>
      <c r="R230" s="99" t="str">
        <f t="shared" si="33"/>
        <v/>
      </c>
      <c r="S230" s="99" t="str">
        <f t="shared" si="34"/>
        <v/>
      </c>
      <c r="T230" s="100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8">
        <f t="shared" si="32"/>
        <v>0</v>
      </c>
      <c r="P231" s="50"/>
      <c r="Q231" s="50"/>
      <c r="R231" s="99" t="str">
        <f t="shared" si="33"/>
        <v/>
      </c>
      <c r="S231" s="99" t="str">
        <f t="shared" si="34"/>
        <v/>
      </c>
      <c r="T231" s="100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8">
        <f t="shared" si="32"/>
        <v>0</v>
      </c>
      <c r="P232" s="50"/>
      <c r="Q232" s="50"/>
      <c r="R232" s="99" t="str">
        <f t="shared" si="33"/>
        <v/>
      </c>
      <c r="S232" s="99" t="str">
        <f t="shared" si="34"/>
        <v/>
      </c>
      <c r="T232" s="100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8">
        <f t="shared" si="32"/>
        <v>0</v>
      </c>
      <c r="P233" s="50"/>
      <c r="Q233" s="50"/>
      <c r="R233" s="99" t="str">
        <f t="shared" si="33"/>
        <v/>
      </c>
      <c r="S233" s="99" t="str">
        <f t="shared" si="34"/>
        <v/>
      </c>
      <c r="T233" s="100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8">
        <f t="shared" si="32"/>
        <v>0</v>
      </c>
      <c r="P234" s="50"/>
      <c r="Q234" s="50"/>
      <c r="R234" s="99" t="str">
        <f t="shared" si="33"/>
        <v/>
      </c>
      <c r="S234" s="99" t="str">
        <f t="shared" si="34"/>
        <v/>
      </c>
      <c r="T234" s="100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8">
        <f t="shared" si="32"/>
        <v>0</v>
      </c>
      <c r="P235" s="50"/>
      <c r="Q235" s="50"/>
      <c r="R235" s="99" t="str">
        <f t="shared" si="33"/>
        <v/>
      </c>
      <c r="S235" s="99" t="str">
        <f t="shared" si="34"/>
        <v/>
      </c>
      <c r="T235" s="100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8">
        <f t="shared" si="32"/>
        <v>0</v>
      </c>
      <c r="P236" s="50"/>
      <c r="Q236" s="50"/>
      <c r="R236" s="99" t="str">
        <f t="shared" si="33"/>
        <v/>
      </c>
      <c r="S236" s="99" t="str">
        <f t="shared" si="34"/>
        <v/>
      </c>
      <c r="T236" s="100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8">
        <f t="shared" si="32"/>
        <v>0</v>
      </c>
      <c r="P237" s="50"/>
      <c r="Q237" s="50"/>
      <c r="R237" s="99" t="str">
        <f t="shared" si="33"/>
        <v/>
      </c>
      <c r="S237" s="99" t="str">
        <f t="shared" si="34"/>
        <v/>
      </c>
      <c r="T237" s="100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8">
        <f t="shared" si="32"/>
        <v>0</v>
      </c>
      <c r="P238" s="50"/>
      <c r="Q238" s="50"/>
      <c r="R238" s="99" t="str">
        <f t="shared" si="33"/>
        <v/>
      </c>
      <c r="S238" s="99" t="str">
        <f t="shared" si="34"/>
        <v/>
      </c>
      <c r="T238" s="100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8">
        <f t="shared" si="32"/>
        <v>0</v>
      </c>
      <c r="P239" s="50"/>
      <c r="Q239" s="50"/>
      <c r="R239" s="99" t="str">
        <f t="shared" si="33"/>
        <v/>
      </c>
      <c r="S239" s="99" t="str">
        <f t="shared" si="34"/>
        <v/>
      </c>
      <c r="T239" s="100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8">
        <f t="shared" si="32"/>
        <v>0</v>
      </c>
      <c r="P240" s="50"/>
      <c r="Q240" s="50"/>
      <c r="R240" s="99" t="str">
        <f t="shared" si="33"/>
        <v/>
      </c>
      <c r="S240" s="99" t="str">
        <f t="shared" si="34"/>
        <v/>
      </c>
      <c r="T240" s="100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8">
        <f t="shared" si="32"/>
        <v>0</v>
      </c>
      <c r="P241" s="50"/>
      <c r="Q241" s="50"/>
      <c r="R241" s="99" t="str">
        <f t="shared" si="33"/>
        <v/>
      </c>
      <c r="S241" s="99" t="str">
        <f t="shared" si="34"/>
        <v/>
      </c>
      <c r="T241" s="100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8">
        <f t="shared" si="32"/>
        <v>0</v>
      </c>
      <c r="P242" s="50"/>
      <c r="Q242" s="50"/>
      <c r="R242" s="99" t="str">
        <f t="shared" si="33"/>
        <v/>
      </c>
      <c r="S242" s="99" t="str">
        <f t="shared" si="34"/>
        <v/>
      </c>
      <c r="T242" s="100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8">
        <f t="shared" si="32"/>
        <v>0</v>
      </c>
      <c r="P243" s="50"/>
      <c r="Q243" s="50"/>
      <c r="R243" s="99" t="str">
        <f t="shared" si="33"/>
        <v/>
      </c>
      <c r="S243" s="99" t="str">
        <f t="shared" si="34"/>
        <v/>
      </c>
      <c r="T243" s="100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8">
        <f t="shared" si="32"/>
        <v>0</v>
      </c>
      <c r="P244" s="50"/>
      <c r="Q244" s="50"/>
      <c r="R244" s="99" t="str">
        <f t="shared" si="33"/>
        <v/>
      </c>
      <c r="S244" s="99" t="str">
        <f t="shared" si="34"/>
        <v/>
      </c>
      <c r="T244" s="100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8">
        <f t="shared" si="32"/>
        <v>0</v>
      </c>
      <c r="P245" s="50"/>
      <c r="Q245" s="50"/>
      <c r="R245" s="99" t="str">
        <f t="shared" si="33"/>
        <v/>
      </c>
      <c r="S245" s="99" t="str">
        <f t="shared" si="34"/>
        <v/>
      </c>
      <c r="T245" s="100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8">
        <f t="shared" si="32"/>
        <v>0</v>
      </c>
      <c r="P246" s="50"/>
      <c r="Q246" s="50"/>
      <c r="R246" s="99" t="str">
        <f t="shared" si="33"/>
        <v/>
      </c>
      <c r="S246" s="99" t="str">
        <f t="shared" si="34"/>
        <v/>
      </c>
      <c r="T246" s="100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8">
        <f t="shared" si="32"/>
        <v>0</v>
      </c>
      <c r="P247" s="50"/>
      <c r="Q247" s="50"/>
      <c r="R247" s="99" t="str">
        <f t="shared" si="33"/>
        <v/>
      </c>
      <c r="S247" s="99" t="str">
        <f t="shared" si="34"/>
        <v/>
      </c>
      <c r="T247" s="100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8">
        <f t="shared" si="32"/>
        <v>0</v>
      </c>
      <c r="P248" s="50"/>
      <c r="Q248" s="50"/>
      <c r="R248" s="99" t="str">
        <f t="shared" si="33"/>
        <v/>
      </c>
      <c r="S248" s="99" t="str">
        <f t="shared" si="34"/>
        <v/>
      </c>
      <c r="T248" s="100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8">
        <f t="shared" si="32"/>
        <v>0</v>
      </c>
      <c r="P249" s="50"/>
      <c r="Q249" s="50"/>
      <c r="R249" s="99" t="str">
        <f t="shared" si="33"/>
        <v/>
      </c>
      <c r="S249" s="99" t="str">
        <f t="shared" si="34"/>
        <v/>
      </c>
      <c r="T249" s="100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8">
        <f t="shared" si="32"/>
        <v>0</v>
      </c>
      <c r="P250" s="50"/>
      <c r="Q250" s="50"/>
      <c r="R250" s="99" t="str">
        <f t="shared" si="33"/>
        <v/>
      </c>
      <c r="S250" s="99" t="str">
        <f t="shared" si="34"/>
        <v/>
      </c>
      <c r="T250" s="100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8">
        <f t="shared" si="32"/>
        <v>0</v>
      </c>
      <c r="P251" s="50"/>
      <c r="Q251" s="50"/>
      <c r="R251" s="99" t="str">
        <f t="shared" si="33"/>
        <v/>
      </c>
      <c r="S251" s="99" t="str">
        <f t="shared" si="34"/>
        <v/>
      </c>
      <c r="T251" s="100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8">
        <f t="shared" si="32"/>
        <v>0</v>
      </c>
      <c r="P252" s="50"/>
      <c r="Q252" s="50"/>
      <c r="R252" s="99" t="str">
        <f t="shared" si="33"/>
        <v/>
      </c>
      <c r="S252" s="99" t="str">
        <f t="shared" si="34"/>
        <v/>
      </c>
      <c r="T252" s="100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8">
        <f t="shared" si="32"/>
        <v>0</v>
      </c>
      <c r="P253" s="50"/>
      <c r="Q253" s="50"/>
      <c r="R253" s="99" t="str">
        <f t="shared" si="33"/>
        <v/>
      </c>
      <c r="S253" s="99" t="str">
        <f t="shared" si="34"/>
        <v/>
      </c>
      <c r="T253" s="100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8">
        <f t="shared" si="32"/>
        <v>0</v>
      </c>
      <c r="P254" s="50"/>
      <c r="Q254" s="50"/>
      <c r="R254" s="99" t="str">
        <f t="shared" si="33"/>
        <v/>
      </c>
      <c r="S254" s="99" t="str">
        <f t="shared" si="34"/>
        <v/>
      </c>
      <c r="T254" s="100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8">
        <f t="shared" si="32"/>
        <v>0</v>
      </c>
      <c r="P255" s="50"/>
      <c r="Q255" s="50"/>
      <c r="R255" s="99" t="str">
        <f t="shared" si="33"/>
        <v/>
      </c>
      <c r="S255" s="99" t="str">
        <f t="shared" si="34"/>
        <v/>
      </c>
      <c r="T255" s="100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8">
        <f t="shared" si="32"/>
        <v>0</v>
      </c>
      <c r="P256" s="50"/>
      <c r="Q256" s="50"/>
      <c r="R256" s="99" t="str">
        <f t="shared" si="33"/>
        <v/>
      </c>
      <c r="S256" s="99" t="str">
        <f t="shared" si="34"/>
        <v/>
      </c>
      <c r="T256" s="100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8">
        <f t="shared" si="32"/>
        <v>0</v>
      </c>
      <c r="P257" s="50"/>
      <c r="Q257" s="50"/>
      <c r="R257" s="99" t="str">
        <f t="shared" si="33"/>
        <v/>
      </c>
      <c r="S257" s="99" t="str">
        <f t="shared" si="34"/>
        <v/>
      </c>
      <c r="T257" s="100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8">
        <f t="shared" si="32"/>
        <v>0</v>
      </c>
      <c r="P258" s="50"/>
      <c r="Q258" s="50"/>
      <c r="R258" s="99" t="str">
        <f t="shared" si="33"/>
        <v/>
      </c>
      <c r="S258" s="99" t="str">
        <f t="shared" si="34"/>
        <v/>
      </c>
      <c r="T258" s="100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8">
        <f t="shared" si="32"/>
        <v>0</v>
      </c>
      <c r="P259" s="50"/>
      <c r="Q259" s="50"/>
      <c r="R259" s="99" t="str">
        <f t="shared" si="33"/>
        <v/>
      </c>
      <c r="S259" s="99" t="str">
        <f t="shared" si="34"/>
        <v/>
      </c>
      <c r="T259" s="100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8">
        <f t="shared" si="32"/>
        <v>0</v>
      </c>
      <c r="P260" s="50"/>
      <c r="Q260" s="50"/>
      <c r="R260" s="99" t="str">
        <f t="shared" si="33"/>
        <v/>
      </c>
      <c r="S260" s="99" t="str">
        <f t="shared" si="34"/>
        <v/>
      </c>
      <c r="T260" s="100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8">
        <f t="shared" si="32"/>
        <v>0</v>
      </c>
      <c r="P261" s="50"/>
      <c r="Q261" s="50"/>
      <c r="R261" s="99" t="str">
        <f t="shared" si="33"/>
        <v/>
      </c>
      <c r="S261" s="99" t="str">
        <f t="shared" si="34"/>
        <v/>
      </c>
      <c r="T261" s="100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8">
        <f t="shared" si="32"/>
        <v>0</v>
      </c>
      <c r="P262" s="50"/>
      <c r="Q262" s="50"/>
      <c r="R262" s="99" t="str">
        <f t="shared" si="33"/>
        <v/>
      </c>
      <c r="S262" s="99" t="str">
        <f t="shared" si="34"/>
        <v/>
      </c>
      <c r="T262" s="100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8">
        <f t="shared" si="32"/>
        <v>0</v>
      </c>
      <c r="P263" s="50"/>
      <c r="Q263" s="50"/>
      <c r="R263" s="99" t="str">
        <f t="shared" si="33"/>
        <v/>
      </c>
      <c r="S263" s="99" t="str">
        <f t="shared" si="34"/>
        <v/>
      </c>
      <c r="T263" s="100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8">
        <f t="shared" si="32"/>
        <v>0</v>
      </c>
      <c r="P264" s="50"/>
      <c r="Q264" s="50"/>
      <c r="R264" s="99" t="str">
        <f t="shared" si="33"/>
        <v/>
      </c>
      <c r="S264" s="99" t="str">
        <f t="shared" si="34"/>
        <v/>
      </c>
      <c r="T264" s="100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8">
        <f t="shared" si="32"/>
        <v>0</v>
      </c>
      <c r="P265" s="50"/>
      <c r="Q265" s="50"/>
      <c r="R265" s="99" t="str">
        <f t="shared" si="33"/>
        <v/>
      </c>
      <c r="S265" s="99" t="str">
        <f t="shared" si="34"/>
        <v/>
      </c>
      <c r="T265" s="100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8">
        <f t="shared" si="32"/>
        <v>0</v>
      </c>
      <c r="P266" s="50"/>
      <c r="Q266" s="50"/>
      <c r="R266" s="99" t="str">
        <f t="shared" si="33"/>
        <v/>
      </c>
      <c r="S266" s="99" t="str">
        <f t="shared" si="34"/>
        <v/>
      </c>
      <c r="T266" s="100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8">
        <f t="shared" si="32"/>
        <v>0</v>
      </c>
      <c r="P267" s="50"/>
      <c r="Q267" s="50"/>
      <c r="R267" s="99" t="str">
        <f t="shared" si="33"/>
        <v/>
      </c>
      <c r="S267" s="99" t="str">
        <f t="shared" si="34"/>
        <v/>
      </c>
      <c r="T267" s="100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8">
        <f t="shared" ref="O268:O331" si="37">T268*N268</f>
        <v>0</v>
      </c>
      <c r="P268" s="50"/>
      <c r="Q268" s="50"/>
      <c r="R268" s="99" t="str">
        <f t="shared" ref="R268:R331" si="38">IF(OR(P268="c",P268="C"),+T268,"")</f>
        <v/>
      </c>
      <c r="S268" s="99" t="str">
        <f t="shared" ref="S268:S331" si="39">IF(OR(P268="$",N268=1),+T268,"")</f>
        <v/>
      </c>
      <c r="T268" s="100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8">
        <f t="shared" si="37"/>
        <v>0</v>
      </c>
      <c r="P269" s="50"/>
      <c r="Q269" s="50"/>
      <c r="R269" s="99" t="str">
        <f t="shared" si="38"/>
        <v/>
      </c>
      <c r="S269" s="99" t="str">
        <f t="shared" si="39"/>
        <v/>
      </c>
      <c r="T269" s="100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8">
        <f t="shared" si="37"/>
        <v>0</v>
      </c>
      <c r="P270" s="50"/>
      <c r="Q270" s="50"/>
      <c r="R270" s="99" t="str">
        <f t="shared" si="38"/>
        <v/>
      </c>
      <c r="S270" s="99" t="str">
        <f t="shared" si="39"/>
        <v/>
      </c>
      <c r="T270" s="100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8">
        <f t="shared" si="37"/>
        <v>0</v>
      </c>
      <c r="P271" s="50"/>
      <c r="Q271" s="50"/>
      <c r="R271" s="99" t="str">
        <f t="shared" si="38"/>
        <v/>
      </c>
      <c r="S271" s="99" t="str">
        <f t="shared" si="39"/>
        <v/>
      </c>
      <c r="T271" s="100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8">
        <f t="shared" si="37"/>
        <v>0</v>
      </c>
      <c r="P272" s="50"/>
      <c r="Q272" s="50"/>
      <c r="R272" s="99" t="str">
        <f t="shared" si="38"/>
        <v/>
      </c>
      <c r="S272" s="99" t="str">
        <f t="shared" si="39"/>
        <v/>
      </c>
      <c r="T272" s="100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8">
        <f t="shared" si="37"/>
        <v>0</v>
      </c>
      <c r="P273" s="50"/>
      <c r="Q273" s="50"/>
      <c r="R273" s="99" t="str">
        <f t="shared" si="38"/>
        <v/>
      </c>
      <c r="S273" s="99" t="str">
        <f t="shared" si="39"/>
        <v/>
      </c>
      <c r="T273" s="100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8">
        <f t="shared" si="37"/>
        <v>0</v>
      </c>
      <c r="P274" s="50"/>
      <c r="Q274" s="50"/>
      <c r="R274" s="99" t="str">
        <f t="shared" si="38"/>
        <v/>
      </c>
      <c r="S274" s="99" t="str">
        <f t="shared" si="39"/>
        <v/>
      </c>
      <c r="T274" s="100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8">
        <f t="shared" si="37"/>
        <v>0</v>
      </c>
      <c r="P275" s="50"/>
      <c r="Q275" s="50"/>
      <c r="R275" s="99" t="str">
        <f t="shared" si="38"/>
        <v/>
      </c>
      <c r="S275" s="99" t="str">
        <f t="shared" si="39"/>
        <v/>
      </c>
      <c r="T275" s="100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8">
        <f t="shared" si="37"/>
        <v>0</v>
      </c>
      <c r="P276" s="50"/>
      <c r="Q276" s="50"/>
      <c r="R276" s="99" t="str">
        <f t="shared" si="38"/>
        <v/>
      </c>
      <c r="S276" s="99" t="str">
        <f t="shared" si="39"/>
        <v/>
      </c>
      <c r="T276" s="100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8">
        <f t="shared" si="37"/>
        <v>0</v>
      </c>
      <c r="P277" s="50"/>
      <c r="Q277" s="50"/>
      <c r="R277" s="99" t="str">
        <f t="shared" si="38"/>
        <v/>
      </c>
      <c r="S277" s="99" t="str">
        <f t="shared" si="39"/>
        <v/>
      </c>
      <c r="T277" s="100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8">
        <f t="shared" si="37"/>
        <v>0</v>
      </c>
      <c r="P278" s="50"/>
      <c r="Q278" s="50"/>
      <c r="R278" s="99" t="str">
        <f t="shared" si="38"/>
        <v/>
      </c>
      <c r="S278" s="99" t="str">
        <f t="shared" si="39"/>
        <v/>
      </c>
      <c r="T278" s="100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8">
        <f t="shared" si="37"/>
        <v>0</v>
      </c>
      <c r="P279" s="50"/>
      <c r="Q279" s="50"/>
      <c r="R279" s="99" t="str">
        <f t="shared" si="38"/>
        <v/>
      </c>
      <c r="S279" s="99" t="str">
        <f t="shared" si="39"/>
        <v/>
      </c>
      <c r="T279" s="100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8">
        <f t="shared" si="37"/>
        <v>0</v>
      </c>
      <c r="P280" s="50"/>
      <c r="Q280" s="50"/>
      <c r="R280" s="99" t="str">
        <f t="shared" si="38"/>
        <v/>
      </c>
      <c r="S280" s="99" t="str">
        <f t="shared" si="39"/>
        <v/>
      </c>
      <c r="T280" s="100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8">
        <f t="shared" si="37"/>
        <v>0</v>
      </c>
      <c r="P281" s="50"/>
      <c r="Q281" s="50"/>
      <c r="R281" s="99" t="str">
        <f t="shared" si="38"/>
        <v/>
      </c>
      <c r="S281" s="99" t="str">
        <f t="shared" si="39"/>
        <v/>
      </c>
      <c r="T281" s="100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8">
        <f t="shared" si="37"/>
        <v>0</v>
      </c>
      <c r="P282" s="50"/>
      <c r="Q282" s="50"/>
      <c r="R282" s="99" t="str">
        <f t="shared" si="38"/>
        <v/>
      </c>
      <c r="S282" s="99" t="str">
        <f t="shared" si="39"/>
        <v/>
      </c>
      <c r="T282" s="100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8">
        <f t="shared" si="37"/>
        <v>0</v>
      </c>
      <c r="P283" s="50"/>
      <c r="Q283" s="50"/>
      <c r="R283" s="99" t="str">
        <f t="shared" si="38"/>
        <v/>
      </c>
      <c r="S283" s="99" t="str">
        <f t="shared" si="39"/>
        <v/>
      </c>
      <c r="T283" s="100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8">
        <f t="shared" si="37"/>
        <v>0</v>
      </c>
      <c r="P284" s="50"/>
      <c r="Q284" s="50"/>
      <c r="R284" s="99" t="str">
        <f t="shared" si="38"/>
        <v/>
      </c>
      <c r="S284" s="99" t="str">
        <f t="shared" si="39"/>
        <v/>
      </c>
      <c r="T284" s="100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8">
        <f t="shared" si="37"/>
        <v>0</v>
      </c>
      <c r="P285" s="50"/>
      <c r="Q285" s="50"/>
      <c r="R285" s="99" t="str">
        <f t="shared" si="38"/>
        <v/>
      </c>
      <c r="S285" s="99" t="str">
        <f t="shared" si="39"/>
        <v/>
      </c>
      <c r="T285" s="100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8">
        <f t="shared" si="37"/>
        <v>0</v>
      </c>
      <c r="P286" s="50"/>
      <c r="Q286" s="50"/>
      <c r="R286" s="99" t="str">
        <f t="shared" si="38"/>
        <v/>
      </c>
      <c r="S286" s="99" t="str">
        <f t="shared" si="39"/>
        <v/>
      </c>
      <c r="T286" s="100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8">
        <f t="shared" si="37"/>
        <v>0</v>
      </c>
      <c r="P287" s="50"/>
      <c r="Q287" s="50"/>
      <c r="R287" s="99" t="str">
        <f t="shared" si="38"/>
        <v/>
      </c>
      <c r="S287" s="99" t="str">
        <f t="shared" si="39"/>
        <v/>
      </c>
      <c r="T287" s="100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8">
        <f t="shared" si="37"/>
        <v>0</v>
      </c>
      <c r="P288" s="50"/>
      <c r="Q288" s="50"/>
      <c r="R288" s="99" t="str">
        <f t="shared" si="38"/>
        <v/>
      </c>
      <c r="S288" s="99" t="str">
        <f t="shared" si="39"/>
        <v/>
      </c>
      <c r="T288" s="100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8">
        <f t="shared" si="37"/>
        <v>0</v>
      </c>
      <c r="P289" s="50"/>
      <c r="Q289" s="50"/>
      <c r="R289" s="99" t="str">
        <f t="shared" si="38"/>
        <v/>
      </c>
      <c r="S289" s="99" t="str">
        <f t="shared" si="39"/>
        <v/>
      </c>
      <c r="T289" s="100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8">
        <f t="shared" si="37"/>
        <v>0</v>
      </c>
      <c r="P290" s="50"/>
      <c r="Q290" s="50"/>
      <c r="R290" s="99" t="str">
        <f t="shared" si="38"/>
        <v/>
      </c>
      <c r="S290" s="99" t="str">
        <f t="shared" si="39"/>
        <v/>
      </c>
      <c r="T290" s="100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8">
        <f t="shared" si="37"/>
        <v>0</v>
      </c>
      <c r="P291" s="50"/>
      <c r="Q291" s="50"/>
      <c r="R291" s="99" t="str">
        <f t="shared" si="38"/>
        <v/>
      </c>
      <c r="S291" s="99" t="str">
        <f t="shared" si="39"/>
        <v/>
      </c>
      <c r="T291" s="100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8">
        <f t="shared" si="37"/>
        <v>0</v>
      </c>
      <c r="P292" s="50"/>
      <c r="Q292" s="50"/>
      <c r="R292" s="99" t="str">
        <f t="shared" si="38"/>
        <v/>
      </c>
      <c r="S292" s="99" t="str">
        <f t="shared" si="39"/>
        <v/>
      </c>
      <c r="T292" s="100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8">
        <f t="shared" si="37"/>
        <v>0</v>
      </c>
      <c r="P293" s="50"/>
      <c r="Q293" s="50"/>
      <c r="R293" s="99" t="str">
        <f t="shared" si="38"/>
        <v/>
      </c>
      <c r="S293" s="99" t="str">
        <f t="shared" si="39"/>
        <v/>
      </c>
      <c r="T293" s="100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8">
        <f t="shared" si="37"/>
        <v>0</v>
      </c>
      <c r="P294" s="50"/>
      <c r="Q294" s="50"/>
      <c r="R294" s="99" t="str">
        <f t="shared" si="38"/>
        <v/>
      </c>
      <c r="S294" s="99" t="str">
        <f t="shared" si="39"/>
        <v/>
      </c>
      <c r="T294" s="100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8">
        <f t="shared" si="37"/>
        <v>0</v>
      </c>
      <c r="P295" s="50"/>
      <c r="Q295" s="50"/>
      <c r="R295" s="99" t="str">
        <f t="shared" si="38"/>
        <v/>
      </c>
      <c r="S295" s="99" t="str">
        <f t="shared" si="39"/>
        <v/>
      </c>
      <c r="T295" s="100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8">
        <f t="shared" si="37"/>
        <v>0</v>
      </c>
      <c r="P296" s="50"/>
      <c r="Q296" s="50"/>
      <c r="R296" s="99" t="str">
        <f t="shared" si="38"/>
        <v/>
      </c>
      <c r="S296" s="99" t="str">
        <f t="shared" si="39"/>
        <v/>
      </c>
      <c r="T296" s="100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8">
        <f t="shared" si="37"/>
        <v>0</v>
      </c>
      <c r="P297" s="50"/>
      <c r="Q297" s="50"/>
      <c r="R297" s="99" t="str">
        <f t="shared" si="38"/>
        <v/>
      </c>
      <c r="S297" s="99" t="str">
        <f t="shared" si="39"/>
        <v/>
      </c>
      <c r="T297" s="100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8">
        <f t="shared" si="37"/>
        <v>0</v>
      </c>
      <c r="P298" s="50"/>
      <c r="Q298" s="50"/>
      <c r="R298" s="99" t="str">
        <f t="shared" si="38"/>
        <v/>
      </c>
      <c r="S298" s="99" t="str">
        <f t="shared" si="39"/>
        <v/>
      </c>
      <c r="T298" s="100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8">
        <f t="shared" si="37"/>
        <v>0</v>
      </c>
      <c r="P299" s="50"/>
      <c r="Q299" s="50"/>
      <c r="R299" s="99" t="str">
        <f t="shared" si="38"/>
        <v/>
      </c>
      <c r="S299" s="99" t="str">
        <f t="shared" si="39"/>
        <v/>
      </c>
      <c r="T299" s="100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8">
        <f t="shared" si="37"/>
        <v>0</v>
      </c>
      <c r="P300" s="50"/>
      <c r="Q300" s="50"/>
      <c r="R300" s="99" t="str">
        <f t="shared" si="38"/>
        <v/>
      </c>
      <c r="S300" s="99" t="str">
        <f t="shared" si="39"/>
        <v/>
      </c>
      <c r="T300" s="100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8">
        <f t="shared" si="37"/>
        <v>0</v>
      </c>
      <c r="P301" s="50"/>
      <c r="Q301" s="50"/>
      <c r="R301" s="99" t="str">
        <f t="shared" si="38"/>
        <v/>
      </c>
      <c r="S301" s="99" t="str">
        <f t="shared" si="39"/>
        <v/>
      </c>
      <c r="T301" s="100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8">
        <f t="shared" si="37"/>
        <v>0</v>
      </c>
      <c r="P302" s="50"/>
      <c r="Q302" s="50"/>
      <c r="R302" s="99" t="str">
        <f t="shared" si="38"/>
        <v/>
      </c>
      <c r="S302" s="99" t="str">
        <f t="shared" si="39"/>
        <v/>
      </c>
      <c r="T302" s="100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8">
        <f t="shared" si="37"/>
        <v>0</v>
      </c>
      <c r="P303" s="50"/>
      <c r="Q303" s="50"/>
      <c r="R303" s="99" t="str">
        <f t="shared" si="38"/>
        <v/>
      </c>
      <c r="S303" s="99" t="str">
        <f t="shared" si="39"/>
        <v/>
      </c>
      <c r="T303" s="100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8">
        <f t="shared" si="37"/>
        <v>0</v>
      </c>
      <c r="P304" s="50"/>
      <c r="Q304" s="50"/>
      <c r="R304" s="99" t="str">
        <f t="shared" si="38"/>
        <v/>
      </c>
      <c r="S304" s="99" t="str">
        <f t="shared" si="39"/>
        <v/>
      </c>
      <c r="T304" s="100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8">
        <f t="shared" si="37"/>
        <v>0</v>
      </c>
      <c r="P305" s="50"/>
      <c r="Q305" s="50"/>
      <c r="R305" s="99" t="str">
        <f t="shared" si="38"/>
        <v/>
      </c>
      <c r="S305" s="99" t="str">
        <f t="shared" si="39"/>
        <v/>
      </c>
      <c r="T305" s="100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8">
        <f t="shared" si="37"/>
        <v>0</v>
      </c>
      <c r="P306" s="50"/>
      <c r="Q306" s="50"/>
      <c r="R306" s="99" t="str">
        <f t="shared" si="38"/>
        <v/>
      </c>
      <c r="S306" s="99" t="str">
        <f t="shared" si="39"/>
        <v/>
      </c>
      <c r="T306" s="100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8">
        <f t="shared" si="37"/>
        <v>0</v>
      </c>
      <c r="P307" s="50"/>
      <c r="Q307" s="50"/>
      <c r="R307" s="99" t="str">
        <f t="shared" si="38"/>
        <v/>
      </c>
      <c r="S307" s="99" t="str">
        <f t="shared" si="39"/>
        <v/>
      </c>
      <c r="T307" s="100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8">
        <f t="shared" si="37"/>
        <v>0</v>
      </c>
      <c r="P308" s="50"/>
      <c r="Q308" s="50"/>
      <c r="R308" s="99" t="str">
        <f t="shared" si="38"/>
        <v/>
      </c>
      <c r="S308" s="99" t="str">
        <f t="shared" si="39"/>
        <v/>
      </c>
      <c r="T308" s="100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8">
        <f t="shared" si="37"/>
        <v>0</v>
      </c>
      <c r="P309" s="50"/>
      <c r="Q309" s="50"/>
      <c r="R309" s="99" t="str">
        <f t="shared" si="38"/>
        <v/>
      </c>
      <c r="S309" s="99" t="str">
        <f t="shared" si="39"/>
        <v/>
      </c>
      <c r="T309" s="100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8">
        <f t="shared" si="37"/>
        <v>0</v>
      </c>
      <c r="P310" s="50"/>
      <c r="Q310" s="50"/>
      <c r="R310" s="99" t="str">
        <f t="shared" si="38"/>
        <v/>
      </c>
      <c r="S310" s="99" t="str">
        <f t="shared" si="39"/>
        <v/>
      </c>
      <c r="T310" s="100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8">
        <f t="shared" si="37"/>
        <v>0</v>
      </c>
      <c r="P311" s="50"/>
      <c r="Q311" s="50"/>
      <c r="R311" s="99" t="str">
        <f t="shared" si="38"/>
        <v/>
      </c>
      <c r="S311" s="99" t="str">
        <f t="shared" si="39"/>
        <v/>
      </c>
      <c r="T311" s="100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8">
        <f t="shared" si="37"/>
        <v>0</v>
      </c>
      <c r="P312" s="50"/>
      <c r="Q312" s="50"/>
      <c r="R312" s="99" t="str">
        <f t="shared" si="38"/>
        <v/>
      </c>
      <c r="S312" s="99" t="str">
        <f t="shared" si="39"/>
        <v/>
      </c>
      <c r="T312" s="100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8">
        <f t="shared" si="37"/>
        <v>0</v>
      </c>
      <c r="P313" s="50"/>
      <c r="Q313" s="50"/>
      <c r="R313" s="99" t="str">
        <f t="shared" si="38"/>
        <v/>
      </c>
      <c r="S313" s="99" t="str">
        <f t="shared" si="39"/>
        <v/>
      </c>
      <c r="T313" s="100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8">
        <f t="shared" si="37"/>
        <v>0</v>
      </c>
      <c r="P314" s="50"/>
      <c r="Q314" s="50"/>
      <c r="R314" s="99" t="str">
        <f t="shared" si="38"/>
        <v/>
      </c>
      <c r="S314" s="99" t="str">
        <f t="shared" si="39"/>
        <v/>
      </c>
      <c r="T314" s="100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8">
        <f t="shared" si="37"/>
        <v>0</v>
      </c>
      <c r="P315" s="50"/>
      <c r="Q315" s="50"/>
      <c r="R315" s="99" t="str">
        <f t="shared" si="38"/>
        <v/>
      </c>
      <c r="S315" s="99" t="str">
        <f t="shared" si="39"/>
        <v/>
      </c>
      <c r="T315" s="100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8">
        <f t="shared" si="37"/>
        <v>0</v>
      </c>
      <c r="P316" s="50"/>
      <c r="Q316" s="50"/>
      <c r="R316" s="99" t="str">
        <f t="shared" si="38"/>
        <v/>
      </c>
      <c r="S316" s="99" t="str">
        <f t="shared" si="39"/>
        <v/>
      </c>
      <c r="T316" s="100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8">
        <f t="shared" si="37"/>
        <v>0</v>
      </c>
      <c r="P317" s="50"/>
      <c r="Q317" s="50"/>
      <c r="R317" s="99" t="str">
        <f t="shared" si="38"/>
        <v/>
      </c>
      <c r="S317" s="99" t="str">
        <f t="shared" si="39"/>
        <v/>
      </c>
      <c r="T317" s="100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8">
        <f t="shared" si="37"/>
        <v>0</v>
      </c>
      <c r="P318" s="50"/>
      <c r="Q318" s="50"/>
      <c r="R318" s="99" t="str">
        <f t="shared" si="38"/>
        <v/>
      </c>
      <c r="S318" s="99" t="str">
        <f t="shared" si="39"/>
        <v/>
      </c>
      <c r="T318" s="100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8">
        <f t="shared" si="37"/>
        <v>0</v>
      </c>
      <c r="P319" s="50"/>
      <c r="Q319" s="50"/>
      <c r="R319" s="99" t="str">
        <f t="shared" si="38"/>
        <v/>
      </c>
      <c r="S319" s="99" t="str">
        <f t="shared" si="39"/>
        <v/>
      </c>
      <c r="T319" s="100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8">
        <f t="shared" si="37"/>
        <v>0</v>
      </c>
      <c r="P320" s="50"/>
      <c r="Q320" s="50"/>
      <c r="R320" s="99" t="str">
        <f t="shared" si="38"/>
        <v/>
      </c>
      <c r="S320" s="99" t="str">
        <f t="shared" si="39"/>
        <v/>
      </c>
      <c r="T320" s="100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8">
        <f t="shared" si="37"/>
        <v>0</v>
      </c>
      <c r="P321" s="50"/>
      <c r="Q321" s="50"/>
      <c r="R321" s="99" t="str">
        <f t="shared" si="38"/>
        <v/>
      </c>
      <c r="S321" s="99" t="str">
        <f t="shared" si="39"/>
        <v/>
      </c>
      <c r="T321" s="100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8">
        <f t="shared" si="37"/>
        <v>0</v>
      </c>
      <c r="P322" s="50"/>
      <c r="Q322" s="50"/>
      <c r="R322" s="99" t="str">
        <f t="shared" si="38"/>
        <v/>
      </c>
      <c r="S322" s="99" t="str">
        <f t="shared" si="39"/>
        <v/>
      </c>
      <c r="T322" s="100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8">
        <f t="shared" si="37"/>
        <v>0</v>
      </c>
      <c r="P323" s="50"/>
      <c r="Q323" s="50"/>
      <c r="R323" s="99" t="str">
        <f t="shared" si="38"/>
        <v/>
      </c>
      <c r="S323" s="99" t="str">
        <f t="shared" si="39"/>
        <v/>
      </c>
      <c r="T323" s="100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8">
        <f t="shared" si="37"/>
        <v>0</v>
      </c>
      <c r="P324" s="50"/>
      <c r="Q324" s="50"/>
      <c r="R324" s="99" t="str">
        <f t="shared" si="38"/>
        <v/>
      </c>
      <c r="S324" s="99" t="str">
        <f t="shared" si="39"/>
        <v/>
      </c>
      <c r="T324" s="100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8">
        <f t="shared" si="37"/>
        <v>0</v>
      </c>
      <c r="P325" s="50"/>
      <c r="Q325" s="50"/>
      <c r="R325" s="99" t="str">
        <f t="shared" si="38"/>
        <v/>
      </c>
      <c r="S325" s="99" t="str">
        <f t="shared" si="39"/>
        <v/>
      </c>
      <c r="T325" s="100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8">
        <f t="shared" si="37"/>
        <v>0</v>
      </c>
      <c r="P326" s="50"/>
      <c r="Q326" s="50"/>
      <c r="R326" s="99" t="str">
        <f t="shared" si="38"/>
        <v/>
      </c>
      <c r="S326" s="99" t="str">
        <f t="shared" si="39"/>
        <v/>
      </c>
      <c r="T326" s="100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8">
        <f t="shared" si="37"/>
        <v>0</v>
      </c>
      <c r="P327" s="50"/>
      <c r="Q327" s="50"/>
      <c r="R327" s="99" t="str">
        <f t="shared" si="38"/>
        <v/>
      </c>
      <c r="S327" s="99" t="str">
        <f t="shared" si="39"/>
        <v/>
      </c>
      <c r="T327" s="100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8">
        <f t="shared" si="37"/>
        <v>0</v>
      </c>
      <c r="P328" s="50"/>
      <c r="Q328" s="50"/>
      <c r="R328" s="99" t="str">
        <f t="shared" si="38"/>
        <v/>
      </c>
      <c r="S328" s="99" t="str">
        <f t="shared" si="39"/>
        <v/>
      </c>
      <c r="T328" s="100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8">
        <f t="shared" si="37"/>
        <v>0</v>
      </c>
      <c r="P329" s="50"/>
      <c r="Q329" s="50"/>
      <c r="R329" s="99" t="str">
        <f t="shared" si="38"/>
        <v/>
      </c>
      <c r="S329" s="99" t="str">
        <f t="shared" si="39"/>
        <v/>
      </c>
      <c r="T329" s="100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8">
        <f t="shared" si="37"/>
        <v>0</v>
      </c>
      <c r="P330" s="50"/>
      <c r="Q330" s="50"/>
      <c r="R330" s="99" t="str">
        <f t="shared" si="38"/>
        <v/>
      </c>
      <c r="S330" s="99" t="str">
        <f t="shared" si="39"/>
        <v/>
      </c>
      <c r="T330" s="100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8">
        <f t="shared" si="37"/>
        <v>0</v>
      </c>
      <c r="P331" s="50"/>
      <c r="Q331" s="50"/>
      <c r="R331" s="99" t="str">
        <f t="shared" si="38"/>
        <v/>
      </c>
      <c r="S331" s="99" t="str">
        <f t="shared" si="39"/>
        <v/>
      </c>
      <c r="T331" s="100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8">
        <f t="shared" ref="O332:O395" si="42">T332*N332</f>
        <v>0</v>
      </c>
      <c r="P332" s="50"/>
      <c r="Q332" s="50"/>
      <c r="R332" s="99" t="str">
        <f t="shared" ref="R332:R395" si="43">IF(OR(P332="c",P332="C"),+T332,"")</f>
        <v/>
      </c>
      <c r="S332" s="99" t="str">
        <f t="shared" ref="S332:S395" si="44">IF(OR(P332="$",N332=1),+T332,"")</f>
        <v/>
      </c>
      <c r="T332" s="100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8">
        <f t="shared" si="42"/>
        <v>0</v>
      </c>
      <c r="P333" s="50"/>
      <c r="Q333" s="50"/>
      <c r="R333" s="99" t="str">
        <f t="shared" si="43"/>
        <v/>
      </c>
      <c r="S333" s="99" t="str">
        <f t="shared" si="44"/>
        <v/>
      </c>
      <c r="T333" s="100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8">
        <f t="shared" si="42"/>
        <v>0</v>
      </c>
      <c r="P334" s="50"/>
      <c r="Q334" s="50"/>
      <c r="R334" s="99" t="str">
        <f t="shared" si="43"/>
        <v/>
      </c>
      <c r="S334" s="99" t="str">
        <f t="shared" si="44"/>
        <v/>
      </c>
      <c r="T334" s="100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8">
        <f t="shared" si="42"/>
        <v>0</v>
      </c>
      <c r="P335" s="50"/>
      <c r="Q335" s="50"/>
      <c r="R335" s="99" t="str">
        <f t="shared" si="43"/>
        <v/>
      </c>
      <c r="S335" s="99" t="str">
        <f t="shared" si="44"/>
        <v/>
      </c>
      <c r="T335" s="100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8">
        <f t="shared" si="42"/>
        <v>0</v>
      </c>
      <c r="P336" s="50"/>
      <c r="Q336" s="50"/>
      <c r="R336" s="99" t="str">
        <f t="shared" si="43"/>
        <v/>
      </c>
      <c r="S336" s="99" t="str">
        <f t="shared" si="44"/>
        <v/>
      </c>
      <c r="T336" s="100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8">
        <f t="shared" si="42"/>
        <v>0</v>
      </c>
      <c r="P337" s="50"/>
      <c r="Q337" s="50"/>
      <c r="R337" s="99" t="str">
        <f t="shared" si="43"/>
        <v/>
      </c>
      <c r="S337" s="99" t="str">
        <f t="shared" si="44"/>
        <v/>
      </c>
      <c r="T337" s="100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8">
        <f t="shared" si="42"/>
        <v>0</v>
      </c>
      <c r="P338" s="50"/>
      <c r="Q338" s="50"/>
      <c r="R338" s="99" t="str">
        <f t="shared" si="43"/>
        <v/>
      </c>
      <c r="S338" s="99" t="str">
        <f t="shared" si="44"/>
        <v/>
      </c>
      <c r="T338" s="100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8">
        <f t="shared" si="42"/>
        <v>0</v>
      </c>
      <c r="P339" s="50"/>
      <c r="Q339" s="50"/>
      <c r="R339" s="99" t="str">
        <f t="shared" si="43"/>
        <v/>
      </c>
      <c r="S339" s="99" t="str">
        <f t="shared" si="44"/>
        <v/>
      </c>
      <c r="T339" s="100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8">
        <f t="shared" si="42"/>
        <v>0</v>
      </c>
      <c r="P340" s="50"/>
      <c r="Q340" s="50"/>
      <c r="R340" s="99" t="str">
        <f t="shared" si="43"/>
        <v/>
      </c>
      <c r="S340" s="99" t="str">
        <f t="shared" si="44"/>
        <v/>
      </c>
      <c r="T340" s="100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8">
        <f t="shared" si="42"/>
        <v>0</v>
      </c>
      <c r="P341" s="50"/>
      <c r="Q341" s="50"/>
      <c r="R341" s="99" t="str">
        <f t="shared" si="43"/>
        <v/>
      </c>
      <c r="S341" s="99" t="str">
        <f t="shared" si="44"/>
        <v/>
      </c>
      <c r="T341" s="100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8">
        <f t="shared" si="42"/>
        <v>0</v>
      </c>
      <c r="P342" s="50"/>
      <c r="Q342" s="50"/>
      <c r="R342" s="99" t="str">
        <f t="shared" si="43"/>
        <v/>
      </c>
      <c r="S342" s="99" t="str">
        <f t="shared" si="44"/>
        <v/>
      </c>
      <c r="T342" s="100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8">
        <f t="shared" si="42"/>
        <v>0</v>
      </c>
      <c r="P343" s="50"/>
      <c r="Q343" s="50"/>
      <c r="R343" s="99" t="str">
        <f t="shared" si="43"/>
        <v/>
      </c>
      <c r="S343" s="99" t="str">
        <f t="shared" si="44"/>
        <v/>
      </c>
      <c r="T343" s="100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8">
        <f t="shared" si="42"/>
        <v>0</v>
      </c>
      <c r="P344" s="50"/>
      <c r="Q344" s="50"/>
      <c r="R344" s="99" t="str">
        <f t="shared" si="43"/>
        <v/>
      </c>
      <c r="S344" s="99" t="str">
        <f t="shared" si="44"/>
        <v/>
      </c>
      <c r="T344" s="100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8">
        <f t="shared" si="42"/>
        <v>0</v>
      </c>
      <c r="P345" s="50"/>
      <c r="Q345" s="50"/>
      <c r="R345" s="99" t="str">
        <f t="shared" si="43"/>
        <v/>
      </c>
      <c r="S345" s="99" t="str">
        <f t="shared" si="44"/>
        <v/>
      </c>
      <c r="T345" s="100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8">
        <f t="shared" si="42"/>
        <v>0</v>
      </c>
      <c r="P346" s="50"/>
      <c r="Q346" s="50"/>
      <c r="R346" s="99" t="str">
        <f t="shared" si="43"/>
        <v/>
      </c>
      <c r="S346" s="99" t="str">
        <f t="shared" si="44"/>
        <v/>
      </c>
      <c r="T346" s="100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8">
        <f t="shared" si="42"/>
        <v>0</v>
      </c>
      <c r="P347" s="50"/>
      <c r="Q347" s="50"/>
      <c r="R347" s="99" t="str">
        <f t="shared" si="43"/>
        <v/>
      </c>
      <c r="S347" s="99" t="str">
        <f t="shared" si="44"/>
        <v/>
      </c>
      <c r="T347" s="100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8">
        <f t="shared" si="42"/>
        <v>0</v>
      </c>
      <c r="P348" s="50"/>
      <c r="Q348" s="50"/>
      <c r="R348" s="99" t="str">
        <f t="shared" si="43"/>
        <v/>
      </c>
      <c r="S348" s="99" t="str">
        <f t="shared" si="44"/>
        <v/>
      </c>
      <c r="T348" s="100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8">
        <f t="shared" si="42"/>
        <v>0</v>
      </c>
      <c r="P349" s="50"/>
      <c r="Q349" s="50"/>
      <c r="R349" s="99" t="str">
        <f t="shared" si="43"/>
        <v/>
      </c>
      <c r="S349" s="99" t="str">
        <f t="shared" si="44"/>
        <v/>
      </c>
      <c r="T349" s="100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8">
        <f t="shared" si="42"/>
        <v>0</v>
      </c>
      <c r="P350" s="50"/>
      <c r="Q350" s="50"/>
      <c r="R350" s="99" t="str">
        <f t="shared" si="43"/>
        <v/>
      </c>
      <c r="S350" s="99" t="str">
        <f t="shared" si="44"/>
        <v/>
      </c>
      <c r="T350" s="100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8">
        <f t="shared" si="42"/>
        <v>0</v>
      </c>
      <c r="P351" s="50"/>
      <c r="Q351" s="50"/>
      <c r="R351" s="99" t="str">
        <f t="shared" si="43"/>
        <v/>
      </c>
      <c r="S351" s="99" t="str">
        <f t="shared" si="44"/>
        <v/>
      </c>
      <c r="T351" s="100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8">
        <f t="shared" si="42"/>
        <v>0</v>
      </c>
      <c r="P352" s="50"/>
      <c r="Q352" s="50"/>
      <c r="R352" s="99" t="str">
        <f t="shared" si="43"/>
        <v/>
      </c>
      <c r="S352" s="99" t="str">
        <f t="shared" si="44"/>
        <v/>
      </c>
      <c r="T352" s="100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8">
        <f t="shared" si="42"/>
        <v>0</v>
      </c>
      <c r="P353" s="50"/>
      <c r="Q353" s="50"/>
      <c r="R353" s="99" t="str">
        <f t="shared" si="43"/>
        <v/>
      </c>
      <c r="S353" s="99" t="str">
        <f t="shared" si="44"/>
        <v/>
      </c>
      <c r="T353" s="100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8">
        <f t="shared" si="42"/>
        <v>0</v>
      </c>
      <c r="P354" s="50"/>
      <c r="Q354" s="50"/>
      <c r="R354" s="99" t="str">
        <f t="shared" si="43"/>
        <v/>
      </c>
      <c r="S354" s="99" t="str">
        <f t="shared" si="44"/>
        <v/>
      </c>
      <c r="T354" s="100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8">
        <f t="shared" si="42"/>
        <v>0</v>
      </c>
      <c r="P355" s="50"/>
      <c r="Q355" s="50"/>
      <c r="R355" s="99" t="str">
        <f t="shared" si="43"/>
        <v/>
      </c>
      <c r="S355" s="99" t="str">
        <f t="shared" si="44"/>
        <v/>
      </c>
      <c r="T355" s="100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8">
        <f t="shared" si="42"/>
        <v>0</v>
      </c>
      <c r="P356" s="50"/>
      <c r="Q356" s="50"/>
      <c r="R356" s="99" t="str">
        <f t="shared" si="43"/>
        <v/>
      </c>
      <c r="S356" s="99" t="str">
        <f t="shared" si="44"/>
        <v/>
      </c>
      <c r="T356" s="100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8">
        <f t="shared" si="42"/>
        <v>0</v>
      </c>
      <c r="P357" s="50"/>
      <c r="Q357" s="50"/>
      <c r="R357" s="99" t="str">
        <f t="shared" si="43"/>
        <v/>
      </c>
      <c r="S357" s="99" t="str">
        <f t="shared" si="44"/>
        <v/>
      </c>
      <c r="T357" s="100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8">
        <f t="shared" si="42"/>
        <v>0</v>
      </c>
      <c r="P358" s="50"/>
      <c r="Q358" s="50"/>
      <c r="R358" s="99" t="str">
        <f t="shared" si="43"/>
        <v/>
      </c>
      <c r="S358" s="99" t="str">
        <f t="shared" si="44"/>
        <v/>
      </c>
      <c r="T358" s="100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8">
        <f t="shared" si="42"/>
        <v>0</v>
      </c>
      <c r="P359" s="50"/>
      <c r="Q359" s="50"/>
      <c r="R359" s="99" t="str">
        <f t="shared" si="43"/>
        <v/>
      </c>
      <c r="S359" s="99" t="str">
        <f t="shared" si="44"/>
        <v/>
      </c>
      <c r="T359" s="100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8">
        <f t="shared" si="42"/>
        <v>0</v>
      </c>
      <c r="P360" s="50"/>
      <c r="Q360" s="50"/>
      <c r="R360" s="99" t="str">
        <f t="shared" si="43"/>
        <v/>
      </c>
      <c r="S360" s="99" t="str">
        <f t="shared" si="44"/>
        <v/>
      </c>
      <c r="T360" s="100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8">
        <f t="shared" si="42"/>
        <v>0</v>
      </c>
      <c r="P361" s="50"/>
      <c r="Q361" s="50"/>
      <c r="R361" s="99" t="str">
        <f t="shared" si="43"/>
        <v/>
      </c>
      <c r="S361" s="99" t="str">
        <f t="shared" si="44"/>
        <v/>
      </c>
      <c r="T361" s="100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8">
        <f t="shared" si="42"/>
        <v>0</v>
      </c>
      <c r="P362" s="50"/>
      <c r="Q362" s="50"/>
      <c r="R362" s="99" t="str">
        <f t="shared" si="43"/>
        <v/>
      </c>
      <c r="S362" s="99" t="str">
        <f t="shared" si="44"/>
        <v/>
      </c>
      <c r="T362" s="100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8">
        <f t="shared" si="42"/>
        <v>0</v>
      </c>
      <c r="P363" s="50"/>
      <c r="Q363" s="50"/>
      <c r="R363" s="99" t="str">
        <f t="shared" si="43"/>
        <v/>
      </c>
      <c r="S363" s="99" t="str">
        <f t="shared" si="44"/>
        <v/>
      </c>
      <c r="T363" s="100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8">
        <f t="shared" si="42"/>
        <v>0</v>
      </c>
      <c r="P364" s="50"/>
      <c r="Q364" s="50"/>
      <c r="R364" s="99" t="str">
        <f t="shared" si="43"/>
        <v/>
      </c>
      <c r="S364" s="99" t="str">
        <f t="shared" si="44"/>
        <v/>
      </c>
      <c r="T364" s="100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8">
        <f t="shared" si="42"/>
        <v>0</v>
      </c>
      <c r="P365" s="50"/>
      <c r="Q365" s="50"/>
      <c r="R365" s="99" t="str">
        <f t="shared" si="43"/>
        <v/>
      </c>
      <c r="S365" s="99" t="str">
        <f t="shared" si="44"/>
        <v/>
      </c>
      <c r="T365" s="100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8">
        <f t="shared" si="42"/>
        <v>0</v>
      </c>
      <c r="P366" s="50"/>
      <c r="Q366" s="50"/>
      <c r="R366" s="99" t="str">
        <f t="shared" si="43"/>
        <v/>
      </c>
      <c r="S366" s="99" t="str">
        <f t="shared" si="44"/>
        <v/>
      </c>
      <c r="T366" s="100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8">
        <f t="shared" si="42"/>
        <v>0</v>
      </c>
      <c r="P367" s="50"/>
      <c r="Q367" s="50"/>
      <c r="R367" s="99" t="str">
        <f t="shared" si="43"/>
        <v/>
      </c>
      <c r="S367" s="99" t="str">
        <f t="shared" si="44"/>
        <v/>
      </c>
      <c r="T367" s="100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8">
        <f t="shared" si="42"/>
        <v>0</v>
      </c>
      <c r="P368" s="50"/>
      <c r="Q368" s="50"/>
      <c r="R368" s="99" t="str">
        <f t="shared" si="43"/>
        <v/>
      </c>
      <c r="S368" s="99" t="str">
        <f t="shared" si="44"/>
        <v/>
      </c>
      <c r="T368" s="100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8">
        <f t="shared" si="42"/>
        <v>0</v>
      </c>
      <c r="P369" s="50"/>
      <c r="Q369" s="50"/>
      <c r="R369" s="99" t="str">
        <f t="shared" si="43"/>
        <v/>
      </c>
      <c r="S369" s="99" t="str">
        <f t="shared" si="44"/>
        <v/>
      </c>
      <c r="T369" s="100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8">
        <f t="shared" si="42"/>
        <v>0</v>
      </c>
      <c r="P370" s="50"/>
      <c r="Q370" s="50"/>
      <c r="R370" s="99" t="str">
        <f t="shared" si="43"/>
        <v/>
      </c>
      <c r="S370" s="99" t="str">
        <f t="shared" si="44"/>
        <v/>
      </c>
      <c r="T370" s="100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8">
        <f t="shared" si="42"/>
        <v>0</v>
      </c>
      <c r="P371" s="50"/>
      <c r="Q371" s="50"/>
      <c r="R371" s="99" t="str">
        <f t="shared" si="43"/>
        <v/>
      </c>
      <c r="S371" s="99" t="str">
        <f t="shared" si="44"/>
        <v/>
      </c>
      <c r="T371" s="100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8">
        <f t="shared" si="42"/>
        <v>0</v>
      </c>
      <c r="P372" s="50"/>
      <c r="Q372" s="50"/>
      <c r="R372" s="99" t="str">
        <f t="shared" si="43"/>
        <v/>
      </c>
      <c r="S372" s="99" t="str">
        <f t="shared" si="44"/>
        <v/>
      </c>
      <c r="T372" s="100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8">
        <f t="shared" si="42"/>
        <v>0</v>
      </c>
      <c r="P373" s="50"/>
      <c r="Q373" s="50"/>
      <c r="R373" s="99" t="str">
        <f t="shared" si="43"/>
        <v/>
      </c>
      <c r="S373" s="99" t="str">
        <f t="shared" si="44"/>
        <v/>
      </c>
      <c r="T373" s="100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8">
        <f t="shared" si="42"/>
        <v>0</v>
      </c>
      <c r="P374" s="50"/>
      <c r="Q374" s="50"/>
      <c r="R374" s="99" t="str">
        <f t="shared" si="43"/>
        <v/>
      </c>
      <c r="S374" s="99" t="str">
        <f t="shared" si="44"/>
        <v/>
      </c>
      <c r="T374" s="100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8">
        <f t="shared" si="42"/>
        <v>0</v>
      </c>
      <c r="P375" s="50"/>
      <c r="Q375" s="50"/>
      <c r="R375" s="99" t="str">
        <f t="shared" si="43"/>
        <v/>
      </c>
      <c r="S375" s="99" t="str">
        <f t="shared" si="44"/>
        <v/>
      </c>
      <c r="T375" s="100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8">
        <f t="shared" si="42"/>
        <v>0</v>
      </c>
      <c r="P376" s="50"/>
      <c r="Q376" s="50"/>
      <c r="R376" s="99" t="str">
        <f t="shared" si="43"/>
        <v/>
      </c>
      <c r="S376" s="99" t="str">
        <f t="shared" si="44"/>
        <v/>
      </c>
      <c r="T376" s="100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8">
        <f t="shared" si="42"/>
        <v>0</v>
      </c>
      <c r="P377" s="50"/>
      <c r="Q377" s="50"/>
      <c r="R377" s="99" t="str">
        <f t="shared" si="43"/>
        <v/>
      </c>
      <c r="S377" s="99" t="str">
        <f t="shared" si="44"/>
        <v/>
      </c>
      <c r="T377" s="100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8">
        <f t="shared" si="42"/>
        <v>0</v>
      </c>
      <c r="P378" s="50"/>
      <c r="Q378" s="50"/>
      <c r="R378" s="99" t="str">
        <f t="shared" si="43"/>
        <v/>
      </c>
      <c r="S378" s="99" t="str">
        <f t="shared" si="44"/>
        <v/>
      </c>
      <c r="T378" s="100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8">
        <f t="shared" si="42"/>
        <v>0</v>
      </c>
      <c r="P379" s="50"/>
      <c r="Q379" s="50"/>
      <c r="R379" s="99" t="str">
        <f t="shared" si="43"/>
        <v/>
      </c>
      <c r="S379" s="99" t="str">
        <f t="shared" si="44"/>
        <v/>
      </c>
      <c r="T379" s="100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8">
        <f t="shared" si="42"/>
        <v>0</v>
      </c>
      <c r="P380" s="50"/>
      <c r="Q380" s="50"/>
      <c r="R380" s="99" t="str">
        <f t="shared" si="43"/>
        <v/>
      </c>
      <c r="S380" s="99" t="str">
        <f t="shared" si="44"/>
        <v/>
      </c>
      <c r="T380" s="100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8">
        <f t="shared" si="42"/>
        <v>0</v>
      </c>
      <c r="P381" s="50"/>
      <c r="Q381" s="50"/>
      <c r="R381" s="99" t="str">
        <f t="shared" si="43"/>
        <v/>
      </c>
      <c r="S381" s="99" t="str">
        <f t="shared" si="44"/>
        <v/>
      </c>
      <c r="T381" s="100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8">
        <f t="shared" si="42"/>
        <v>0</v>
      </c>
      <c r="P382" s="50"/>
      <c r="Q382" s="50"/>
      <c r="R382" s="99" t="str">
        <f t="shared" si="43"/>
        <v/>
      </c>
      <c r="S382" s="99" t="str">
        <f t="shared" si="44"/>
        <v/>
      </c>
      <c r="T382" s="100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8">
        <f t="shared" si="42"/>
        <v>0</v>
      </c>
      <c r="P383" s="50"/>
      <c r="Q383" s="50"/>
      <c r="R383" s="99" t="str">
        <f t="shared" si="43"/>
        <v/>
      </c>
      <c r="S383" s="99" t="str">
        <f t="shared" si="44"/>
        <v/>
      </c>
      <c r="T383" s="100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8">
        <f t="shared" si="42"/>
        <v>0</v>
      </c>
      <c r="P384" s="50"/>
      <c r="Q384" s="50"/>
      <c r="R384" s="99" t="str">
        <f t="shared" si="43"/>
        <v/>
      </c>
      <c r="S384" s="99" t="str">
        <f t="shared" si="44"/>
        <v/>
      </c>
      <c r="T384" s="100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8">
        <f t="shared" si="42"/>
        <v>0</v>
      </c>
      <c r="P385" s="50"/>
      <c r="Q385" s="50"/>
      <c r="R385" s="99" t="str">
        <f t="shared" si="43"/>
        <v/>
      </c>
      <c r="S385" s="99" t="str">
        <f t="shared" si="44"/>
        <v/>
      </c>
      <c r="T385" s="100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8">
        <f t="shared" si="42"/>
        <v>0</v>
      </c>
      <c r="P386" s="50"/>
      <c r="Q386" s="50"/>
      <c r="R386" s="99" t="str">
        <f t="shared" si="43"/>
        <v/>
      </c>
      <c r="S386" s="99" t="str">
        <f t="shared" si="44"/>
        <v/>
      </c>
      <c r="T386" s="100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8">
        <f t="shared" si="42"/>
        <v>0</v>
      </c>
      <c r="P387" s="50"/>
      <c r="Q387" s="50"/>
      <c r="R387" s="99" t="str">
        <f t="shared" si="43"/>
        <v/>
      </c>
      <c r="S387" s="99" t="str">
        <f t="shared" si="44"/>
        <v/>
      </c>
      <c r="T387" s="100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8">
        <f t="shared" si="42"/>
        <v>0</v>
      </c>
      <c r="P388" s="50"/>
      <c r="Q388" s="50"/>
      <c r="R388" s="99" t="str">
        <f t="shared" si="43"/>
        <v/>
      </c>
      <c r="S388" s="99" t="str">
        <f t="shared" si="44"/>
        <v/>
      </c>
      <c r="T388" s="100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8">
        <f t="shared" si="42"/>
        <v>0</v>
      </c>
      <c r="P389" s="50"/>
      <c r="Q389" s="50"/>
      <c r="R389" s="99" t="str">
        <f t="shared" si="43"/>
        <v/>
      </c>
      <c r="S389" s="99" t="str">
        <f t="shared" si="44"/>
        <v/>
      </c>
      <c r="T389" s="100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8">
        <f t="shared" si="42"/>
        <v>0</v>
      </c>
      <c r="P390" s="50"/>
      <c r="Q390" s="50"/>
      <c r="R390" s="99" t="str">
        <f t="shared" si="43"/>
        <v/>
      </c>
      <c r="S390" s="99" t="str">
        <f t="shared" si="44"/>
        <v/>
      </c>
      <c r="T390" s="100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8">
        <f t="shared" si="42"/>
        <v>0</v>
      </c>
      <c r="P391" s="50"/>
      <c r="Q391" s="50"/>
      <c r="R391" s="99" t="str">
        <f t="shared" si="43"/>
        <v/>
      </c>
      <c r="S391" s="99" t="str">
        <f t="shared" si="44"/>
        <v/>
      </c>
      <c r="T391" s="100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8">
        <f t="shared" si="42"/>
        <v>0</v>
      </c>
      <c r="P392" s="50"/>
      <c r="Q392" s="50"/>
      <c r="R392" s="99" t="str">
        <f t="shared" si="43"/>
        <v/>
      </c>
      <c r="S392" s="99" t="str">
        <f t="shared" si="44"/>
        <v/>
      </c>
      <c r="T392" s="100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8">
        <f t="shared" si="42"/>
        <v>0</v>
      </c>
      <c r="P393" s="50"/>
      <c r="Q393" s="50"/>
      <c r="R393" s="99" t="str">
        <f t="shared" si="43"/>
        <v/>
      </c>
      <c r="S393" s="99" t="str">
        <f t="shared" si="44"/>
        <v/>
      </c>
      <c r="T393" s="100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8">
        <f t="shared" si="42"/>
        <v>0</v>
      </c>
      <c r="P394" s="50"/>
      <c r="Q394" s="50"/>
      <c r="R394" s="99" t="str">
        <f t="shared" si="43"/>
        <v/>
      </c>
      <c r="S394" s="99" t="str">
        <f t="shared" si="44"/>
        <v/>
      </c>
      <c r="T394" s="100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8">
        <f t="shared" si="42"/>
        <v>0</v>
      </c>
      <c r="P395" s="50"/>
      <c r="Q395" s="50"/>
      <c r="R395" s="99" t="str">
        <f t="shared" si="43"/>
        <v/>
      </c>
      <c r="S395" s="99" t="str">
        <f t="shared" si="44"/>
        <v/>
      </c>
      <c r="T395" s="100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8">
        <f t="shared" ref="O396:O411" si="47">T396*N396</f>
        <v>0</v>
      </c>
      <c r="P396" s="50"/>
      <c r="Q396" s="50"/>
      <c r="R396" s="99" t="str">
        <f t="shared" ref="R396:R411" si="48">IF(OR(P396="c",P396="C"),+T396,"")</f>
        <v/>
      </c>
      <c r="S396" s="99" t="str">
        <f t="shared" ref="S396:S411" si="49">IF(OR(P396="$",N396=1),+T396,"")</f>
        <v/>
      </c>
      <c r="T396" s="100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8">
        <f t="shared" si="47"/>
        <v>0</v>
      </c>
      <c r="P397" s="50"/>
      <c r="Q397" s="50"/>
      <c r="R397" s="99" t="str">
        <f t="shared" si="48"/>
        <v/>
      </c>
      <c r="S397" s="99" t="str">
        <f t="shared" si="49"/>
        <v/>
      </c>
      <c r="T397" s="100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8">
        <f t="shared" si="47"/>
        <v>0</v>
      </c>
      <c r="P398" s="50"/>
      <c r="Q398" s="50"/>
      <c r="R398" s="99" t="str">
        <f t="shared" si="48"/>
        <v/>
      </c>
      <c r="S398" s="99" t="str">
        <f t="shared" si="49"/>
        <v/>
      </c>
      <c r="T398" s="100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8">
        <f t="shared" si="47"/>
        <v>0</v>
      </c>
      <c r="P399" s="50"/>
      <c r="Q399" s="50"/>
      <c r="R399" s="99" t="str">
        <f t="shared" si="48"/>
        <v/>
      </c>
      <c r="S399" s="99" t="str">
        <f t="shared" si="49"/>
        <v/>
      </c>
      <c r="T399" s="100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8">
        <f t="shared" si="47"/>
        <v>0</v>
      </c>
      <c r="P400" s="50"/>
      <c r="Q400" s="50"/>
      <c r="R400" s="99" t="str">
        <f t="shared" si="48"/>
        <v/>
      </c>
      <c r="S400" s="99" t="str">
        <f t="shared" si="49"/>
        <v/>
      </c>
      <c r="T400" s="100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8">
        <f t="shared" si="47"/>
        <v>0</v>
      </c>
      <c r="P401" s="50"/>
      <c r="Q401" s="50"/>
      <c r="R401" s="99" t="str">
        <f t="shared" si="48"/>
        <v/>
      </c>
      <c r="S401" s="99" t="str">
        <f t="shared" si="49"/>
        <v/>
      </c>
      <c r="T401" s="100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8">
        <f t="shared" si="47"/>
        <v>0</v>
      </c>
      <c r="P402" s="50"/>
      <c r="Q402" s="50"/>
      <c r="R402" s="99" t="str">
        <f t="shared" si="48"/>
        <v/>
      </c>
      <c r="S402" s="99" t="str">
        <f t="shared" si="49"/>
        <v/>
      </c>
      <c r="T402" s="100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8">
        <f t="shared" si="47"/>
        <v>0</v>
      </c>
      <c r="P403" s="50"/>
      <c r="Q403" s="50"/>
      <c r="R403" s="99" t="str">
        <f t="shared" si="48"/>
        <v/>
      </c>
      <c r="S403" s="99" t="str">
        <f t="shared" si="49"/>
        <v/>
      </c>
      <c r="T403" s="100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8">
        <f t="shared" si="47"/>
        <v>0</v>
      </c>
      <c r="P404" s="50"/>
      <c r="Q404" s="50"/>
      <c r="R404" s="99" t="str">
        <f t="shared" si="48"/>
        <v/>
      </c>
      <c r="S404" s="99" t="str">
        <f t="shared" si="49"/>
        <v/>
      </c>
      <c r="T404" s="100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8">
        <f t="shared" si="47"/>
        <v>0</v>
      </c>
      <c r="P405" s="50"/>
      <c r="Q405" s="50"/>
      <c r="R405" s="99" t="str">
        <f t="shared" si="48"/>
        <v/>
      </c>
      <c r="S405" s="99" t="str">
        <f t="shared" si="49"/>
        <v/>
      </c>
      <c r="T405" s="100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8">
        <f t="shared" si="47"/>
        <v>0</v>
      </c>
      <c r="P406" s="50"/>
      <c r="Q406" s="50"/>
      <c r="R406" s="99" t="str">
        <f t="shared" si="48"/>
        <v/>
      </c>
      <c r="S406" s="99" t="str">
        <f t="shared" si="49"/>
        <v/>
      </c>
      <c r="T406" s="100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8">
        <f t="shared" si="47"/>
        <v>0</v>
      </c>
      <c r="P407" s="50"/>
      <c r="Q407" s="50"/>
      <c r="R407" s="99" t="str">
        <f t="shared" si="48"/>
        <v/>
      </c>
      <c r="S407" s="99" t="str">
        <f t="shared" si="49"/>
        <v/>
      </c>
      <c r="T407" s="100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8">
        <f t="shared" si="47"/>
        <v>0</v>
      </c>
      <c r="P408" s="50"/>
      <c r="Q408" s="50"/>
      <c r="R408" s="99" t="str">
        <f t="shared" si="48"/>
        <v/>
      </c>
      <c r="S408" s="99" t="str">
        <f t="shared" si="49"/>
        <v/>
      </c>
      <c r="T408" s="100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8">
        <f t="shared" si="47"/>
        <v>0</v>
      </c>
      <c r="P409" s="50"/>
      <c r="Q409" s="50"/>
      <c r="R409" s="99" t="str">
        <f t="shared" si="48"/>
        <v/>
      </c>
      <c r="S409" s="99" t="str">
        <f t="shared" si="49"/>
        <v/>
      </c>
      <c r="T409" s="100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8">
        <f t="shared" si="47"/>
        <v>0</v>
      </c>
      <c r="P410" s="50"/>
      <c r="Q410" s="50"/>
      <c r="R410" s="99" t="str">
        <f t="shared" si="48"/>
        <v/>
      </c>
      <c r="S410" s="99" t="str">
        <f t="shared" si="49"/>
        <v/>
      </c>
      <c r="T410" s="100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8">
        <f t="shared" si="47"/>
        <v>0</v>
      </c>
      <c r="P411" s="50"/>
      <c r="Q411" s="50"/>
      <c r="R411" s="99" t="str">
        <f t="shared" si="48"/>
        <v/>
      </c>
      <c r="S411" s="99" t="str">
        <f t="shared" si="49"/>
        <v/>
      </c>
      <c r="T411" s="100">
        <f t="shared" si="50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8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8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8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8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8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8">
        <v>110</v>
      </c>
      <c r="L10" s="68"/>
    </row>
    <row r="11" spans="1:12" x14ac:dyDescent="0.25">
      <c r="A11" s="7" t="s">
        <v>742</v>
      </c>
      <c r="B11" s="7"/>
      <c r="C11" s="8" t="s">
        <v>743</v>
      </c>
      <c r="D11" s="49"/>
      <c r="E11" s="47"/>
      <c r="F11" s="47">
        <v>1</v>
      </c>
      <c r="G11" s="47"/>
      <c r="H11" s="47"/>
      <c r="I11" s="47"/>
      <c r="J11" s="47">
        <v>1</v>
      </c>
      <c r="K11" s="98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8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8">
        <v>70</v>
      </c>
      <c r="L13" s="68"/>
    </row>
    <row r="14" spans="1:12" x14ac:dyDescent="0.25">
      <c r="A14" s="7" t="s">
        <v>761</v>
      </c>
      <c r="B14" s="7" t="s">
        <v>409</v>
      </c>
      <c r="C14" s="8" t="s">
        <v>762</v>
      </c>
      <c r="D14" s="49"/>
      <c r="E14" s="47"/>
      <c r="F14" s="47"/>
      <c r="G14" s="47"/>
      <c r="H14" s="47"/>
      <c r="I14" s="47"/>
      <c r="J14" s="47">
        <v>1</v>
      </c>
      <c r="K14" s="98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720</v>
      </c>
      <c r="D7" s="5" t="s">
        <v>235</v>
      </c>
      <c r="E7" s="6" t="s">
        <v>721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2024-04-20T02:14:00Z</cp:lastPrinted>
  <dcterms:created xsi:type="dcterms:W3CDTF">2024-01-08T00:50:15Z</dcterms:created>
  <dcterms:modified xsi:type="dcterms:W3CDTF">2024-04-23T00:12:54Z</dcterms:modified>
</cp:coreProperties>
</file>