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6B68D307-2582-48CA-8C8A-31EED637544F}" xr6:coauthVersionLast="47" xr6:coauthVersionMax="47" xr10:uidLastSave="{00000000-0000-0000-0000-000000000000}"/>
  <bookViews>
    <workbookView xWindow="-28920" yWindow="-135" windowWidth="29040" windowHeight="15720" activeTab="5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<sst xmlns="http://schemas.openxmlformats.org/spreadsheetml/2006/main" count="237" uniqueCount="146">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</sst>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opLeftCell="A14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/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/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/>
    </row>
    <row r="11" spans="1:15" ht="18.75" x14ac:dyDescent="0.3">
      <c r="A11" s="158" t="s">
        <v>120</v>
      </c>
      <c r="B11" s="158"/>
      <c r="C11" s="158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0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0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0</v>
      </c>
      <c r="C27" s="64" t="s">
        <v>117</v>
      </c>
      <c r="D27" s="53">
        <f>SUM(D31:D207)</f>
        <v>0</v>
      </c>
      <c r="E27" s="53">
        <f>FCFSummaryPrizePool - FCFSummaryRoundedPrizePool-FCFSummaryAdjustments</f>
        <v>0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/>
      <c r="B31" s="140"/>
      <c r="C31" s="141"/>
      <c r="D31" s="142"/>
      <c r="E31" s="147"/>
      <c r="F31" s="142"/>
      <c r="G31" s="143"/>
      <c r="H31" s="22"/>
      <c r="J31" s="10"/>
      <c r="N31" s="34"/>
    </row>
    <row r="32" spans="1:14" ht="15.75" thickBot="1" x14ac:dyDescent="0.3">
      <c r="A32" s="139"/>
      <c r="B32" s="140"/>
      <c r="C32" s="141"/>
      <c r="D32" s="142"/>
      <c r="E32" s="147"/>
      <c r="F32" s="142"/>
      <c r="G32" s="143"/>
      <c r="H32" s="22"/>
      <c r="J32" s="10"/>
    </row>
    <row r="33" spans="1:10" ht="15.75" thickBot="1" x14ac:dyDescent="0.3">
      <c r="A33" s="139"/>
      <c r="B33" s="144"/>
      <c r="C33" s="141"/>
      <c r="D33" s="142"/>
      <c r="E33" s="147"/>
      <c r="F33" s="142"/>
      <c r="G33" s="143"/>
      <c r="H33" s="22"/>
      <c r="J33" s="13"/>
    </row>
    <row r="34" spans="1:10" ht="15.75" thickBot="1" x14ac:dyDescent="0.3">
      <c r="A34" s="139"/>
      <c r="B34" s="144"/>
      <c r="C34" s="141"/>
      <c r="D34" s="142"/>
      <c r="E34" s="147"/>
      <c r="F34" s="142"/>
      <c r="G34" s="143"/>
      <c r="H34" s="22"/>
      <c r="J34" s="13"/>
    </row>
    <row r="35" spans="1:10" ht="15.75" thickBot="1" x14ac:dyDescent="0.3">
      <c r="A35" s="139"/>
      <c r="B35" s="140"/>
      <c r="C35" s="141"/>
      <c r="D35" s="142"/>
      <c r="E35" s="147"/>
      <c r="F35" s="142"/>
      <c r="G35" s="143"/>
      <c r="H35" s="22"/>
      <c r="J35" s="10"/>
    </row>
    <row r="36" spans="1:10" ht="15.75" thickBot="1" x14ac:dyDescent="0.3">
      <c r="A36" s="139"/>
      <c r="B36" s="140"/>
      <c r="C36" s="141"/>
      <c r="D36" s="142"/>
      <c r="E36" s="147"/>
      <c r="F36" s="142"/>
      <c r="G36" s="143"/>
      <c r="H36" s="22"/>
      <c r="J36" s="10"/>
    </row>
    <row r="37" spans="1:10" ht="15.75" thickBot="1" x14ac:dyDescent="0.3">
      <c r="A37" s="139"/>
      <c r="B37" s="140"/>
      <c r="C37" s="141"/>
      <c r="D37" s="142"/>
      <c r="E37" s="147"/>
      <c r="F37" s="142"/>
      <c r="G37" s="143"/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D6" sqref="D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0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0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/>
      <c r="D11" s="80"/>
      <c r="E11" s="85"/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B4" sqref="B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/>
      </c>
      <c r="B4" s="93" t="str">
        <f>IF(C4&lt;&gt;"","-","")</f>
        <v/>
      </c>
      <c r="C4" s="97" t="str">
        <f>IF(ConsySummary!F31&gt;0,ConsySummary!F31,"")</f>
        <v/>
      </c>
      <c r="E4" s="96"/>
    </row>
    <row r="5" spans="1:5" x14ac:dyDescent="0.45">
      <c r="A5" s="93" t="str">
        <f>IF(C5&lt;&gt;"","2","")</f>
        <v/>
      </c>
      <c r="B5" s="93" t="str">
        <f t="shared" ref="B5:B32" si="0">IF(C5&lt;&gt;"","-","")</f>
        <v/>
      </c>
      <c r="C5" s="97" t="str">
        <f>IF(ConsySummary!F32&gt;0,ConsySummary!F32,"")</f>
        <v/>
      </c>
      <c r="E5" s="96"/>
    </row>
    <row r="6" spans="1:5" x14ac:dyDescent="0.45">
      <c r="A6" s="93" t="str">
        <f>IF(C6&lt;&gt;"","3-4","")</f>
        <v/>
      </c>
      <c r="B6" s="93" t="str">
        <f t="shared" si="0"/>
        <v/>
      </c>
      <c r="C6" s="97" t="str">
        <f>IF(ConsySummary!F33&gt;0,ConsySummary!F33,"")</f>
        <v/>
      </c>
      <c r="E6" s="96"/>
    </row>
    <row r="7" spans="1:5" x14ac:dyDescent="0.45">
      <c r="A7" s="93" t="str">
        <f>IF(C7&lt;&gt;"","3-4","")</f>
        <v/>
      </c>
      <c r="B7" s="93" t="str">
        <f t="shared" si="0"/>
        <v/>
      </c>
      <c r="C7" s="97" t="str">
        <f>IF(ConsySummary!F34&gt;0,ConsySummary!F34,"")</f>
        <v/>
      </c>
      <c r="E7" s="96"/>
    </row>
    <row r="8" spans="1:5" x14ac:dyDescent="0.45">
      <c r="A8" s="93" t="str">
        <f>IF(C8&lt;&gt;"","5-8","")</f>
        <v/>
      </c>
      <c r="B8" s="93" t="str">
        <f t="shared" si="0"/>
        <v/>
      </c>
      <c r="C8" s="97" t="str">
        <f>IF(ConsySummary!F35&gt;0,ConsySummary!F35,"")</f>
        <v/>
      </c>
      <c r="E8" s="96"/>
    </row>
    <row r="9" spans="1:5" x14ac:dyDescent="0.45">
      <c r="A9" s="93" t="str">
        <f t="shared" ref="A9:A11" si="1">IF(C9&lt;&gt;"","5-8","")</f>
        <v/>
      </c>
      <c r="B9" s="93" t="str">
        <f t="shared" si="0"/>
        <v/>
      </c>
      <c r="C9" s="97" t="str">
        <f>IF(ConsySummary!F36&gt;0,ConsySummary!F36,"")</f>
        <v/>
      </c>
      <c r="E9" s="96"/>
    </row>
    <row r="10" spans="1:5" x14ac:dyDescent="0.45">
      <c r="A10" s="93" t="str">
        <f t="shared" si="1"/>
        <v/>
      </c>
      <c r="B10" s="93" t="str">
        <f t="shared" si="0"/>
        <v/>
      </c>
      <c r="C10" s="97" t="str">
        <f>IF(ConsySummary!F37&gt;0,ConsySummary!F37,"")</f>
        <v/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tabSelected="1"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2026-04-16T23:22:22Z</dcterms:modified>
</cp:coreProperties>
</file>