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A3AADC17-055E-490A-91FA-81C92C34FCD9}" xr6:coauthVersionLast="47" xr6:coauthVersionMax="47" xr10:uidLastSave="{00000000-0000-0000-0000-000000000000}"/>
  <bookViews>
    <workbookView xWindow="-28920" yWindow="-135" windowWidth="29040" windowHeight="15720" tabRatio="706" activeTab="7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26" i="1" a="1"/>
  <c r="S17" i="1" a="1"/>
  <c r="S49" i="1" a="1"/>
  <c r="S35" i="1" a="1"/>
  <c r="S68" i="1" a="1"/>
  <c r="S29" i="1" a="1"/>
  <c r="S20" i="1" a="1"/>
  <c r="S60" i="1" a="1"/>
  <c r="S59" i="1" a="1"/>
  <c r="S34" i="1" a="1"/>
  <c r="S47" i="1" a="1"/>
  <c r="S54" i="1" a="1"/>
  <c r="S23" i="1" a="1"/>
  <c r="S48" i="1" a="1"/>
  <c r="S13" i="1" a="1"/>
  <c r="S55" i="1" a="1"/>
  <c r="S24" i="1" a="1"/>
  <c r="S39" i="1" a="1"/>
  <c r="S45" i="1" a="1"/>
  <c r="S41" i="1" a="1"/>
  <c r="S53" i="1" a="1"/>
  <c r="S33" i="1" a="1"/>
  <c r="S69" i="1" a="1"/>
  <c r="S31" i="1" a="1"/>
  <c r="S66" i="1" a="1"/>
  <c r="S40" i="1" a="1"/>
  <c r="S28" i="1" a="1"/>
  <c r="S32" i="1" a="1"/>
  <c r="S22" i="1" a="1"/>
  <c r="S61" i="1" a="1"/>
  <c r="S12" i="1" a="1"/>
  <c r="S25" i="1" a="1"/>
  <c r="S19" i="1" a="1"/>
  <c r="S65" i="1" a="1"/>
  <c r="S37" i="1" a="1"/>
  <c r="S30" i="1" a="1"/>
  <c r="S16" i="1" a="1"/>
  <c r="S42" i="1" a="1"/>
  <c r="S14" i="1" a="1"/>
  <c r="S62" i="1" a="1"/>
  <c r="S52" i="1" a="1"/>
  <c r="S46" i="1" a="1"/>
  <c r="S63" i="1" a="1"/>
  <c r="S58" i="1" a="1"/>
  <c r="S64" i="1" a="1"/>
  <c r="S67" i="1" a="1"/>
  <c r="S51" i="1" a="1"/>
  <c r="S57" i="1" a="1"/>
  <c r="S71" i="1" a="1"/>
  <c r="S44" i="1" a="1"/>
  <c r="S50" i="1" a="1"/>
  <c r="S70" i="1" a="1"/>
  <c r="S43" i="1" a="1"/>
  <c r="S36" i="1" a="1"/>
  <c r="S56" i="1" a="1"/>
  <c r="S21" i="1" a="1"/>
  <c r="S18" i="1" a="1"/>
  <c r="S38" i="1" a="1"/>
  <c r="S15" i="1" a="1"/>
  <c r="S27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N66" i="1" s="1"/>
  <c r="S70" i="1"/>
  <c r="N70" i="1" s="1"/>
  <c r="S71" i="1"/>
  <c r="N71" i="1" s="1"/>
  <c r="S67" i="1"/>
  <c r="N67" i="1" s="1"/>
  <c r="S65" i="1"/>
  <c r="S68" i="1"/>
  <c r="N68" i="1" s="1"/>
  <c r="S69" i="1"/>
  <c r="N69" i="1" s="1"/>
  <c r="A7" i="10"/>
  <c r="R10" i="1" l="1"/>
  <c r="Q10" i="1"/>
  <c r="S10" i="1"/>
  <c r="N65" i="1"/>
  <c r="N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<sst xmlns="http://schemas.openxmlformats.org/spreadsheetml/2006/main" count="172" uniqueCount="91">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</sst>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/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/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/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1060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/>
      <c r="C12" s="105"/>
      <c r="D12" s="145"/>
      <c r="E12" s="145"/>
      <c r="F12" s="111"/>
      <c r="G12" s="94"/>
      <c r="H12" s="105"/>
      <c r="I12" s="105"/>
      <c r="J12" s="105"/>
      <c r="K12" s="105"/>
      <c r="L12" s="166"/>
      <c r="M12" s="67"/>
      <c r="N12" s="108">
        <v>0</v>
      </c>
      <c r="O12" s="54"/>
      <c r="P12" s="7"/>
      <c r="Q12" s="144" t="str">
        <f t="shared" ref="Q12:Q43" si="1">IF(OR(O12="c",O12="C"),+S12,"")</f>
        <v/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4"/>
      <c r="G13" s="94"/>
      <c r="H13" s="105"/>
      <c r="I13" s="105"/>
      <c r="J13" s="105"/>
      <c r="K13" s="105"/>
      <c r="L13" s="166"/>
      <c r="M13" s="67"/>
      <c r="N13" s="108">
        <v>160</v>
      </c>
      <c r="O13" s="54"/>
      <c r="P13" s="7"/>
      <c r="Q13" s="144" t="str">
        <f t="shared" si="1"/>
        <v/>
      </c>
      <c r="R13" s="115" t="str">
        <f t="shared" si="2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>
        <v>0</v>
      </c>
      <c r="O14" s="54"/>
      <c r="P14" s="7"/>
      <c r="Q14" s="144" t="str">
        <f t="shared" si="1"/>
        <v/>
      </c>
      <c r="R14" s="115" t="str">
        <f t="shared" si="2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1"/>
      <c r="G15" s="94"/>
      <c r="H15" s="105"/>
      <c r="I15" s="105"/>
      <c r="J15" s="105"/>
      <c r="K15" s="105"/>
      <c r="L15" s="166"/>
      <c r="M15" s="167"/>
      <c r="N15" s="108">
        <v>0</v>
      </c>
      <c r="O15" s="54"/>
      <c r="P15" s="7"/>
      <c r="Q15" s="144" t="str">
        <f t="shared" si="1"/>
        <v/>
      </c>
      <c r="R15" s="115" t="str">
        <f t="shared" si="2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1"/>
      <c r="G16" s="94"/>
      <c r="H16" s="105"/>
      <c r="I16" s="105"/>
      <c r="J16" s="105"/>
      <c r="K16" s="105"/>
      <c r="L16" s="143"/>
      <c r="M16" s="67"/>
      <c r="N16" s="108">
        <v>70</v>
      </c>
      <c r="O16" s="54"/>
      <c r="P16" s="7"/>
      <c r="Q16" s="144" t="str">
        <f t="shared" si="1"/>
        <v/>
      </c>
      <c r="R16" s="115" t="str">
        <f t="shared" si="2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43"/>
      <c r="M17" s="108"/>
      <c r="N17" s="108">
        <v>0</v>
      </c>
      <c r="O17" s="54"/>
      <c r="P17" s="7"/>
      <c r="Q17" s="144" t="str">
        <f t="shared" si="1"/>
        <v/>
      </c>
      <c r="R17" s="115" t="str">
        <f t="shared" si="2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4"/>
      <c r="G18" s="106"/>
      <c r="H18" s="106"/>
      <c r="I18" s="106"/>
      <c r="J18" s="106"/>
      <c r="K18" s="106"/>
      <c r="L18" s="166"/>
      <c r="M18" s="108"/>
      <c r="N18" s="108">
        <v>0</v>
      </c>
      <c r="O18" s="54"/>
      <c r="P18" s="7"/>
      <c r="Q18" s="144" t="str">
        <f t="shared" si="1"/>
        <v/>
      </c>
      <c r="R18" s="115" t="str">
        <f t="shared" si="2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94"/>
      <c r="H19" s="105"/>
      <c r="I19" s="105"/>
      <c r="J19" s="105"/>
      <c r="K19" s="105"/>
      <c r="L19" s="143"/>
      <c r="M19" s="67"/>
      <c r="N19" s="108">
        <v>100</v>
      </c>
      <c r="O19" s="54"/>
      <c r="P19" s="7"/>
      <c r="Q19" s="144" t="str">
        <f t="shared" si="1"/>
        <v/>
      </c>
      <c r="R19" s="115" t="str">
        <f t="shared" si="2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94"/>
      <c r="H20" s="105"/>
      <c r="I20" s="105"/>
      <c r="J20" s="105"/>
      <c r="K20" s="105"/>
      <c r="L20" s="143"/>
      <c r="M20" s="67"/>
      <c r="N20" s="108">
        <v>0</v>
      </c>
      <c r="O20" s="54"/>
      <c r="P20" s="7"/>
      <c r="Q20" s="144" t="str">
        <f t="shared" si="1"/>
        <v/>
      </c>
      <c r="R20" s="115" t="str">
        <f t="shared" si="2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/>
      <c r="C21" s="105"/>
      <c r="D21" s="145"/>
      <c r="E21" s="145"/>
      <c r="F21" s="111"/>
      <c r="G21" s="94"/>
      <c r="H21" s="105"/>
      <c r="I21" s="105"/>
      <c r="J21" s="105"/>
      <c r="K21" s="105"/>
      <c r="L21" s="143"/>
      <c r="M21" s="67"/>
      <c r="N21" s="108">
        <v>0</v>
      </c>
      <c r="O21" s="54"/>
      <c r="P21" s="7"/>
      <c r="Q21" s="144" t="str">
        <f t="shared" si="1"/>
        <v/>
      </c>
      <c r="R21" s="115" t="str">
        <f t="shared" si="2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94"/>
      <c r="H22" s="105"/>
      <c r="I22" s="105"/>
      <c r="J22" s="105"/>
      <c r="K22" s="105"/>
      <c r="L22" s="143"/>
      <c r="M22" s="67"/>
      <c r="N22" s="108">
        <v>0</v>
      </c>
      <c r="O22" s="54"/>
      <c r="P22" s="7"/>
      <c r="Q22" s="144" t="str">
        <f t="shared" si="1"/>
        <v/>
      </c>
      <c r="R22" s="115" t="str">
        <f t="shared" si="2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1"/>
      <c r="G23" s="94"/>
      <c r="H23" s="105"/>
      <c r="I23" s="105"/>
      <c r="J23" s="105"/>
      <c r="K23" s="105"/>
      <c r="L23" s="143"/>
      <c r="M23" s="67"/>
      <c r="N23" s="108">
        <v>0</v>
      </c>
      <c r="O23" s="54"/>
      <c r="P23" s="7"/>
      <c r="Q23" s="144" t="str">
        <f t="shared" si="1"/>
        <v/>
      </c>
      <c r="R23" s="115" t="str">
        <f t="shared" si="2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94"/>
      <c r="H24" s="105"/>
      <c r="I24" s="105"/>
      <c r="J24" s="105"/>
      <c r="K24" s="105"/>
      <c r="L24" s="143"/>
      <c r="M24" s="67"/>
      <c r="N24" s="108">
        <v>0</v>
      </c>
      <c r="O24" s="54"/>
      <c r="P24" s="7"/>
      <c r="Q24" s="144" t="str">
        <f t="shared" si="1"/>
        <v/>
      </c>
      <c r="R24" s="115" t="str">
        <f t="shared" si="2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/>
      <c r="C25" s="105"/>
      <c r="D25" s="145"/>
      <c r="E25" s="145"/>
      <c r="F25" s="114"/>
      <c r="G25" s="106"/>
      <c r="H25" s="106"/>
      <c r="I25" s="106"/>
      <c r="J25" s="106"/>
      <c r="K25" s="106"/>
      <c r="L25" s="143"/>
      <c r="M25" s="108"/>
      <c r="N25" s="108">
        <v>0</v>
      </c>
      <c r="O25" s="54"/>
      <c r="P25" s="7"/>
      <c r="Q25" s="144" t="str">
        <f t="shared" si="1"/>
        <v/>
      </c>
      <c r="R25" s="115" t="str">
        <f t="shared" si="2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1"/>
      <c r="G26" s="94"/>
      <c r="H26" s="105"/>
      <c r="I26" s="105"/>
      <c r="J26" s="105"/>
      <c r="K26" s="105"/>
      <c r="L26" s="143"/>
      <c r="M26" s="67"/>
      <c r="N26" s="108">
        <v>70</v>
      </c>
      <c r="O26" s="54"/>
      <c r="P26" s="7"/>
      <c r="Q26" s="144" t="str">
        <f t="shared" si="1"/>
        <v/>
      </c>
      <c r="R26" s="115" t="str">
        <f t="shared" si="2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/>
      <c r="C27" s="105"/>
      <c r="D27" s="145"/>
      <c r="E27" s="145"/>
      <c r="F27" s="111"/>
      <c r="G27" s="105"/>
      <c r="H27" s="105"/>
      <c r="I27" s="105"/>
      <c r="J27" s="105"/>
      <c r="K27" s="105"/>
      <c r="L27" s="143"/>
      <c r="M27" s="67"/>
      <c r="N27" s="108">
        <v>0</v>
      </c>
      <c r="O27" s="54"/>
      <c r="P27" s="7"/>
      <c r="Q27" s="144" t="str">
        <f t="shared" si="1"/>
        <v/>
      </c>
      <c r="R27" s="115" t="str">
        <f t="shared" si="2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106"/>
      <c r="H28" s="106"/>
      <c r="I28" s="106"/>
      <c r="J28" s="106"/>
      <c r="K28" s="106"/>
      <c r="L28" s="143"/>
      <c r="M28" s="108"/>
      <c r="N28" s="108">
        <v>0</v>
      </c>
      <c r="O28" s="54"/>
      <c r="P28" s="7"/>
      <c r="Q28" s="144" t="str">
        <f t="shared" si="1"/>
        <v/>
      </c>
      <c r="R28" s="115" t="str">
        <f t="shared" si="2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4"/>
      <c r="G29" s="106"/>
      <c r="H29" s="106"/>
      <c r="I29" s="106"/>
      <c r="J29" s="106"/>
      <c r="K29" s="106"/>
      <c r="L29" s="143"/>
      <c r="M29" s="108"/>
      <c r="N29" s="108">
        <v>0</v>
      </c>
      <c r="O29" s="54"/>
      <c r="P29" s="7"/>
      <c r="Q29" s="144" t="str">
        <f t="shared" si="1"/>
        <v/>
      </c>
      <c r="R29" s="115" t="str">
        <f t="shared" si="2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4"/>
      <c r="G30" s="106"/>
      <c r="H30" s="106"/>
      <c r="I30" s="106"/>
      <c r="J30" s="106"/>
      <c r="K30" s="106"/>
      <c r="L30" s="143"/>
      <c r="M30" s="108"/>
      <c r="N30" s="108">
        <v>0</v>
      </c>
      <c r="O30" s="54"/>
      <c r="P30" s="7"/>
      <c r="Q30" s="144" t="str">
        <f t="shared" si="1"/>
        <v/>
      </c>
      <c r="R30" s="115" t="str">
        <f t="shared" si="2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14"/>
      <c r="G31" s="106"/>
      <c r="H31" s="106"/>
      <c r="I31" s="106"/>
      <c r="J31" s="106"/>
      <c r="K31" s="106"/>
      <c r="L31" s="166"/>
      <c r="M31" s="108"/>
      <c r="N31" s="108">
        <v>0</v>
      </c>
      <c r="O31" s="54"/>
      <c r="P31" s="7"/>
      <c r="Q31" s="144" t="str">
        <f t="shared" si="1"/>
        <v/>
      </c>
      <c r="R31" s="115" t="str">
        <f t="shared" si="2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/>
      <c r="C32" s="105"/>
      <c r="D32" s="145"/>
      <c r="E32" s="145"/>
      <c r="F32" s="111"/>
      <c r="G32" s="94"/>
      <c r="H32" s="105"/>
      <c r="I32" s="105"/>
      <c r="J32" s="105"/>
      <c r="K32" s="105"/>
      <c r="L32" s="143"/>
      <c r="M32" s="67"/>
      <c r="N32" s="108">
        <v>0</v>
      </c>
      <c r="O32" s="54"/>
      <c r="P32" s="7"/>
      <c r="Q32" s="144" t="str">
        <f t="shared" si="1"/>
        <v/>
      </c>
      <c r="R32" s="115" t="str">
        <f t="shared" si="2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>
        <v>0</v>
      </c>
      <c r="O33" s="54"/>
      <c r="P33" s="7"/>
      <c r="Q33" s="144" t="str">
        <f t="shared" si="1"/>
        <v/>
      </c>
      <c r="R33" s="115" t="str">
        <f t="shared" si="2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4"/>
      <c r="G34" s="106"/>
      <c r="H34" s="106"/>
      <c r="I34" s="106"/>
      <c r="J34" s="106"/>
      <c r="K34" s="106"/>
      <c r="L34" s="143"/>
      <c r="M34" s="108"/>
      <c r="N34" s="108">
        <v>0</v>
      </c>
      <c r="O34" s="54"/>
      <c r="P34" s="7"/>
      <c r="Q34" s="144" t="str">
        <f t="shared" si="1"/>
        <v/>
      </c>
      <c r="R34" s="115" t="str">
        <f t="shared" si="2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/>
      <c r="C35" s="105"/>
      <c r="D35" s="145"/>
      <c r="E35" s="145"/>
      <c r="F35" s="111"/>
      <c r="G35" s="106"/>
      <c r="H35" s="106"/>
      <c r="I35" s="106"/>
      <c r="J35" s="106"/>
      <c r="K35" s="106"/>
      <c r="L35" s="143"/>
      <c r="M35" s="108"/>
      <c r="N35" s="108">
        <v>0</v>
      </c>
      <c r="O35" s="54"/>
      <c r="P35" s="7"/>
      <c r="Q35" s="144" t="str">
        <f t="shared" si="1"/>
        <v/>
      </c>
      <c r="R35" s="115" t="str">
        <f t="shared" si="2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43"/>
      <c r="M36" s="108"/>
      <c r="N36" s="108">
        <v>0</v>
      </c>
      <c r="O36" s="54"/>
      <c r="P36" s="7"/>
      <c r="Q36" s="144" t="str">
        <f t="shared" si="1"/>
        <v/>
      </c>
      <c r="R36" s="115" t="str">
        <f t="shared" si="2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/>
      <c r="C37" s="105"/>
      <c r="D37" s="145"/>
      <c r="E37" s="145"/>
      <c r="F37" s="114"/>
      <c r="G37" s="106"/>
      <c r="H37" s="106"/>
      <c r="I37" s="106"/>
      <c r="J37" s="106"/>
      <c r="K37" s="106"/>
      <c r="L37" s="143"/>
      <c r="M37" s="108"/>
      <c r="N37" s="108">
        <v>0</v>
      </c>
      <c r="O37" s="54"/>
      <c r="P37" s="7"/>
      <c r="Q37" s="144" t="str">
        <f t="shared" si="1"/>
        <v/>
      </c>
      <c r="R37" s="115" t="str">
        <f t="shared" si="2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1"/>
      <c r="G38" s="94"/>
      <c r="H38" s="105"/>
      <c r="I38" s="105"/>
      <c r="J38" s="105"/>
      <c r="K38" s="105"/>
      <c r="L38" s="143"/>
      <c r="M38" s="67"/>
      <c r="N38" s="108">
        <v>100</v>
      </c>
      <c r="O38" s="54"/>
      <c r="P38" s="7"/>
      <c r="Q38" s="144" t="str">
        <f t="shared" si="1"/>
        <v/>
      </c>
      <c r="R38" s="115" t="str">
        <f t="shared" si="2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/>
      <c r="C39" s="105"/>
      <c r="D39" s="145"/>
      <c r="E39" s="145"/>
      <c r="F39" s="114"/>
      <c r="G39" s="94"/>
      <c r="H39" s="105"/>
      <c r="I39" s="105"/>
      <c r="J39" s="105"/>
      <c r="K39" s="105"/>
      <c r="L39" s="143"/>
      <c r="M39" s="67"/>
      <c r="N39" s="108">
        <v>0</v>
      </c>
      <c r="O39" s="54"/>
      <c r="P39" s="7"/>
      <c r="Q39" s="144" t="str">
        <f t="shared" si="1"/>
        <v/>
      </c>
      <c r="R39" s="115" t="str">
        <f t="shared" si="2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1"/>
      <c r="G40" s="106"/>
      <c r="H40" s="106"/>
      <c r="I40" s="106"/>
      <c r="J40" s="106"/>
      <c r="K40" s="106"/>
      <c r="L40" s="143"/>
      <c r="M40" s="108"/>
      <c r="N40" s="108">
        <v>160</v>
      </c>
      <c r="O40" s="54"/>
      <c r="P40" s="7"/>
      <c r="Q40" s="144" t="str">
        <f t="shared" si="1"/>
        <v/>
      </c>
      <c r="R40" s="115" t="str">
        <f t="shared" si="2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04"/>
      <c r="G41" s="106"/>
      <c r="H41" s="106"/>
      <c r="I41" s="106"/>
      <c r="J41" s="106"/>
      <c r="K41" s="106"/>
      <c r="L41" s="166"/>
      <c r="M41" s="108"/>
      <c r="N41" s="108">
        <v>0</v>
      </c>
      <c r="O41" s="54"/>
      <c r="P41" s="7"/>
      <c r="Q41" s="144" t="str">
        <f t="shared" si="1"/>
        <v/>
      </c>
      <c r="R41" s="115" t="str">
        <f t="shared" si="2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/>
      <c r="C42" s="105"/>
      <c r="D42" s="145"/>
      <c r="E42" s="145"/>
      <c r="F42" s="114"/>
      <c r="G42" s="106"/>
      <c r="H42" s="106"/>
      <c r="I42" s="106"/>
      <c r="J42" s="106"/>
      <c r="K42" s="106"/>
      <c r="L42" s="143"/>
      <c r="M42" s="108"/>
      <c r="N42" s="108">
        <v>0</v>
      </c>
      <c r="O42" s="54"/>
      <c r="P42" s="7"/>
      <c r="Q42" s="144" t="str">
        <f t="shared" si="1"/>
        <v/>
      </c>
      <c r="R42" s="115" t="str">
        <f t="shared" si="2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>
        <v>0</v>
      </c>
      <c r="O43" s="54"/>
      <c r="P43" s="7"/>
      <c r="Q43" s="144" t="str">
        <f t="shared" si="1"/>
        <v/>
      </c>
      <c r="R43" s="115" t="str">
        <f t="shared" si="2"/>
        <v/>
      </c>
      <c r="S43" s="54" cm="1">
        <f t="array" ref="S43">B43*MainEntryFee()+G43*MPool1Fee()+H43*MPool2Fee()+I43*MPool3Fee()+J43*MPool4Fee()</f>
        <v>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1"/>
      <c r="G44" s="105"/>
      <c r="H44" s="105"/>
      <c r="I44" s="105"/>
      <c r="J44" s="105"/>
      <c r="K44" s="105"/>
      <c r="L44" s="143"/>
      <c r="M44" s="67"/>
      <c r="N44" s="108">
        <v>0</v>
      </c>
      <c r="O44" s="54"/>
      <c r="P44" s="7"/>
      <c r="Q44" s="144" t="str">
        <f t="shared" ref="Q44:Q75" si="3">IF(OR(O44="c",O44="C"),+S44,"")</f>
        <v/>
      </c>
      <c r="R44" s="115" t="str">
        <f t="shared" ref="R44:R71" si="4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4"/>
      <c r="G45" s="106"/>
      <c r="H45" s="106"/>
      <c r="I45" s="106"/>
      <c r="J45" s="106"/>
      <c r="K45" s="106"/>
      <c r="L45" s="166"/>
      <c r="M45" s="108"/>
      <c r="N45" s="108">
        <v>80</v>
      </c>
      <c r="O45" s="54"/>
      <c r="P45" s="7"/>
      <c r="Q45" s="144" t="str">
        <f t="shared" si="3"/>
        <v/>
      </c>
      <c r="R45" s="115" t="str">
        <f t="shared" si="4"/>
        <v/>
      </c>
      <c r="S45" s="54" cm="1">
        <f t="array" ref="S45">B45*MainEntryFee()+G45*MPool1Fee()+H45*MPool2Fee()+I45*MPool3Fee()+J45*MPool4Fee()</f>
        <v>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1"/>
      <c r="G46" s="94"/>
      <c r="H46" s="105"/>
      <c r="I46" s="105"/>
      <c r="J46" s="105"/>
      <c r="K46" s="105"/>
      <c r="L46" s="143"/>
      <c r="M46" s="67"/>
      <c r="N46" s="108">
        <v>100</v>
      </c>
      <c r="O46" s="54"/>
      <c r="P46" s="7"/>
      <c r="Q46" s="144" t="str">
        <f t="shared" si="3"/>
        <v/>
      </c>
      <c r="R46" s="115" t="str">
        <f t="shared" si="4"/>
        <v/>
      </c>
      <c r="S46" s="54" cm="1">
        <f t="array" ref="S46">B46*MainEntryFee()+G46*MPool1Fee()+H46*MPool2Fee()+I46*MPool3Fee()+J46*MPool4Fee()</f>
        <v>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/>
      <c r="C47" s="105"/>
      <c r="D47" s="145"/>
      <c r="E47" s="145"/>
      <c r="F47" s="114"/>
      <c r="G47" s="94"/>
      <c r="H47" s="105"/>
      <c r="I47" s="105"/>
      <c r="J47" s="105"/>
      <c r="K47" s="105"/>
      <c r="L47" s="143"/>
      <c r="M47" s="67"/>
      <c r="N47" s="108">
        <v>0</v>
      </c>
      <c r="O47" s="54"/>
      <c r="P47" s="7"/>
      <c r="Q47" s="144" t="str">
        <f t="shared" si="3"/>
        <v/>
      </c>
      <c r="R47" s="115" t="str">
        <f t="shared" si="4"/>
        <v/>
      </c>
      <c r="S47" s="54" cm="1">
        <f t="array" ref="S47">B47*MainEntryFee()+G47*MPool1Fee()+H47*MPool2Fee()+I47*MPool3Fee()+J47*MPool4Fee()</f>
        <v>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/>
      <c r="C48" s="105"/>
      <c r="D48" s="145"/>
      <c r="E48" s="145"/>
      <c r="F48" s="111"/>
      <c r="G48" s="94"/>
      <c r="H48" s="105"/>
      <c r="I48" s="105"/>
      <c r="J48" s="105"/>
      <c r="K48" s="105"/>
      <c r="L48" s="143"/>
      <c r="M48" s="67"/>
      <c r="N48" s="108">
        <v>0</v>
      </c>
      <c r="O48" s="54"/>
      <c r="P48" s="7"/>
      <c r="Q48" s="144" t="str">
        <f t="shared" si="3"/>
        <v/>
      </c>
      <c r="R48" s="115" t="str">
        <f t="shared" si="4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43"/>
      <c r="M49" s="108"/>
      <c r="N49" s="108">
        <v>0</v>
      </c>
      <c r="O49" s="54"/>
      <c r="P49" s="7"/>
      <c r="Q49" s="144" t="str">
        <f t="shared" si="3"/>
        <v/>
      </c>
      <c r="R49" s="115" t="str">
        <f t="shared" si="4"/>
        <v/>
      </c>
      <c r="S49" s="54" cm="1">
        <f t="array" ref="S49">B49*MainEntryFee()+G49*MPool1Fee()+H49*MPool2Fee()+I49*MPool3Fee()+J49*MPool4Fee()</f>
        <v>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4"/>
      <c r="G50" s="106"/>
      <c r="H50" s="106"/>
      <c r="I50" s="106"/>
      <c r="J50" s="106"/>
      <c r="K50" s="106"/>
      <c r="L50" s="143"/>
      <c r="M50" s="108"/>
      <c r="N50" s="108">
        <v>110</v>
      </c>
      <c r="O50" s="54"/>
      <c r="P50" s="7"/>
      <c r="Q50" s="144" t="str">
        <f t="shared" si="3"/>
        <v/>
      </c>
      <c r="R50" s="115" t="str">
        <f t="shared" si="4"/>
        <v/>
      </c>
      <c r="S50" s="54" cm="1">
        <f t="array" ref="S50">B50*MainEntryFee()+G50*MPool1Fee()+H50*MPool2Fee()+I50*MPool3Fee()+J50*MPool4Fee()</f>
        <v>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>
        <v>0</v>
      </c>
      <c r="O51" s="54"/>
      <c r="P51" s="7"/>
      <c r="Q51" s="144" t="str">
        <f t="shared" si="3"/>
        <v/>
      </c>
      <c r="R51" s="115" t="str">
        <f t="shared" si="4"/>
        <v/>
      </c>
      <c r="S51" s="54" cm="1">
        <f t="array" ref="S51">B51*MainEntryFee()+G51*MPool1Fee()+H51*MPool2Fee()+I51*MPool3Fee()+J51*MPool4Fee()</f>
        <v>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66"/>
      <c r="M52" s="67"/>
      <c r="N52" s="108">
        <v>0</v>
      </c>
      <c r="O52" s="54"/>
      <c r="P52" s="7"/>
      <c r="Q52" s="144" t="str">
        <f t="shared" si="3"/>
        <v/>
      </c>
      <c r="R52" s="115" t="str">
        <f t="shared" si="4"/>
        <v/>
      </c>
      <c r="S52" s="54" cm="1">
        <f t="array" ref="S52">B52*MainEntryFee()+G52*MPool1Fee()+H52*MPool2Fee()+I52*MPool3Fee()+J52*MPool4Fee()</f>
        <v>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4"/>
      <c r="G53" s="106"/>
      <c r="H53" s="106"/>
      <c r="I53" s="106"/>
      <c r="J53" s="106"/>
      <c r="K53" s="106"/>
      <c r="L53" s="166"/>
      <c r="M53" s="108"/>
      <c r="N53" s="108">
        <v>0</v>
      </c>
      <c r="O53" s="54"/>
      <c r="P53" s="7"/>
      <c r="Q53" s="144" t="str">
        <f t="shared" si="3"/>
        <v/>
      </c>
      <c r="R53" s="115" t="str">
        <f t="shared" si="4"/>
        <v/>
      </c>
      <c r="S53" s="54" cm="1">
        <f t="array" ref="S53">B53*MainEntryFee()+G53*MPool1Fee()+H53*MPool2Fee()+I53*MPool3Fee()+J53*MPool4Fee()</f>
        <v>0</v>
      </c>
      <c r="T53" s="144">
        <v>1</v>
      </c>
      <c r="W53" s="1"/>
      <c r="X53" s="1"/>
      <c r="Y53" s="1"/>
      <c r="Z53" s="126"/>
      <c r="AA53" s="83"/>
      <c r="AC53" s="21"/>
    </row>
    <row r="54" spans="1:29" x14ac:dyDescent="0.25">
      <c r="A54" s="7"/>
      <c r="B54" s="94"/>
      <c r="C54" s="94"/>
      <c r="D54" s="146"/>
      <c r="E54" s="146"/>
      <c r="F54" s="114"/>
      <c r="G54" s="106"/>
      <c r="H54" s="106"/>
      <c r="I54" s="106"/>
      <c r="J54" s="106"/>
      <c r="K54" s="106"/>
      <c r="L54" s="166"/>
      <c r="M54" s="108"/>
      <c r="N54" s="108">
        <v>0</v>
      </c>
      <c r="O54" s="54"/>
      <c r="P54" s="7"/>
      <c r="Q54" s="144" t="str">
        <f t="shared" si="3"/>
        <v/>
      </c>
      <c r="R54" s="115" t="str">
        <f t="shared" si="4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/>
      <c r="C55" s="105"/>
      <c r="D55" s="145"/>
      <c r="E55" s="145"/>
      <c r="F55" s="114"/>
      <c r="G55" s="106"/>
      <c r="H55" s="106"/>
      <c r="I55" s="106"/>
      <c r="J55" s="106"/>
      <c r="K55" s="106"/>
      <c r="L55" s="166"/>
      <c r="M55" s="108"/>
      <c r="N55" s="108">
        <v>0</v>
      </c>
      <c r="O55" s="54"/>
      <c r="P55" s="7"/>
      <c r="Q55" s="144" t="str">
        <f t="shared" si="3"/>
        <v/>
      </c>
      <c r="R55" s="115" t="str">
        <f t="shared" si="4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/>
      <c r="C56" s="105"/>
      <c r="D56" s="145"/>
      <c r="E56" s="145"/>
      <c r="F56" s="111"/>
      <c r="G56" s="105"/>
      <c r="H56" s="105"/>
      <c r="I56" s="105"/>
      <c r="J56" s="105"/>
      <c r="K56" s="105"/>
      <c r="L56" s="143"/>
      <c r="M56" s="67"/>
      <c r="N56" s="108">
        <v>0</v>
      </c>
      <c r="O56" s="54"/>
      <c r="P56" s="7"/>
      <c r="Q56" s="144" t="str">
        <f t="shared" si="3"/>
        <v/>
      </c>
      <c r="R56" s="115" t="str">
        <f t="shared" si="4"/>
        <v/>
      </c>
      <c r="S56" s="54" cm="1">
        <f t="array" ref="S56">B56*MainEntryFee()+G56*MPool1Fee()+H56*MPool2Fee()+I56*MPool3Fee()+J56*MPool4Fee()</f>
        <v>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/>
      <c r="C57" s="105"/>
      <c r="D57" s="145"/>
      <c r="E57" s="145"/>
      <c r="F57" s="114"/>
      <c r="G57" s="94"/>
      <c r="H57" s="105"/>
      <c r="I57" s="105"/>
      <c r="J57" s="105"/>
      <c r="K57" s="105"/>
      <c r="L57" s="143"/>
      <c r="M57" s="67"/>
      <c r="N57" s="108">
        <v>0</v>
      </c>
      <c r="O57" s="54"/>
      <c r="P57" s="7"/>
      <c r="Q57" s="144" t="str">
        <f t="shared" si="3"/>
        <v/>
      </c>
      <c r="R57" s="115" t="str">
        <f t="shared" si="4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>
        <v>110</v>
      </c>
      <c r="O58" s="54"/>
      <c r="P58" s="7"/>
      <c r="Q58" s="144" t="str">
        <f t="shared" si="3"/>
        <v/>
      </c>
      <c r="R58" s="115" t="str">
        <f t="shared" si="4"/>
        <v/>
      </c>
      <c r="S58" s="54" cm="1">
        <f t="array" ref="S58">B58*MainEntryFee()+G58*MPool1Fee()+H58*MPool2Fee()+I58*MPool3Fee()+J58*MPool4Fee()</f>
        <v>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/>
      <c r="C59" s="105"/>
      <c r="D59" s="145"/>
      <c r="E59" s="145"/>
      <c r="F59" s="114"/>
      <c r="G59" s="106"/>
      <c r="H59" s="106"/>
      <c r="I59" s="106"/>
      <c r="J59" s="106"/>
      <c r="K59" s="106"/>
      <c r="L59" s="143"/>
      <c r="M59" s="108"/>
      <c r="N59" s="108">
        <v>0</v>
      </c>
      <c r="O59" s="54"/>
      <c r="P59" s="7"/>
      <c r="Q59" s="144" t="str">
        <f t="shared" si="3"/>
        <v/>
      </c>
      <c r="R59" s="115" t="str">
        <f t="shared" si="4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>
        <v>0</v>
      </c>
      <c r="O60" s="54"/>
      <c r="P60" s="7"/>
      <c r="Q60" s="144" t="str">
        <f t="shared" si="3"/>
        <v/>
      </c>
      <c r="R60" s="115" t="str">
        <f t="shared" si="4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106"/>
      <c r="H61" s="106"/>
      <c r="I61" s="106"/>
      <c r="J61" s="106"/>
      <c r="K61" s="106"/>
      <c r="L61" s="143"/>
      <c r="M61" s="108"/>
      <c r="N61" s="108">
        <v>0</v>
      </c>
      <c r="O61" s="54"/>
      <c r="P61" s="7"/>
      <c r="Q61" s="144" t="str">
        <f t="shared" si="3"/>
        <v/>
      </c>
      <c r="R61" s="115" t="str">
        <f t="shared" si="4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>
        <v>0</v>
      </c>
      <c r="O62" s="54"/>
      <c r="P62" s="7"/>
      <c r="Q62" s="144" t="str">
        <f t="shared" si="3"/>
        <v/>
      </c>
      <c r="R62" s="115" t="str">
        <f t="shared" si="4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>
        <v>0</v>
      </c>
      <c r="O63" s="54"/>
      <c r="P63" s="7"/>
      <c r="Q63" s="144" t="str">
        <f t="shared" si="3"/>
        <v/>
      </c>
      <c r="R63" s="115" t="str">
        <f t="shared" si="4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>
        <v>0</v>
      </c>
      <c r="O64" s="54"/>
      <c r="P64" s="7"/>
      <c r="Q64" s="144" t="str">
        <f t="shared" si="3"/>
        <v/>
      </c>
      <c r="R64" s="115" t="str">
        <f t="shared" si="4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ref="N65:N71" si="5">M65*S65</f>
        <v>0</v>
      </c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5"/>
        <v>0</v>
      </c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5"/>
        <v>0</v>
      </c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5"/>
        <v>0</v>
      </c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5"/>
        <v>0</v>
      </c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5"/>
        <v>0</v>
      </c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5"/>
        <v>0</v>
      </c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6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7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7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7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7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7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7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7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7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7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7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7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7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7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7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7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7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7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7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7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7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7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7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7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7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7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7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7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7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7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7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7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7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7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7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7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7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7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7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7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7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7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7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7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7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7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7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7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7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7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7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7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7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7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7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7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7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7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7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7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7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7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7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7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7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8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8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8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8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8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8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8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8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8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8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8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8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8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8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8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8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8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8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8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8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8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8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8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8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8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8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8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8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8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8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8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8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8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8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8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8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8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8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8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8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8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8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8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8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8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8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8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8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8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8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8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8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8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8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8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8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8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8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8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8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8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8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8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8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9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9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9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9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9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9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9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/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/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/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05"/>
      <c r="D10" s="94"/>
      <c r="E10" s="115"/>
      <c r="F10" s="115"/>
      <c r="G10" s="115"/>
      <c r="H10" s="115"/>
      <c r="I10" s="106"/>
      <c r="J10" s="106"/>
      <c r="K10" s="106"/>
      <c r="L10" s="107"/>
      <c r="M10" s="94"/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/>
      <c r="C11" s="115"/>
      <c r="D11" s="115"/>
      <c r="E11" s="115"/>
      <c r="F11" s="115"/>
      <c r="G11" s="115"/>
      <c r="H11" s="135"/>
      <c r="I11" s="135"/>
      <c r="J11" s="135"/>
      <c r="K11" s="105"/>
      <c r="L11" s="107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/>
      <c r="C14" s="106"/>
      <c r="D14" s="106"/>
      <c r="E14" s="115"/>
      <c r="F14" s="115"/>
      <c r="G14" s="115"/>
      <c r="H14" s="115"/>
      <c r="I14" s="106"/>
      <c r="J14" s="106"/>
      <c r="K14" s="115"/>
      <c r="L14" s="115"/>
      <c r="M14" s="106"/>
      <c r="N14" s="106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5"/>
      <c r="D16" s="115"/>
      <c r="E16" s="110"/>
      <c r="F16" s="110"/>
      <c r="G16" s="112"/>
      <c r="H16" s="112"/>
      <c r="I16" s="106"/>
      <c r="J16" s="106"/>
      <c r="K16" s="115"/>
      <c r="L16" s="115"/>
      <c r="M16" s="115"/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/>
      <c r="C17" s="115"/>
      <c r="D17" s="115"/>
      <c r="E17" s="115"/>
      <c r="F17" s="115"/>
      <c r="G17" s="115"/>
      <c r="H17" s="115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12"/>
      <c r="D18" s="106"/>
      <c r="E18" s="115"/>
      <c r="F18" s="115"/>
      <c r="G18" s="115"/>
      <c r="H18" s="115"/>
      <c r="I18" s="106"/>
      <c r="J18" s="106"/>
      <c r="K18" s="115"/>
      <c r="L18" s="115"/>
      <c r="M18" s="106"/>
      <c r="N18" s="106"/>
      <c r="O18" s="106"/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/>
      <c r="C19" s="115"/>
      <c r="D19" s="115"/>
      <c r="E19" s="115"/>
      <c r="F19" s="115"/>
      <c r="G19" s="115"/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5"/>
      <c r="D20" s="115"/>
      <c r="E20" s="115"/>
      <c r="F20" s="115"/>
      <c r="G20" s="115"/>
      <c r="H20" s="115"/>
      <c r="I20" s="106"/>
      <c r="J20" s="106"/>
      <c r="K20" s="115"/>
      <c r="L20" s="115"/>
      <c r="M20" s="115"/>
      <c r="N20" s="115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0"/>
      <c r="D22" s="110"/>
      <c r="E22" s="115"/>
      <c r="F22" s="115"/>
      <c r="G22" s="115"/>
      <c r="H22" s="115"/>
      <c r="I22" s="106"/>
      <c r="J22" s="106"/>
      <c r="K22" s="115"/>
      <c r="L22" s="115"/>
      <c r="M22" s="112"/>
      <c r="N22" s="112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tabSelected="1"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2026-04-16T23:22:22Z</dcterms:modified>
</cp:coreProperties>
</file>