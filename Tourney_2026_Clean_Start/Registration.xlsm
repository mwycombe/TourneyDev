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25A944C8-1E0F-48FD-8F17-70A8FF572631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R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137" i="1" l="1"/>
  <c r="R96" i="1"/>
  <c r="R147" i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<sst xmlns="http://schemas.openxmlformats.org/spreadsheetml/2006/main" count="1569" uniqueCount="805">
  <si>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</si>
  <si>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</si>
  <si>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</si>
  <si>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</si>
  <si>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</si>
  <si>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</si>
  <si>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</si>
  <si>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</si>
  <si>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</si>
  <si>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</si>
  <si>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</si>
  <si>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</si>
  <si>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</si>
  <si>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</si>
  <si>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</si>
  <si>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</si>
  <si>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</si>
  <si>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</si>
  <si>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</si>
  <si>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</si>
  <si>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</si>
  <si>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</si>
  <si>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</si>
  <si>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</si>
  <si>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</si>
  <si>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</si>
  <si>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</si>
  <si>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</si>
  <si>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</si>
  <si>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</si>
  <si>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</si>
  <si>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</si>
  <si>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</si>
  <si>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</si>
  <si>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</si>
  <si>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</si>
  <si>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</si>
  <si>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</si>
  <si>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</si>
  <si>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</si>
  <si>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</si>
  <si>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</si>
  <si>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</si>
  <si>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</si>
  <si>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</si>
  <si>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</si>
  <si>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</si>
  <si>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</si>
  <si>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</si>
  <si>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</si>
  <si>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</si>
  <si>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</si>
  <si>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</si>
  <si>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</si>
  <si>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</si>
  <si>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</si>
  <si>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</si>
  <si>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</si>
  <si>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</si>
  <si>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</si>
  <si>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</si>
  <si>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</si>
  <si>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</si>
  <si>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</si>
  <si>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</si>
  <si>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</si>
  <si>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</si>
  <si>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</si>
  <si>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</si>
  <si>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</si>
  <si>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</si>
  <si>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</si>
  <si>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</si>
  <si>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</si>
  <si>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</si>
  <si>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</si>
  <si>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</si>
  <si>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</si>
  <si>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</si>
  <si>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</si>
  <si>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</si>
  <si>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</si>
  <si>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</si>
  <si>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</si>
  <si>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</si>
  <si>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</si>
  <si>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</si>
  <si>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</si>
  <si>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</si>
  <si>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</si>
  <si>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</si>
  <si>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</si>
  <si>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</si>
  <si>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</si>
  <si>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</si>
  <si>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</si>
  <si>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</si>
  <si>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</si>
  <si>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</si>
  <si>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</si>
  <si>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</si>
  <si>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</si>
  <si>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</si>
  <si>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</si>
  <si>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</si>
  <si>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</si>
  <si>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</si>
  <si>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</si>
  <si>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</si>
  <si>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</si>
  <si>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</si>
  <si>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</si>
  <si>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</si>
  <si>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</si>
  <si>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</si>
  <si>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</si>
  <si>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</si>
  <si>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</si>
  <si>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</si>
  <si>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</si>
  <si>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</si>
  <si>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</si>
  <si>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</si>
  <si>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</si>
  <si>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</si>
  <si>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</si>
  <si>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</si>
  <si>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</si>
  <si>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</si>
  <si>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</si>
  <si>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</si>
  <si>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</si>
  <si>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</si>
  <si>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</si>
  <si>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</si>
  <si>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</si>
  <si>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</si>
  <si>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</si>
  <si>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</si>
  <si>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</si>
  <si>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</si>
  <si>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</si>
  <si>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</si>
  <si>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</si>
  <si>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</si>
  <si>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</si>
  <si>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</si>
  <si>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</si>
  <si>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</si>
  <si>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</si>
  <si>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</si>
  <si>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</si>
  <si>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</si>
  <si>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</si>
  <si>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</si>
  <si>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</si>
  <si>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</si>
  <si>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</si>
  <si>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</si>
  <si>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</si>
  <si>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</si>
  <si>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</si>
  <si>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</si>
  <si>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</si>
  <si>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</si>
  <si>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</si>
  <si>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</si>
  <si>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</si>
  <si>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</si>
  <si>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</si>
  <si>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</si>
  <si>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</si>
  <si>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</si>
  <si>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</si>
  <si>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</si>
  <si>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</si>
  <si>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</si>
  <si>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</si>
  <si>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</si>
  <si>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</si>
  <si>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</si>
  <si>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</si>
  <si>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</si>
  <si>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</si>
  <si>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</si>
  <si>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</si>
  <si>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</si>
  <si>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</si>
  <si>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</si>
  <si>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</si>
  <si>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</si>
  <si>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</si>
  <si>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</si>
  <si>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</si>
  <si>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</si>
  <si>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</si>
  <si>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</si>
  <si>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</si>
  <si>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</si>
  <si>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</si>
  <si>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</si>
  <si>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</si>
  <si>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</si>
  <si>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</si>
  <si>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</si>
  <si>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</si>
  <si>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</si>
  <si>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</si>
  <si>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</si>
  <si>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</si>
  <si>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</si>
  <si>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</si>
  <si>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</si>
  <si>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</si>
  <si>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</si>
  <si>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</si>
  <si>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</si>
  <si>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</si>
  <si>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</si>
  <si>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</si>
  <si>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</si>
  <si>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</si>
  <si>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</si>
  <si>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</si>
  <si>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</si>
  <si>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</si>
  <si>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</si>
  <si>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</si>
  <si>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</si>
  <si>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</si>
  <si>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</si>
  <si>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</si>
  <si>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</si>
  <si>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</si>
  <si>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</si>
  <si>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</si>
  <si>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</si>
  <si>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</si>
  <si>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</si>
  <si>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</si>
  <si>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</si>
  <si>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</si>
  <si>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</si>
  <si>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</si>
  <si>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</si>
  <si>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</si>
  <si>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</si>
  <si>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</si>
  <si>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</si>
  <si>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</si>
  <si>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</si>
  <si>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</si>
  <si>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</si>
  <si>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</si>
  <si>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</si>
  <si>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</si>
  <si>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</si>
  <si>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</si>
  <si>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</si>
  <si>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</si>
  <si>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</si>
  <si>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</si>
  <si>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</si>
  <si>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</si>
  <si>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</si>
  <si>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</si>
  <si>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</si>
  <si>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</si>
  <si>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</si>
  <si>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</si>
  <si>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</si>
  <si>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</si>
  <si>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</si>
  <si>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</si>
  <si>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</si>
  <si>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</si>
  <si>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</si>
  <si>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</si>
  <si>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</si>
  <si>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</si>
  <si>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</si>
  <si>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</si>
  <si>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</si>
  <si>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</si>
  <si>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</si>
  <si>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</si>
  <si>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</si>
  <si>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</si>
  <si>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</si>
  <si>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</si>
  <si>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</si>
  <si>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</si>
  <si>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</si>
  <si>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</si>
  <si>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</si>
  <si>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</si>
  <si>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</si>
  <si>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</si>
  <si>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</si>
  <si>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</si>
  <si>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</si>
  <si>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</si>
  <si>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</si>
  <si>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</si>
  <si>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</si>
  <si>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</si>
  <si>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</si>
  <si>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</si>
  <si>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</si>
  <si>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</si>
  <si>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</si>
  <si>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</si>
  <si>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</si>
  <si>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</si>
  <si>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</si>
  <si>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</si>
  <si>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</si>
  <si>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</si>
  <si>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</si>
  <si>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</si>
  <si>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</si>
  <si>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</si>
  <si>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</si>
  <si>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</si>
  <si>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</si>
  <si>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</si>
  <si>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</si>
  <si>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</si>
  <si>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</si>
  <si>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</si>
  <si>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</si>
  <si>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</si>
  <si>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</si>
  <si>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</si>
  <si>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</si>
  <si>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</si>
  <si>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</si>
  <si>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</si>
  <si>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</si>
  <si>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</si>
  <si>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</si>
  <si>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</si>
  <si>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</si>
  <si>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</si>
  <si>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</si>
  <si>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</si>
  <si>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</si>
  <si>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</si>
  <si>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</si>
  <si>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</si>
  <si>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</si>
  <si>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</si>
  <si>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</si>
  <si>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</si>
  <si>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</si>
  <si>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</si>
  <si>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</si>
  <si>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</si>
  <si>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</si>
  <si>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</si>
  <si>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</si>
  <si>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</si>
  <si>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</si>
  <si>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</si>
  <si>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</si>
  <si>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</si>
  <si>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</si>
  <si>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</si>
  <si>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</si>
  <si>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</si>
  <si>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</si>
  <si>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</si>
  <si>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</si>
  <si>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</si>
  <si>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</si>
  <si>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</si>
  <si>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</si>
  <si>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</si>
  <si>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</si>
  <si>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</si>
  <si>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</si>
  <si>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</si>
  <si>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</si>
  <si>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</si>
  <si>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</si>
  <si>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</si>
  <si>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</si>
  <si>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</si>
  <si>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</si>
  <si>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</si>
  <si>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</si>
  <si>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</si>
  <si>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</si>
  <si>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</si>
  <si>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</si>
  <si>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</si>
  <si>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</si>
  <si>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</si>
  <si>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</si>
  <si>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</si>
  <si>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</si>
  <si>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</si>
  <si>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</si>
  <si>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</si>
  <si>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</si>
  <si>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</si>
  <si>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</si>
  <si>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</si>
  <si>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</si>
  <si>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</si>
  <si>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</si>
  <si>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</si>
  <si>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</si>
  <si>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</si>
  <si>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</si>
  <si>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</si>
  <si>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</si>
  <si>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</si>
  <si>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</si>
  <si>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</si>
  <si>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</si>
  <si>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</si>
  <si>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</si>
  <si>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</si>
  <si>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</si>
  <si>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</si>
  <si>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</si>
  <si>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</si>
  <si>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</si>
  <si>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</si>
  <si>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</si>
  <si>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</si>
  <si>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</si>
  <si>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</si>
  <si>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</si>
  <si>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</si>
  <si>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</si>
  <si>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</si>
  <si>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</si>
  <si>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</si>
  <si>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</si>
  <si>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</si>
  <si>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</si>
  <si>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</si>
  <si>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</si>
  <si>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</si>
  <si>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</si>
  <si>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</si>
  <si>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</si>
  <si>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</si>
  <si>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</si>
  <si>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</si>
  <si>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</si>
  <si>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</si>
  <si>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</si>
  <si>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</si>
  <si>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</si>
  <si>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</si>
  <si>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</si>
  <si>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</si>
  <si>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</si>
  <si>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</si>
  <si>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</si>
  <si>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</si>
  <si>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</si>
  <si>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</si>
  <si>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</si>
  <si>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</si>
  <si>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</si>
  <si>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</si>
  <si>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</si>
  <si>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</si>
  <si>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</si>
  <si>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</si>
  <si>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</si>
  <si>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</si>
  <si>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</si>
  <si>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</si>
  <si>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</si>
  <si>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</si>
  <si>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</si>
  <si>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</si>
  <si>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</si>
  <si>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</si>
  <si>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</si>
  <si>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</si>
  <si>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</si>
  <si>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</si>
  <si>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</si>
  <si>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</si>
  <si>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</si>
  <si>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</si>
  <si>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</si>
  <si>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</si>
  <si>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</si>
  <si>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</si>
  <si>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</si>
  <si>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</si>
  <si>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</si>
  <si>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</si>
  <si>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</si>
  <si>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</si>
  <si>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</si>
  <si>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</si>
  <si>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</si>
  <si>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</si>
  <si>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</si>
  <si>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</si>
  <si>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</si>
  <si>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</si>
  <si>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</si>
  <si>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</si>
  <si>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</si>
  <si>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</si>
  <si>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</si>
  <si>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</si>
  <si>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</si>
  <si>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</si>
  <si>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</si>
  <si>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</si>
  <si>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</si>
  <si>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</si>
  <si>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</si>
  <si>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</si>
  <si>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</si>
  <si>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</si>
  <si>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</si>
  <si>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</si>
  <si>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</si>
  <si>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</si>
  <si>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</si>
  <si>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</si>
  <si>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</si>
  <si>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</si>
  <si>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</si>
  <si>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</si>
  <si>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</si>
  <si>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</si>
  <si>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</si>
  <si>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</si>
  <si>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</si>
  <si>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</si>
  <si>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</si>
  <si>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</si>
  <si>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</si>
  <si>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</si>
  <si>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</si>
  <si>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</si>
  <si>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</si>
  <si>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</si>
  <si>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</si>
  <si>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</si>
  <si>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</si>
  <si>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</si>
  <si>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</si>
  <si>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</si>
  <si>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</si>
  <si>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</si>
  <si>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</si>
  <si>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</si>
  <si>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</si>
  <si>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</si>
  <si>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</si>
  <si>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</si>
  <si>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</si>
  <si>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</si>
  <si>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</si>
  <si>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</si>
  <si>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</si>
  <si>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</si>
  <si>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</si>
  <si>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</si>
  <si>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</si>
  <si>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</si>
  <si>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</si>
  <si>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</si>
  <si>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</si>
  <si>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</si>
  <si>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</si>
  <si>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</si>
  <si>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</si>
  <si>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</si>
  <si>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</si>
  <si>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</si>
  <si>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</si>
  <si>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</si>
  <si>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</si>
  <si>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</si>
  <si>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</si>
  <si>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</si>
  <si>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</si>
  <si>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</si>
  <si>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</si>
  <si>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</si>
  <si>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</si>
  <si>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</si>
  <si>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</si>
  <si>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</si>
  <si>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</si>
  <si>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</si>
  <si>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</si>
  <si>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</si>
  <si>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</si>
  <si>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</si>
  <si>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</si>
  <si>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</si>
  <si>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</si>
  <si>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</si>
  <si>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</si>
  <si>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</si>
  <si>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</si>
  <si>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</si>
  <si>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</si>
  <si>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</si>
  <si>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</si>
  <si>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</si>
  <si>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</si>
  <si>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</si>
  <si>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</si>
  <si>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</si>
  <si>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</si>
  <si>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</si>
  <si>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</si>
  <si>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</si>
  <si>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</si>
  <si>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</si>
  <si>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</si>
  <si>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</si>
  <si>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</si>
  <si>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</si>
  <si>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</si>
  <si>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</si>
  <si>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</si>
  <si>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</si>
  <si>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</si>
  <si>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</si>
  <si>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</si>
  <si>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</si>
  <si>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</si>
  <si>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</si>
  <si>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</si>
  <si>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</si>
  <si>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</si>
  <si>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</si>
  <si>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</si>
  <si>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</si>
  <si>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</si>
  <si>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</si>
  <si>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</si>
  <si>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</si>
  <si>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</si>
  <si>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</si>
  <si>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</si>
  <si>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</si>
  <si>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</si>
  <si>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</si>
  <si>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</si>
  <si>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</si>
  <si>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</si>
  <si>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</si>
  <si>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</si>
  <si>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</si>
  <si>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</si>
  <si>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</si>
  <si>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</si>
  <si>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</si>
  <si>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</si>
  <si>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</si>
  <si>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</si>
  <si>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</si>
  <si>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</si>
  <si>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</si>
  <si>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</si>
  <si>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</si>
  <si>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</si>
  <si>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</si>
  <si>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</si>
  <si>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</si>
  <si>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</si>
  <si>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</si>
  <si>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</si>
  <si>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</si>
  <si>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</si>
  <si>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</si>
  <si>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</si>
  <si>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</si>
  <si>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</si>
  <si>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</si>
  <si>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</si>
  <si>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</si>
  <si>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</si>
  <si>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</si>
  <si>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</si>
  <si>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</si>
  <si>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</si>
  <si>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</si>
  <si>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</si>
  <si>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</si>
  <si>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</si>
  <si>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</si>
  <si>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</si>
  <si>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</si>
  <si>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</si>
  <si>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</si>
  <si>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</si>
  <si>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</si>
  <si>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</si>
  <si>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</si>
  <si>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</si>
  <si>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</si>
  <si>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</si>
  <si>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</si>
  <si>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</si>
  <si>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</si>
  <si>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</si>
  <si>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</si>
  <si>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</si>
  <si>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</si>
  <si>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</si>
  <si>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</si>
  <si>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</si>
  <si>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</si>
  <si>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</si>
  <si>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</si>
  <si>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</si>
  <si>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</si>
  <si>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</si>
  <si>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</si>
  <si>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</si>
  <si>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</si>
  <si>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</si>
  <si>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</si>
  <si>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</si>
  <si>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</si>
  <si>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</si>
  <si>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</si>
  <si>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</si>
  <si>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</si>
  <si>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</si>
  <si>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</si>
  <si>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</si>
  <si>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</si>
  <si>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</si>
  <si>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</si>
  <si>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</si>
  <si>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</si>
  <si>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</si>
  <si>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</si>
  <si>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</si>
  <si>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</si>
  <si>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Aleschus Jr., James</t>
  </si>
  <si>
    <t>(916) 704-2151</t>
  </si>
  <si>
    <t>jamesaleschus1@hotmail.com</t>
  </si>
  <si>
    <t>With James Jr.</t>
  </si>
  <si>
    <t>Aleschus Sr., James</t>
  </si>
  <si>
    <t>With James Sr.</t>
  </si>
  <si>
    <t>w/McElRoy</t>
  </si>
  <si>
    <t>Due $20 Overpay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</si>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</sst>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165" fontId="5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13" fillId="0" borderId="0" xfId="0" applyFont="1" applyAlignment="1" applyProtection="1">
      <alignment horizontal="left"/>
      <protection locked="0"/>
    </xf>
    <xf numFmtId="0" fontId="13" fillId="0" borderId="0" xfId="0" applyFont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1" t="s">
        <v>609</v>
      </c>
      <c r="D1" s="122"/>
      <c r="E1" s="123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4"/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71" t="s">
        <v>610</v>
      </c>
      <c r="C5" s="124"/>
      <c r="D5" s="125"/>
      <c r="E5" s="125"/>
      <c r="F5" s="125"/>
      <c r="G5" s="126"/>
    </row>
    <row r="6" spans="1:8" ht="15.75" thickBot="1" x14ac:dyDescent="0.3">
      <c r="H6" s="72"/>
    </row>
    <row r="7" spans="1:8" ht="16.5" thickBot="1" x14ac:dyDescent="0.3">
      <c r="A7" s="71" t="s">
        <v>611</v>
      </c>
      <c r="C7" s="124"/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71" t="s">
        <v>421</v>
      </c>
      <c r="C9" s="102"/>
    </row>
    <row r="10" spans="1:8" ht="15.75" thickBot="1" x14ac:dyDescent="0.3"/>
    <row r="11" spans="1:8" ht="16.5" thickBot="1" x14ac:dyDescent="0.3">
      <c r="A11" s="71" t="s">
        <v>612</v>
      </c>
      <c r="C11" s="127"/>
      <c r="D11" s="128"/>
      <c r="E11" s="127"/>
      <c r="F11" s="128"/>
      <c r="G11" s="127"/>
      <c r="H11" s="128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7"/>
      <c r="D13" s="128"/>
      <c r="E13" s="127"/>
      <c r="F13" s="128"/>
      <c r="G13" s="127"/>
      <c r="H13" s="128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7"/>
      <c r="D15" s="128"/>
      <c r="E15" s="127"/>
      <c r="F15" s="128"/>
      <c r="G15" s="127"/>
      <c r="H15" s="128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9" t="s">
        <v>609</v>
      </c>
      <c r="D2" s="130"/>
      <c r="E2" s="130"/>
      <c r="F2" s="130"/>
      <c r="G2" s="131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2"/>
      <c r="C4" s="132"/>
      <c r="D4" s="132"/>
      <c r="E4" s="132"/>
      <c r="F4" s="132"/>
    </row>
    <row r="5" spans="1:7" x14ac:dyDescent="0.25">
      <c r="A5" s="4" t="s">
        <v>616</v>
      </c>
      <c r="B5" s="133"/>
      <c r="C5" s="133"/>
      <c r="D5" s="133"/>
      <c r="E5" s="133"/>
      <c r="F5" s="133"/>
    </row>
    <row r="6" spans="1:7" x14ac:dyDescent="0.25">
      <c r="A6" s="4" t="s">
        <v>617</v>
      </c>
      <c r="B6" s="133"/>
      <c r="C6" s="133"/>
      <c r="D6" s="133"/>
      <c r="E6" s="133"/>
      <c r="F6" s="133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4" t="s">
        <v>623</v>
      </c>
      <c r="D15" s="134"/>
      <c r="E15" s="134"/>
      <c r="F15" s="134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0"/>
      <c r="D18" s="100"/>
      <c r="E18" s="100"/>
      <c r="F18" s="100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5" t="s">
        <v>609</v>
      </c>
      <c r="D2" s="136"/>
      <c r="E2" s="136"/>
      <c r="F2" s="136"/>
      <c r="G2" s="13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2"/>
      <c r="C4" s="132"/>
      <c r="D4" s="132"/>
      <c r="E4" s="132"/>
      <c r="F4" s="132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4" t="s">
        <v>636</v>
      </c>
      <c r="D15" s="134"/>
      <c r="E15" s="134"/>
      <c r="F15" s="134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19"/>
      <c r="L2" s="119"/>
      <c r="M2" s="119"/>
      <c r="N2" s="119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19"/>
      <c r="L3" s="119"/>
      <c r="M3" s="119"/>
      <c r="N3" s="119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19"/>
      <c r="L4" s="119"/>
      <c r="M4" s="119"/>
      <c r="N4" s="119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0"/>
      <c r="L5" s="120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38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39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0</v>
      </c>
      <c r="C10" s="31"/>
      <c r="D10" s="31"/>
      <c r="E10" s="17"/>
      <c r="F10" s="17"/>
      <c r="G10" s="17"/>
      <c r="H10" s="30">
        <f t="shared" ref="H10:N10" si="0">COUNTIF(H12:H220,"&lt;&gt;" &amp; "")</f>
        <v>0</v>
      </c>
      <c r="I10" s="30">
        <f t="shared" si="0"/>
        <v>0</v>
      </c>
      <c r="J10" s="30">
        <f t="shared" si="0"/>
        <v>0</v>
      </c>
      <c r="K10" s="30">
        <f t="shared" si="0"/>
        <v>0</v>
      </c>
      <c r="L10" s="30">
        <f t="shared" si="0"/>
        <v>0</v>
      </c>
      <c r="M10" s="30">
        <f t="shared" si="0"/>
        <v>0</v>
      </c>
      <c r="N10" s="30">
        <f t="shared" si="0"/>
        <v>0</v>
      </c>
      <c r="O10" s="108">
        <f>SUM(O12:O209)</f>
        <v>0</v>
      </c>
      <c r="P10" s="32"/>
      <c r="Q10" s="25"/>
      <c r="R10" s="33">
        <f>SUM(R12:R220)</f>
        <v>0</v>
      </c>
      <c r="S10" s="33">
        <f>SUM(S12:S220)</f>
        <v>0</v>
      </c>
      <c r="T10" s="33">
        <f>SUM(T12:T220)</f>
        <v>0</v>
      </c>
      <c r="U10" s="30">
        <f>COUNTIF(U12:U220,"&lt;&gt;" &amp; "")</f>
        <v>0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/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/>
      <c r="O12" s="94">
        <f t="shared" ref="O12:O43" si="2">T12*N12</f>
        <v>0</v>
      </c>
      <c r="P12" s="47"/>
      <c r="Q12" s="47"/>
      <c r="R12" s="95" t="str">
        <f t="shared" ref="R12:R43" si="3">IF(OR(P12="c",P12="C"),+T12,"")</f>
        <v/>
      </c>
      <c r="S12" s="95" t="str">
        <f t="shared" ref="S12:S43" si="4">IF(OR(P12="$",N12=1),+T12,"")</f>
        <v/>
      </c>
      <c r="T12" s="96">
        <f>H12*[1]!FMainPool1Fee+I12*[1]!FMainPool2Fee+J12*[1]!FMainPool3Fee+K12*[1]!FMainPool4Fee+B12*[1]!FMainEntryFee</f>
        <v>0</v>
      </c>
      <c r="U12" s="51"/>
      <c r="V12" s="110"/>
    </row>
    <row r="13" spans="1:22" x14ac:dyDescent="0.25">
      <c r="A13" s="46">
        <f t="shared" si="1"/>
        <v>2</v>
      </c>
      <c r="B13" s="47"/>
      <c r="C13" s="5" t="s">
        <v>750</v>
      </c>
      <c r="D13" s="5" t="s">
        <v>5</v>
      </c>
      <c r="E13" s="6" t="s">
        <v>6</v>
      </c>
      <c r="F13" s="10" t="s">
        <v>751</v>
      </c>
      <c r="G13" s="15" t="s">
        <v>752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  <c r="V13" s="110" t="s">
        <v>753</v>
      </c>
    </row>
    <row r="14" spans="1:22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7" t="s">
        <v>445</v>
      </c>
      <c r="G14" s="90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  <c r="V14" s="110" t="s">
        <v>755</v>
      </c>
    </row>
    <row r="15" spans="1:22" x14ac:dyDescent="0.25">
      <c r="A15" s="46">
        <f t="shared" si="1"/>
        <v>4</v>
      </c>
      <c r="B15" s="47"/>
      <c r="C15" s="7" t="s">
        <v>22</v>
      </c>
      <c r="D15" s="7" t="s">
        <v>20</v>
      </c>
      <c r="E15" s="8" t="s">
        <v>23</v>
      </c>
      <c r="F15" s="118">
        <v>9168138609</v>
      </c>
      <c r="G15" s="12" t="s">
        <v>450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  <c r="V15" s="10"/>
    </row>
    <row r="16" spans="1:22" x14ac:dyDescent="0.25">
      <c r="A16" s="46">
        <f t="shared" si="1"/>
        <v>5</v>
      </c>
      <c r="B16" s="47"/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  <c r="V16" s="110"/>
    </row>
    <row r="17" spans="1:22" x14ac:dyDescent="0.25">
      <c r="A17" s="46">
        <f t="shared" si="1"/>
        <v>6</v>
      </c>
      <c r="B17" s="47"/>
      <c r="C17" s="5" t="s">
        <v>759</v>
      </c>
      <c r="D17" s="5" t="s">
        <v>760</v>
      </c>
      <c r="E17" s="6" t="s">
        <v>761</v>
      </c>
      <c r="F17" s="48">
        <v>9255487664</v>
      </c>
      <c r="G17" s="57" t="s">
        <v>762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47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  <c r="V17" s="110"/>
    </row>
    <row r="18" spans="1:22" x14ac:dyDescent="0.25">
      <c r="A18" s="46">
        <f t="shared" si="1"/>
        <v>7</v>
      </c>
      <c r="B18" s="47"/>
      <c r="C18" s="5" t="s">
        <v>763</v>
      </c>
      <c r="D18" s="5" t="s">
        <v>764</v>
      </c>
      <c r="E18" s="6" t="s">
        <v>765</v>
      </c>
      <c r="F18" s="48">
        <v>9257272271</v>
      </c>
      <c r="G18" s="116" t="s">
        <v>766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  <c r="V18" s="110"/>
    </row>
    <row r="19" spans="1:22" x14ac:dyDescent="0.25">
      <c r="A19" s="46">
        <f t="shared" si="1"/>
        <v>8</v>
      </c>
      <c r="B19" s="47"/>
      <c r="C19" s="5" t="s">
        <v>768</v>
      </c>
      <c r="D19" s="5" t="s">
        <v>72</v>
      </c>
      <c r="E19" s="6" t="s">
        <v>769</v>
      </c>
      <c r="F19" s="48">
        <v>7078430341</v>
      </c>
      <c r="G19" s="116" t="s">
        <v>770</v>
      </c>
      <c r="H19" s="49"/>
      <c r="I19" s="47"/>
      <c r="J19" s="47"/>
      <c r="K19" s="47"/>
      <c r="L19" s="47"/>
      <c r="M19" s="47"/>
      <c r="N19" s="47"/>
      <c r="O19" s="94">
        <f t="shared" si="2"/>
        <v>0</v>
      </c>
      <c r="P19" s="47"/>
      <c r="Q19" s="47"/>
      <c r="R19" s="95" t="str">
        <f t="shared" si="3"/>
        <v/>
      </c>
      <c r="S19" s="95" t="str">
        <f t="shared" si="4"/>
        <v/>
      </c>
      <c r="T19" s="96">
        <f>H19*[1]!FMainPool1Fee+I19*[1]!FMainPool2Fee+J19*[1]!FMainPool3Fee+K19*[1]!FMainPool4Fee+B19*[1]!FMainEntryFee</f>
        <v>0</v>
      </c>
      <c r="U19" s="51"/>
      <c r="V19" s="112"/>
    </row>
    <row r="20" spans="1:22" x14ac:dyDescent="0.25">
      <c r="A20" s="46">
        <f t="shared" si="1"/>
        <v>9</v>
      </c>
      <c r="B20" s="47"/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/>
      <c r="I20" s="47"/>
      <c r="J20" s="47"/>
      <c r="K20" s="47"/>
      <c r="L20" s="47"/>
      <c r="M20" s="47"/>
      <c r="N20" s="47"/>
      <c r="O20" s="94">
        <f t="shared" si="2"/>
        <v>0</v>
      </c>
      <c r="P20" s="47"/>
      <c r="Q20" s="47"/>
      <c r="R20" s="95" t="str">
        <f t="shared" si="3"/>
        <v/>
      </c>
      <c r="S20" s="95" t="str">
        <f t="shared" si="4"/>
        <v/>
      </c>
      <c r="T20" s="96">
        <f>H20*[1]!FMainPool1Fee+I20*[1]!FMainPool2Fee+J20*[1]!FMainPool3Fee+K20*[1]!FMainPool4Fee+B20*[1]!FMainEntryFee</f>
        <v>0</v>
      </c>
      <c r="U20" s="51"/>
      <c r="V20" s="110" t="s">
        <v>756</v>
      </c>
    </row>
    <row r="21" spans="1:22" x14ac:dyDescent="0.25">
      <c r="A21" s="46">
        <f t="shared" si="1"/>
        <v>10</v>
      </c>
      <c r="B21" s="47"/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/>
      <c r="Q21" s="47"/>
      <c r="R21" s="95" t="str">
        <f t="shared" si="3"/>
        <v/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  <c r="V21" s="110"/>
    </row>
    <row r="22" spans="1:22" x14ac:dyDescent="0.25">
      <c r="A22" s="46">
        <f t="shared" si="1"/>
        <v>11</v>
      </c>
      <c r="B22" s="47"/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/>
      <c r="Q22" s="47"/>
      <c r="R22" s="95" t="str">
        <f t="shared" si="3"/>
        <v/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  <c r="V22" s="110"/>
    </row>
    <row r="23" spans="1:22" x14ac:dyDescent="0.25">
      <c r="A23" s="46">
        <f t="shared" si="1"/>
        <v>12</v>
      </c>
      <c r="B23" s="47"/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/>
      <c r="Q23" s="47"/>
      <c r="R23" s="95" t="str">
        <f t="shared" si="3"/>
        <v/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  <c r="V23" s="106" t="s">
        <v>757</v>
      </c>
    </row>
    <row r="24" spans="1:22" x14ac:dyDescent="0.25">
      <c r="A24" s="46">
        <f t="shared" si="1"/>
        <v>13</v>
      </c>
      <c r="B24" s="47"/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/>
      <c r="Q24" s="47"/>
      <c r="R24" s="95" t="str">
        <f t="shared" si="3"/>
        <v/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  <c r="V24" s="110"/>
    </row>
    <row r="25" spans="1:22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/>
      <c r="Q25" s="47"/>
      <c r="R25" s="95" t="str">
        <f t="shared" si="3"/>
        <v/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  <c r="V25" s="110"/>
    </row>
    <row r="26" spans="1:22" x14ac:dyDescent="0.25">
      <c r="A26" s="46">
        <f t="shared" si="1"/>
        <v>15</v>
      </c>
      <c r="B26" s="47"/>
      <c r="C26" s="7" t="s">
        <v>126</v>
      </c>
      <c r="D26" s="7" t="s">
        <v>127</v>
      </c>
      <c r="E26" s="8" t="s">
        <v>128</v>
      </c>
      <c r="F26" s="117" t="s">
        <v>492</v>
      </c>
      <c r="G26" s="12" t="s">
        <v>493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/>
      <c r="Q26" s="47"/>
      <c r="R26" s="95" t="str">
        <f t="shared" si="3"/>
        <v/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  <c r="V26" s="10"/>
    </row>
    <row r="27" spans="1:22" x14ac:dyDescent="0.25">
      <c r="A27" s="46">
        <f t="shared" si="1"/>
        <v>16</v>
      </c>
      <c r="B27" s="47"/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/>
      <c r="Q27" s="47"/>
      <c r="R27" s="95" t="str">
        <f t="shared" si="3"/>
        <v/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  <c r="V27" s="106"/>
    </row>
    <row r="28" spans="1:22" x14ac:dyDescent="0.25">
      <c r="A28" s="46">
        <f t="shared" si="1"/>
        <v>17</v>
      </c>
      <c r="B28" s="47"/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/>
      <c r="Q28" s="47"/>
      <c r="R28" s="95" t="str">
        <f t="shared" si="3"/>
        <v/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  <c r="V28" s="106"/>
    </row>
    <row r="29" spans="1:22" x14ac:dyDescent="0.25">
      <c r="A29" s="46">
        <f t="shared" si="1"/>
        <v>18</v>
      </c>
      <c r="B29" s="47"/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/>
      <c r="Q29" s="47"/>
      <c r="R29" s="95" t="str">
        <f t="shared" si="3"/>
        <v/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  <c r="V29" s="110"/>
    </row>
    <row r="30" spans="1:22" x14ac:dyDescent="0.25">
      <c r="A30" s="46">
        <f t="shared" si="1"/>
        <v>19</v>
      </c>
      <c r="B30" s="47"/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/>
      <c r="Q30" s="47"/>
      <c r="R30" s="95" t="str">
        <f t="shared" si="3"/>
        <v/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  <c r="V30" s="110"/>
    </row>
    <row r="31" spans="1:22" x14ac:dyDescent="0.25">
      <c r="A31" s="46">
        <f t="shared" si="1"/>
        <v>20</v>
      </c>
      <c r="B31" s="47"/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/>
      <c r="Q31" s="47"/>
      <c r="R31" s="95" t="str">
        <f t="shared" si="3"/>
        <v/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  <c r="V31" s="110"/>
    </row>
    <row r="32" spans="1:22" x14ac:dyDescent="0.25">
      <c r="A32" s="46">
        <f t="shared" si="1"/>
        <v>21</v>
      </c>
      <c r="B32" s="47"/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/>
      <c r="Q32" s="47"/>
      <c r="R32" s="95" t="str">
        <f t="shared" si="3"/>
        <v/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  <c r="V32" s="110"/>
    </row>
    <row r="33" spans="1:22" x14ac:dyDescent="0.25">
      <c r="A33" s="46">
        <f t="shared" si="1"/>
        <v>22</v>
      </c>
      <c r="B33" s="47"/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/>
      <c r="Q33" s="47"/>
      <c r="R33" s="95" t="str">
        <f t="shared" si="3"/>
        <v/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  <c r="V33" s="110" t="s">
        <v>758</v>
      </c>
    </row>
    <row r="34" spans="1:22" x14ac:dyDescent="0.25">
      <c r="A34" s="46">
        <f t="shared" si="1"/>
        <v>23</v>
      </c>
      <c r="B34" s="47"/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/>
      <c r="Q34" s="47"/>
      <c r="R34" s="95" t="str">
        <f t="shared" si="3"/>
        <v/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  <c r="V34" s="106"/>
    </row>
    <row r="35" spans="1:22" x14ac:dyDescent="0.25">
      <c r="A35" s="46">
        <f t="shared" si="1"/>
        <v>24</v>
      </c>
      <c r="B35" s="47"/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/>
      <c r="Q35" s="47"/>
      <c r="R35" s="95" t="str">
        <f t="shared" si="3"/>
        <v/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  <c r="V35" s="110"/>
    </row>
    <row r="36" spans="1:22" x14ac:dyDescent="0.25">
      <c r="A36" s="46">
        <f t="shared" si="1"/>
        <v>25</v>
      </c>
      <c r="B36" s="47"/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/>
      <c r="Q36" s="47"/>
      <c r="R36" s="95" t="str">
        <f t="shared" si="3"/>
        <v/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  <c r="V36" s="110"/>
    </row>
    <row r="37" spans="1:22" x14ac:dyDescent="0.25">
      <c r="A37" s="46">
        <f t="shared" si="1"/>
        <v>26</v>
      </c>
      <c r="B37" s="47"/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/>
      <c r="I37" s="47"/>
      <c r="J37" s="47"/>
      <c r="K37" s="47"/>
      <c r="L37" s="47"/>
      <c r="M37" s="47"/>
      <c r="N37" s="47"/>
      <c r="O37" s="94">
        <f t="shared" si="2"/>
        <v>0</v>
      </c>
      <c r="P37" s="47"/>
      <c r="Q37" s="47"/>
      <c r="R37" s="95" t="str">
        <f t="shared" si="3"/>
        <v/>
      </c>
      <c r="S37" s="95" t="str">
        <f t="shared" si="4"/>
        <v/>
      </c>
      <c r="T37" s="96">
        <f>H37*[1]!FMainPool1Fee+I37*[1]!FMainPool2Fee+J37*[1]!FMainPool3Fee+K37*[1]!FMainPool4Fee+B37*[1]!FMainEntryFee</f>
        <v>0</v>
      </c>
      <c r="U37" s="51"/>
      <c r="V37" s="110" t="s">
        <v>758</v>
      </c>
    </row>
    <row r="38" spans="1:22" x14ac:dyDescent="0.25">
      <c r="A38" s="46">
        <f t="shared" si="1"/>
        <v>27</v>
      </c>
      <c r="B38" s="47"/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/>
      <c r="Q38" s="47"/>
      <c r="R38" s="95" t="str">
        <f t="shared" si="3"/>
        <v/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  <c r="V38" s="110"/>
    </row>
    <row r="39" spans="1:22" x14ac:dyDescent="0.25">
      <c r="A39" s="46">
        <f t="shared" si="1"/>
        <v>28</v>
      </c>
      <c r="B39" s="47"/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/>
      <c r="I39" s="47"/>
      <c r="J39" s="47"/>
      <c r="K39" s="47"/>
      <c r="L39" s="47"/>
      <c r="M39" s="47"/>
      <c r="N39" s="47"/>
      <c r="O39" s="94">
        <f t="shared" si="2"/>
        <v>0</v>
      </c>
      <c r="P39" s="47"/>
      <c r="Q39" s="47"/>
      <c r="R39" s="95" t="str">
        <f t="shared" si="3"/>
        <v/>
      </c>
      <c r="S39" s="95" t="str">
        <f t="shared" si="4"/>
        <v/>
      </c>
      <c r="T39" s="96">
        <f>H39*[1]!FMainPool1Fee+I39*[1]!FMainPool2Fee+J39*[1]!FMainPool3Fee+K39*[1]!FMainPool4Fee+B39*[1]!FMainEntryFee</f>
        <v>0</v>
      </c>
      <c r="U39" s="51"/>
      <c r="V39" s="110" t="s">
        <v>767</v>
      </c>
    </row>
    <row r="40" spans="1:22" x14ac:dyDescent="0.25">
      <c r="A40" s="46">
        <f t="shared" si="1"/>
        <v>29</v>
      </c>
      <c r="B40" s="47"/>
      <c r="C40" s="15" t="s">
        <v>672</v>
      </c>
      <c r="D40" s="15" t="s">
        <v>350</v>
      </c>
      <c r="E40" s="10" t="s">
        <v>673</v>
      </c>
      <c r="F40" s="106">
        <v>7078892101</v>
      </c>
      <c r="H40" s="49"/>
      <c r="I40" s="47"/>
      <c r="J40" s="47"/>
      <c r="K40" s="47"/>
      <c r="L40" s="47"/>
      <c r="M40" s="47"/>
      <c r="N40" s="47"/>
      <c r="O40" s="94">
        <f t="shared" si="2"/>
        <v>0</v>
      </c>
      <c r="P40" s="47"/>
      <c r="Q40" s="47"/>
      <c r="R40" s="95" t="str">
        <f t="shared" si="3"/>
        <v/>
      </c>
      <c r="S40" s="95" t="str">
        <f t="shared" si="4"/>
        <v/>
      </c>
      <c r="T40" s="96">
        <f>H40*[1]!FMainPool1Fee+I40*[1]!FMainPool2Fee+J40*[1]!FMainPool3Fee+K40*[1]!FMainPool4Fee+B40*[1]!FMainEntryFee</f>
        <v>0</v>
      </c>
      <c r="U40" s="51"/>
      <c r="V40" s="110" t="s">
        <v>758</v>
      </c>
    </row>
    <row r="41" spans="1:22" x14ac:dyDescent="0.25">
      <c r="A41" s="46">
        <f t="shared" si="1"/>
        <v>30</v>
      </c>
      <c r="B41" s="47"/>
      <c r="C41" s="7" t="s">
        <v>272</v>
      </c>
      <c r="D41" s="7" t="s">
        <v>45</v>
      </c>
      <c r="E41" s="8" t="s">
        <v>778</v>
      </c>
      <c r="F41" s="55">
        <v>7072242345</v>
      </c>
      <c r="G41" s="12" t="s">
        <v>544</v>
      </c>
      <c r="H41" s="49"/>
      <c r="I41" s="47"/>
      <c r="J41" s="47"/>
      <c r="K41" s="47"/>
      <c r="L41" s="47"/>
      <c r="M41" s="47"/>
      <c r="N41" s="47"/>
      <c r="O41" s="94">
        <f t="shared" si="2"/>
        <v>0</v>
      </c>
      <c r="P41" s="47"/>
      <c r="Q41" s="47"/>
      <c r="R41" s="95" t="str">
        <f t="shared" si="3"/>
        <v/>
      </c>
      <c r="S41" s="95" t="str">
        <f t="shared" si="4"/>
        <v/>
      </c>
      <c r="T41" s="96">
        <f>H41*[1]!FMainPool1Fee+I41*[1]!FMainPool2Fee+J41*[1]!FMainPool3Fee+K41*[1]!FMainPool4Fee+B41*[1]!FMainEntryFee</f>
        <v>0</v>
      </c>
      <c r="U41" s="51"/>
      <c r="V41" s="110"/>
    </row>
    <row r="42" spans="1:22" x14ac:dyDescent="0.25">
      <c r="A42" s="46">
        <f t="shared" si="1"/>
        <v>31</v>
      </c>
      <c r="B42" s="47"/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/>
      <c r="I42" s="47"/>
      <c r="J42" s="47"/>
      <c r="K42" s="47"/>
      <c r="L42" s="47"/>
      <c r="M42" s="47"/>
      <c r="N42" s="47"/>
      <c r="O42" s="94">
        <f t="shared" si="2"/>
        <v>0</v>
      </c>
      <c r="P42" s="47"/>
      <c r="Q42" s="47"/>
      <c r="R42" s="95" t="str">
        <f t="shared" si="3"/>
        <v/>
      </c>
      <c r="S42" s="95" t="str">
        <f t="shared" si="4"/>
        <v/>
      </c>
      <c r="T42" s="96">
        <f>H42*[1]!FMainPool1Fee+I42*[1]!FMainPool2Fee+J42*[1]!FMainPool3Fee+K42*[1]!FMainPool4Fee+B42*[1]!FMainEntryFee</f>
        <v>0</v>
      </c>
      <c r="U42" s="51"/>
      <c r="V42" s="106"/>
    </row>
    <row r="43" spans="1:22" x14ac:dyDescent="0.25">
      <c r="A43" s="46">
        <f t="shared" si="1"/>
        <v>32</v>
      </c>
      <c r="B43" s="47"/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/>
      <c r="I43" s="47"/>
      <c r="J43" s="47"/>
      <c r="K43" s="47"/>
      <c r="L43" s="47"/>
      <c r="M43" s="47"/>
      <c r="N43" s="47"/>
      <c r="O43" s="94">
        <f t="shared" si="2"/>
        <v>0</v>
      </c>
      <c r="P43" s="47"/>
      <c r="Q43" s="47"/>
      <c r="R43" s="95" t="str">
        <f t="shared" si="3"/>
        <v/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  <c r="V43" s="106"/>
    </row>
    <row r="44" spans="1:22" x14ac:dyDescent="0.25">
      <c r="A44" s="46">
        <f t="shared" si="1"/>
        <v>33</v>
      </c>
      <c r="B44" s="47"/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/>
      <c r="I44" s="47"/>
      <c r="J44" s="47"/>
      <c r="K44" s="47"/>
      <c r="L44" s="47"/>
      <c r="M44" s="47"/>
      <c r="N44" s="47"/>
      <c r="O44" s="94">
        <f t="shared" ref="O44:O75" si="5">T44*N44</f>
        <v>0</v>
      </c>
      <c r="P44" s="47"/>
      <c r="Q44" s="47"/>
      <c r="R44" s="95" t="str">
        <f t="shared" ref="R44:R75" si="6">IF(OR(P44="c",P44="C"),+T44,"")</f>
        <v/>
      </c>
      <c r="S44" s="95" t="str">
        <f t="shared" ref="S44:S75" si="7">IF(OR(P44="$",N44=1),+T44,"")</f>
        <v/>
      </c>
      <c r="T44" s="96">
        <f>H44*[1]!FMainPool1Fee+I44*[1]!FMainPool2Fee+J44*[1]!FMainPool3Fee+K44*[1]!FMainPool4Fee+B44*[1]!FMainEntryFee</f>
        <v>0</v>
      </c>
      <c r="U44" s="51"/>
      <c r="V44" s="10"/>
    </row>
    <row r="45" spans="1:22" x14ac:dyDescent="0.25">
      <c r="A45" s="46">
        <f t="shared" si="1"/>
        <v>34</v>
      </c>
      <c r="B45" s="47"/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/>
      <c r="Q45" s="47"/>
      <c r="R45" s="95" t="str">
        <f t="shared" si="6"/>
        <v/>
      </c>
      <c r="S45" s="95" t="str">
        <f t="shared" si="7"/>
        <v/>
      </c>
      <c r="T45" s="96">
        <f>H45*[1]!FMainPool1Fee+I45*[1]!FMainPool2Fee+J45*[1]!FMainPool3Fee+K45*[1]!FMainPool4Fee+B45*[1]!FMainEntryFee</f>
        <v>0</v>
      </c>
      <c r="U45" s="51"/>
      <c r="V45" s="110"/>
    </row>
    <row r="46" spans="1:22" x14ac:dyDescent="0.25">
      <c r="A46" s="46">
        <f t="shared" si="1"/>
        <v>35</v>
      </c>
      <c r="B46" s="47"/>
      <c r="C46" s="7" t="s">
        <v>780</v>
      </c>
      <c r="D46" s="7" t="s">
        <v>781</v>
      </c>
      <c r="E46" s="8" t="s">
        <v>782</v>
      </c>
      <c r="F46" s="55">
        <v>6507733006</v>
      </c>
      <c r="G46" s="57" t="s">
        <v>783</v>
      </c>
      <c r="H46" s="49"/>
      <c r="I46" s="47"/>
      <c r="J46" s="47"/>
      <c r="K46" s="47"/>
      <c r="L46" s="47"/>
      <c r="M46" s="47"/>
      <c r="N46" s="47"/>
      <c r="O46" s="94">
        <f t="shared" si="5"/>
        <v>0</v>
      </c>
      <c r="P46" s="47"/>
      <c r="Q46" s="47"/>
      <c r="R46" s="95" t="str">
        <f t="shared" si="6"/>
        <v/>
      </c>
      <c r="S46" s="95" t="str">
        <f t="shared" si="7"/>
        <v/>
      </c>
      <c r="T46" s="96">
        <f>H46*[1]!FMainPool1Fee+I46*[1]!FMainPool2Fee+J46*[1]!FMainPool3Fee+K46*[1]!FMainPool4Fee+B46*[1]!FMainEntryFee</f>
        <v>0</v>
      </c>
      <c r="U46" s="51"/>
      <c r="V46" s="106"/>
    </row>
    <row r="47" spans="1:22" x14ac:dyDescent="0.25">
      <c r="A47" s="46">
        <f t="shared" si="1"/>
        <v>36</v>
      </c>
      <c r="B47" s="47"/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/>
      <c r="I47" s="47"/>
      <c r="J47" s="47"/>
      <c r="K47" s="47"/>
      <c r="L47" s="47"/>
      <c r="M47" s="47"/>
      <c r="N47" s="47"/>
      <c r="O47" s="94">
        <f t="shared" si="5"/>
        <v>0</v>
      </c>
      <c r="P47" s="47"/>
      <c r="Q47" s="47"/>
      <c r="R47" s="95" t="str">
        <f t="shared" si="6"/>
        <v/>
      </c>
      <c r="S47" s="95" t="str">
        <f t="shared" si="7"/>
        <v/>
      </c>
      <c r="T47" s="96">
        <f>H47*[1]!FMainPool1Fee+I47*[1]!FMainPool2Fee+J47*[1]!FMainPool3Fee+K47*[1]!FMainPool4Fee+B47*[1]!FMainEntryFee</f>
        <v>0</v>
      </c>
      <c r="U47" s="51"/>
      <c r="V47" s="106"/>
    </row>
    <row r="48" spans="1:22" x14ac:dyDescent="0.25">
      <c r="A48" s="46">
        <f t="shared" si="1"/>
        <v>37</v>
      </c>
      <c r="B48" s="47"/>
      <c r="C48" s="5" t="s">
        <v>784</v>
      </c>
      <c r="D48" s="5" t="s">
        <v>159</v>
      </c>
      <c r="E48" s="6" t="s">
        <v>785</v>
      </c>
      <c r="F48" s="106">
        <v>4086660276</v>
      </c>
      <c r="G48" s="105" t="s">
        <v>786</v>
      </c>
      <c r="H48" s="49"/>
      <c r="I48" s="47"/>
      <c r="J48" s="47"/>
      <c r="K48" s="47"/>
      <c r="L48" s="47"/>
      <c r="M48" s="47"/>
      <c r="N48" s="47"/>
      <c r="O48" s="94">
        <f t="shared" si="5"/>
        <v>0</v>
      </c>
      <c r="P48" s="47"/>
      <c r="Q48" s="47"/>
      <c r="R48" s="95" t="str">
        <f t="shared" si="6"/>
        <v/>
      </c>
      <c r="S48" s="95" t="str">
        <f t="shared" si="7"/>
        <v/>
      </c>
      <c r="T48" s="96">
        <f>H48*[1]!FMainPool1Fee+I48*[1]!FMainPool2Fee+J48*[1]!FMainPool3Fee+K48*[1]!FMainPool4Fee+B48*[1]!FMainEntryFee</f>
        <v>0</v>
      </c>
      <c r="U48" s="51"/>
      <c r="V48" s="110"/>
    </row>
    <row r="49" spans="1:22" x14ac:dyDescent="0.25">
      <c r="A49" s="46">
        <f t="shared" si="1"/>
        <v>38</v>
      </c>
      <c r="B49" s="47"/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/>
      <c r="I49" s="47"/>
      <c r="J49" s="47"/>
      <c r="K49" s="47"/>
      <c r="L49" s="47"/>
      <c r="M49" s="47"/>
      <c r="N49" s="47"/>
      <c r="O49" s="94">
        <f t="shared" si="5"/>
        <v>0</v>
      </c>
      <c r="P49" s="47"/>
      <c r="Q49" s="47"/>
      <c r="R49" s="95" t="str">
        <f t="shared" si="6"/>
        <v/>
      </c>
      <c r="S49" s="95" t="str">
        <f t="shared" si="7"/>
        <v/>
      </c>
      <c r="T49" s="96">
        <f>H49*[1]!FMainPool1Fee+I49*[1]!FMainPool2Fee+J49*[1]!FMainPool3Fee+K49*[1]!FMainPool4Fee+B49*[1]!FMainEntryFee</f>
        <v>0</v>
      </c>
      <c r="U49" s="51"/>
      <c r="V49" s="106"/>
    </row>
    <row r="50" spans="1:22" x14ac:dyDescent="0.25">
      <c r="A50" s="46">
        <f t="shared" si="1"/>
        <v>39</v>
      </c>
      <c r="B50" s="47"/>
      <c r="C50" s="7" t="s">
        <v>787</v>
      </c>
      <c r="D50" s="7" t="s">
        <v>788</v>
      </c>
      <c r="E50" s="8" t="s">
        <v>789</v>
      </c>
      <c r="F50" s="58">
        <v>4073616554</v>
      </c>
      <c r="G50" s="15" t="s">
        <v>790</v>
      </c>
      <c r="H50" s="49"/>
      <c r="I50" s="47"/>
      <c r="J50" s="47"/>
      <c r="K50" s="47"/>
      <c r="L50" s="47"/>
      <c r="M50" s="47"/>
      <c r="N50" s="47"/>
      <c r="O50" s="94">
        <f t="shared" si="5"/>
        <v>0</v>
      </c>
      <c r="P50" s="47"/>
      <c r="Q50" s="47"/>
      <c r="R50" s="95" t="str">
        <f t="shared" si="6"/>
        <v/>
      </c>
      <c r="S50" s="95" t="str">
        <f t="shared" si="7"/>
        <v/>
      </c>
      <c r="T50" s="96">
        <f>H50*[1]!FMainPool1Fee+I50*[1]!FMainPool2Fee+J50*[1]!FMainPool3Fee+K50*[1]!FMainPool4Fee+B50*[1]!FMainEntryFee</f>
        <v>0</v>
      </c>
      <c r="U50" s="51"/>
      <c r="V50" s="106" t="s">
        <v>758</v>
      </c>
    </row>
    <row r="51" spans="1:22" x14ac:dyDescent="0.25">
      <c r="A51" s="46">
        <f t="shared" si="1"/>
        <v>40</v>
      </c>
      <c r="B51" s="47"/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/>
      <c r="I51" s="47"/>
      <c r="J51" s="47"/>
      <c r="K51" s="47"/>
      <c r="L51" s="47"/>
      <c r="M51" s="47"/>
      <c r="N51" s="47"/>
      <c r="O51" s="94">
        <f t="shared" si="5"/>
        <v>0</v>
      </c>
      <c r="P51" s="47"/>
      <c r="Q51" s="47"/>
      <c r="R51" s="95" t="str">
        <f t="shared" si="6"/>
        <v/>
      </c>
      <c r="S51" s="95" t="str">
        <f t="shared" si="7"/>
        <v/>
      </c>
      <c r="T51" s="96">
        <f>H51*[1]!FMainPool1Fee+I51*[1]!FMainPool2Fee+J51*[1]!FMainPool3Fee+K51*[1]!FMainPool4Fee+B51*[1]!FMainEntryFee</f>
        <v>0</v>
      </c>
      <c r="U51" s="51"/>
      <c r="V51" s="110"/>
    </row>
    <row r="52" spans="1:22" x14ac:dyDescent="0.25">
      <c r="A52" s="46">
        <f t="shared" si="1"/>
        <v>41</v>
      </c>
      <c r="B52" s="47"/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/>
      <c r="I52" s="47"/>
      <c r="J52" s="47"/>
      <c r="K52" s="47"/>
      <c r="L52" s="47"/>
      <c r="M52" s="47"/>
      <c r="N52" s="47"/>
      <c r="O52" s="94">
        <f t="shared" si="5"/>
        <v>0</v>
      </c>
      <c r="P52" s="47"/>
      <c r="Q52" s="47"/>
      <c r="R52" s="95" t="str">
        <f t="shared" si="6"/>
        <v/>
      </c>
      <c r="S52" s="95" t="str">
        <f t="shared" si="7"/>
        <v/>
      </c>
      <c r="T52" s="96">
        <f>H52*[1]!FMainPool1Fee+I52*[1]!FMainPool2Fee+J52*[1]!FMainPool3Fee+K52*[1]!FMainPool4Fee+B52*[1]!FMainEntryFee</f>
        <v>0</v>
      </c>
      <c r="U52" s="51"/>
      <c r="V52" s="106"/>
    </row>
    <row r="53" spans="1:22" x14ac:dyDescent="0.25">
      <c r="A53" s="46">
        <f t="shared" si="1"/>
        <v>42</v>
      </c>
      <c r="B53" s="47"/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/>
      <c r="I53" s="47"/>
      <c r="J53" s="47"/>
      <c r="K53" s="47"/>
      <c r="L53" s="47"/>
      <c r="M53" s="47"/>
      <c r="N53" s="47"/>
      <c r="O53" s="94">
        <f t="shared" si="5"/>
        <v>0</v>
      </c>
      <c r="P53" s="47"/>
      <c r="Q53" s="47"/>
      <c r="R53" s="95" t="str">
        <f t="shared" si="6"/>
        <v/>
      </c>
      <c r="S53" s="95" t="str">
        <f t="shared" si="7"/>
        <v/>
      </c>
      <c r="T53" s="96">
        <f>H53*[1]!FMainPool1Fee+I53*[1]!FMainPool2Fee+J53*[1]!FMainPool3Fee+K53*[1]!FMainPool4Fee+B53*[1]!FMainEntryFee</f>
        <v>0</v>
      </c>
      <c r="U53" s="51"/>
      <c r="V53" s="110"/>
    </row>
    <row r="54" spans="1:22" x14ac:dyDescent="0.25">
      <c r="A54" s="46">
        <f t="shared" si="1"/>
        <v>43</v>
      </c>
      <c r="B54" s="47"/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/>
      <c r="I54" s="47"/>
      <c r="J54" s="47"/>
      <c r="K54" s="47"/>
      <c r="L54" s="47"/>
      <c r="M54" s="47"/>
      <c r="N54" s="47"/>
      <c r="O54" s="94">
        <f t="shared" si="5"/>
        <v>0</v>
      </c>
      <c r="P54" s="47"/>
      <c r="Q54" s="47"/>
      <c r="R54" s="95" t="str">
        <f t="shared" si="6"/>
        <v/>
      </c>
      <c r="S54" s="95" t="str">
        <f t="shared" si="7"/>
        <v/>
      </c>
      <c r="T54" s="96">
        <f>H54*[1]!FMainPool1Fee+I54*[1]!FMainPool2Fee+J54*[1]!FMainPool3Fee+K54*[1]!FMainPool4Fee+B54*[1]!FMainEntryFee</f>
        <v>0</v>
      </c>
      <c r="U54" s="51"/>
      <c r="V54" s="110"/>
    </row>
    <row r="55" spans="1:22" x14ac:dyDescent="0.25">
      <c r="A55" s="46">
        <f t="shared" si="1"/>
        <v>44</v>
      </c>
      <c r="B55" s="47"/>
      <c r="C55" s="5" t="s">
        <v>352</v>
      </c>
      <c r="D55" s="5" t="s">
        <v>45</v>
      </c>
      <c r="E55" s="6" t="s">
        <v>353</v>
      </c>
      <c r="F55" s="117" t="s">
        <v>577</v>
      </c>
      <c r="G55" s="12" t="s">
        <v>578</v>
      </c>
      <c r="H55" s="49"/>
      <c r="I55" s="47"/>
      <c r="J55" s="47"/>
      <c r="K55" s="47"/>
      <c r="L55" s="47"/>
      <c r="M55" s="47"/>
      <c r="N55" s="47"/>
      <c r="O55" s="94">
        <f t="shared" si="5"/>
        <v>0</v>
      </c>
      <c r="P55" s="47"/>
      <c r="Q55" s="47"/>
      <c r="R55" s="95" t="str">
        <f t="shared" si="6"/>
        <v/>
      </c>
      <c r="S55" s="95" t="str">
        <f t="shared" si="7"/>
        <v/>
      </c>
      <c r="T55" s="96">
        <f>H55*[1]!FMainPool1Fee+I55*[1]!FMainPool2Fee+J55*[1]!FMainPool3Fee+K55*[1]!FMainPool4Fee+B55*[1]!FMainEntryFee</f>
        <v>0</v>
      </c>
      <c r="U55" s="51"/>
      <c r="V55" s="10"/>
    </row>
    <row r="56" spans="1:22" x14ac:dyDescent="0.25">
      <c r="A56" s="46">
        <f t="shared" si="1"/>
        <v>45</v>
      </c>
      <c r="B56" s="47"/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/>
      <c r="Q56" s="47"/>
      <c r="R56" s="95" t="str">
        <f t="shared" si="6"/>
        <v/>
      </c>
      <c r="S56" s="95" t="str">
        <f t="shared" si="7"/>
        <v/>
      </c>
      <c r="T56" s="96">
        <f>H56*[1]!FMainPool1Fee+I56*[1]!FMainPool2Fee+J56*[1]!FMainPool3Fee+K56*[1]!FMainPool4Fee+B56*[1]!FMainEntryFee</f>
        <v>0</v>
      </c>
      <c r="U56" s="51"/>
      <c r="V56" s="110"/>
    </row>
    <row r="57" spans="1:22" x14ac:dyDescent="0.25">
      <c r="A57" s="46">
        <f t="shared" si="1"/>
        <v>46</v>
      </c>
      <c r="B57" s="47"/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/>
      <c r="I57" s="47"/>
      <c r="J57" s="47"/>
      <c r="K57" s="47"/>
      <c r="L57" s="47"/>
      <c r="M57" s="47"/>
      <c r="N57" s="47"/>
      <c r="O57" s="94">
        <f t="shared" si="5"/>
        <v>0</v>
      </c>
      <c r="P57" s="47"/>
      <c r="Q57" s="47"/>
      <c r="R57" s="95" t="str">
        <f t="shared" si="6"/>
        <v/>
      </c>
      <c r="S57" s="95" t="str">
        <f t="shared" si="7"/>
        <v/>
      </c>
      <c r="T57" s="96">
        <f>H57*[1]!FMainPool1Fee+I57*[1]!FMainPool2Fee+J57*[1]!FMainPool3Fee+K57*[1]!FMainPool4Fee+B57*[1]!FMainEntryFee</f>
        <v>0</v>
      </c>
      <c r="U57" s="51"/>
      <c r="V57" s="106"/>
    </row>
    <row r="58" spans="1:22" x14ac:dyDescent="0.25">
      <c r="A58" s="46">
        <f t="shared" si="1"/>
        <v>47</v>
      </c>
      <c r="B58" s="47"/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/>
      <c r="I58" s="47"/>
      <c r="J58" s="47"/>
      <c r="K58" s="47"/>
      <c r="L58" s="47"/>
      <c r="M58" s="47"/>
      <c r="N58" s="47"/>
      <c r="O58" s="94">
        <f t="shared" si="5"/>
        <v>0</v>
      </c>
      <c r="P58" s="47"/>
      <c r="Q58" s="47"/>
      <c r="R58" s="95" t="str">
        <f t="shared" si="6"/>
        <v/>
      </c>
      <c r="S58" s="95" t="str">
        <f t="shared" si="7"/>
        <v/>
      </c>
      <c r="T58" s="96">
        <f>H58*[1]!FMainPool1Fee+I58*[1]!FMainPool2Fee+J58*[1]!FMainPool3Fee+K58*[1]!FMainPool4Fee+B58*[1]!FMainEntryFee</f>
        <v>0</v>
      </c>
      <c r="U58" s="51"/>
      <c r="V58" s="110"/>
    </row>
    <row r="59" spans="1:22" x14ac:dyDescent="0.25">
      <c r="A59" s="46">
        <f t="shared" si="1"/>
        <v>48</v>
      </c>
      <c r="B59" s="47"/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/>
      <c r="I59" s="47"/>
      <c r="J59" s="47"/>
      <c r="K59" s="47"/>
      <c r="L59" s="47"/>
      <c r="M59" s="47"/>
      <c r="N59" s="47"/>
      <c r="O59" s="94">
        <f t="shared" si="5"/>
        <v>0</v>
      </c>
      <c r="P59" s="47"/>
      <c r="Q59" s="47"/>
      <c r="R59" s="95" t="str">
        <f t="shared" si="6"/>
        <v/>
      </c>
      <c r="S59" s="95" t="str">
        <f t="shared" si="7"/>
        <v/>
      </c>
      <c r="T59" s="96">
        <f>H59*[1]!FMainPool1Fee+I59*[1]!FMainPool2Fee+J59*[1]!FMainPool3Fee+K59*[1]!FMainPool4Fee+B59*[1]!FMainEntryFee</f>
        <v>0</v>
      </c>
      <c r="U59" s="51"/>
      <c r="V59" s="110"/>
    </row>
    <row r="60" spans="1:22" x14ac:dyDescent="0.25">
      <c r="A60" s="46">
        <f t="shared" si="1"/>
        <v>49</v>
      </c>
      <c r="B60" s="47"/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/>
      <c r="I60" s="47"/>
      <c r="J60" s="47"/>
      <c r="K60" s="47"/>
      <c r="L60" s="47"/>
      <c r="M60" s="47"/>
      <c r="N60" s="47"/>
      <c r="O60" s="94">
        <f t="shared" si="5"/>
        <v>0</v>
      </c>
      <c r="P60" s="47"/>
      <c r="Q60" s="47"/>
      <c r="R60" s="95" t="str">
        <f t="shared" si="6"/>
        <v/>
      </c>
      <c r="S60" s="95" t="str">
        <f t="shared" si="7"/>
        <v/>
      </c>
      <c r="T60" s="96">
        <f>H60*[1]!FMainPool1Fee+I60*[1]!FMainPool2Fee+J60*[1]!FMainPool3Fee+K60*[1]!FMainPool4Fee+B60*[1]!FMainEntryFee</f>
        <v>0</v>
      </c>
      <c r="U60" s="51"/>
      <c r="V60" s="110"/>
    </row>
    <row r="61" spans="1:22" x14ac:dyDescent="0.25">
      <c r="A61" s="46">
        <f t="shared" si="1"/>
        <v>50</v>
      </c>
      <c r="B61" s="47"/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800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/>
      <c r="Q61" s="47"/>
      <c r="R61" s="95" t="str">
        <f t="shared" si="6"/>
        <v/>
      </c>
      <c r="S61" s="95" t="str">
        <f t="shared" si="7"/>
        <v/>
      </c>
      <c r="T61" s="96">
        <f>H61*[1]!FMainPool1Fee+I61*[1]!FMainPool2Fee+J61*[1]!FMainPool3Fee+K61*[1]!FMainPool4Fee+B61*[1]!FMainEntryFee</f>
        <v>0</v>
      </c>
      <c r="U61" s="51"/>
      <c r="V61" s="110"/>
    </row>
    <row r="62" spans="1:22" x14ac:dyDescent="0.25">
      <c r="A62" s="46">
        <f t="shared" si="1"/>
        <v>51</v>
      </c>
      <c r="B62" s="47"/>
      <c r="C62" s="5" t="s">
        <v>801</v>
      </c>
      <c r="D62" s="5" t="s">
        <v>802</v>
      </c>
      <c r="E62" s="6" t="s">
        <v>803</v>
      </c>
      <c r="F62" s="61">
        <v>4178488838</v>
      </c>
      <c r="G62" s="57" t="s">
        <v>804</v>
      </c>
      <c r="H62" s="49"/>
      <c r="I62" s="47"/>
      <c r="J62" s="47"/>
      <c r="K62" s="47"/>
      <c r="L62" s="47"/>
      <c r="M62" s="47"/>
      <c r="N62" s="47"/>
      <c r="O62" s="94">
        <f t="shared" si="5"/>
        <v>0</v>
      </c>
      <c r="P62" s="47"/>
      <c r="Q62" s="47"/>
      <c r="R62" s="95" t="str">
        <f t="shared" si="6"/>
        <v/>
      </c>
      <c r="S62" s="95" t="str">
        <f t="shared" si="7"/>
        <v/>
      </c>
      <c r="T62" s="96">
        <f>H62*[1]!FMainPool1Fee+I62*[1]!FMainPool2Fee+J62*[1]!FMainPool3Fee+K62*[1]!FMainPool4Fee+B62*[1]!FMainEntryFee</f>
        <v>0</v>
      </c>
      <c r="U62" s="51"/>
      <c r="V62" s="10"/>
    </row>
    <row r="63" spans="1:22" x14ac:dyDescent="0.25">
      <c r="A63" s="46">
        <f t="shared" si="1"/>
        <v>52</v>
      </c>
      <c r="B63" s="47"/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/>
      <c r="I63" s="47"/>
      <c r="J63" s="47"/>
      <c r="K63" s="47"/>
      <c r="L63" s="47"/>
      <c r="M63" s="47"/>
      <c r="N63" s="47"/>
      <c r="O63" s="94">
        <f t="shared" si="5"/>
        <v>0</v>
      </c>
      <c r="P63" s="47"/>
      <c r="Q63" s="47"/>
      <c r="R63" s="95" t="str">
        <f t="shared" si="6"/>
        <v/>
      </c>
      <c r="S63" s="95" t="str">
        <f t="shared" si="7"/>
        <v/>
      </c>
      <c r="T63" s="96">
        <f>H63*[1]!FMainPool1Fee+I63*[1]!FMainPool2Fee+J63*[1]!FMainPool3Fee+K63*[1]!FMainPool4Fee+B63*[1]!FMainEntryFee</f>
        <v>0</v>
      </c>
      <c r="U63" s="51"/>
      <c r="V63" s="110"/>
    </row>
    <row r="64" spans="1:22" x14ac:dyDescent="0.25">
      <c r="A64" s="46">
        <f t="shared" si="1"/>
        <v>53</v>
      </c>
      <c r="B64" s="47"/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/>
      <c r="I64" s="47"/>
      <c r="J64" s="47"/>
      <c r="K64" s="47"/>
      <c r="L64" s="47"/>
      <c r="M64" s="47"/>
      <c r="N64" s="47"/>
      <c r="O64" s="94">
        <f t="shared" si="5"/>
        <v>0</v>
      </c>
      <c r="P64" s="47"/>
      <c r="Q64" s="47"/>
      <c r="R64" s="95" t="str">
        <f t="shared" si="6"/>
        <v/>
      </c>
      <c r="S64" s="95" t="str">
        <f t="shared" si="7"/>
        <v/>
      </c>
      <c r="T64" s="96">
        <f>H64*[1]!FMainPool1Fee+I64*[1]!FMainPool2Fee+J64*[1]!FMainPool3Fee+K64*[1]!FMainPool4Fee+B64*[1]!FMainEntryFee</f>
        <v>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754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/>
      <c r="Q65" s="47"/>
      <c r="R65" s="95" t="str">
        <f t="shared" si="6"/>
        <v/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/>
      <c r="Q66" s="47"/>
      <c r="R66" s="95" t="str">
        <f t="shared" si="6"/>
        <v/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/>
      <c r="Q67" s="47"/>
      <c r="R67" s="95" t="str">
        <f t="shared" si="6"/>
        <v/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/>
      <c r="Q68" s="47"/>
      <c r="R68" s="95" t="str">
        <f t="shared" si="6"/>
        <v/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/>
      <c r="Q69" s="47"/>
      <c r="R69" s="95" t="str">
        <f t="shared" si="6"/>
        <v/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/>
      <c r="Q70" s="47"/>
      <c r="R70" s="95" t="str">
        <f t="shared" si="6"/>
        <v/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/>
      <c r="Q71" s="47"/>
      <c r="R71" s="95" t="str">
        <f t="shared" si="6"/>
        <v/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/>
      <c r="Q72" s="47"/>
      <c r="R72" s="95" t="str">
        <f t="shared" si="6"/>
        <v/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/>
      <c r="Q73" s="47"/>
      <c r="R73" s="95" t="str">
        <f t="shared" si="6"/>
        <v/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5"/>
        <v>0</v>
      </c>
      <c r="P74" s="47"/>
      <c r="Q74" s="47"/>
      <c r="R74" s="95" t="str">
        <f t="shared" si="6"/>
        <v/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 t="shared" si="5"/>
        <v>0</v>
      </c>
      <c r="P75" s="47"/>
      <c r="Q75" s="47"/>
      <c r="R75" s="95" t="str">
        <f t="shared" si="6"/>
        <v/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8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ref="O76:O85" si="9">T76*N76</f>
        <v>0</v>
      </c>
      <c r="P76" s="47"/>
      <c r="Q76" s="47"/>
      <c r="R76" s="95" t="str">
        <f t="shared" ref="R76:R107" si="10">IF(OR(P76="c",P76="C"),+T76,"")</f>
        <v/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8"/>
        <v>66</v>
      </c>
      <c r="B77" s="47"/>
      <c r="C77" s="15" t="s">
        <v>645</v>
      </c>
      <c r="D77" s="15" t="s">
        <v>39</v>
      </c>
      <c r="E77" s="10" t="s">
        <v>646</v>
      </c>
      <c r="F77" s="117"/>
      <c r="G77" s="15"/>
      <c r="H77" s="49"/>
      <c r="I77" s="47"/>
      <c r="J77" s="47"/>
      <c r="K77" s="47"/>
      <c r="L77" s="47"/>
      <c r="M77" s="47"/>
      <c r="N77" s="47"/>
      <c r="O77" s="94">
        <f t="shared" si="9"/>
        <v>0</v>
      </c>
      <c r="P77" s="47"/>
      <c r="Q77" s="47"/>
      <c r="R77" s="95" t="str">
        <f t="shared" si="10"/>
        <v/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8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si="9"/>
        <v>0</v>
      </c>
      <c r="P78" s="47"/>
      <c r="Q78" s="47"/>
      <c r="R78" s="95" t="str">
        <f t="shared" si="10"/>
        <v/>
      </c>
      <c r="S78" s="95" t="str">
        <f t="shared" si="11"/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8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9"/>
        <v>0</v>
      </c>
      <c r="P79" s="47"/>
      <c r="Q79" s="47"/>
      <c r="R79" s="95" t="str">
        <f t="shared" si="10"/>
        <v/>
      </c>
      <c r="S79" s="95" t="str">
        <f t="shared" si="11"/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8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9"/>
        <v>0</v>
      </c>
      <c r="P80" s="47"/>
      <c r="Q80" s="47"/>
      <c r="R80" s="95" t="str">
        <f t="shared" si="10"/>
        <v/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8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 t="shared" si="9"/>
        <v>0</v>
      </c>
      <c r="P81" s="47"/>
      <c r="Q81" s="47"/>
      <c r="R81" s="95" t="str">
        <f t="shared" si="10"/>
        <v/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8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9"/>
        <v>0</v>
      </c>
      <c r="P82" s="47"/>
      <c r="Q82" s="47"/>
      <c r="R82" s="95" t="str">
        <f t="shared" si="10"/>
        <v/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8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9"/>
        <v>0</v>
      </c>
      <c r="P83" s="47"/>
      <c r="Q83" s="47"/>
      <c r="R83" s="95" t="str">
        <f t="shared" si="10"/>
        <v/>
      </c>
      <c r="S83" s="95" t="str">
        <f t="shared" si="11"/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8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9"/>
        <v>0</v>
      </c>
      <c r="P84" s="47"/>
      <c r="Q84" s="47"/>
      <c r="R84" s="95" t="str">
        <f t="shared" si="10"/>
        <v/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8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9"/>
        <v>0</v>
      </c>
      <c r="P85" s="47"/>
      <c r="Q85" s="47"/>
      <c r="R85" s="95" t="str">
        <f t="shared" si="10"/>
        <v/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8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/>
      <c r="Q86" s="47"/>
      <c r="R86" s="95" t="str">
        <f t="shared" si="10"/>
        <v/>
      </c>
      <c r="S86" s="95" t="str">
        <f t="shared" si="11"/>
        <v/>
      </c>
      <c r="T86" s="96"/>
      <c r="U86" s="51"/>
      <c r="V86" s="110" t="s">
        <v>767</v>
      </c>
    </row>
    <row r="87" spans="1:22" x14ac:dyDescent="0.25">
      <c r="A87" s="46">
        <f t="shared" si="8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2">T87*N87</f>
        <v>0</v>
      </c>
      <c r="P87" s="47"/>
      <c r="Q87" s="47"/>
      <c r="R87" s="95" t="str">
        <f t="shared" si="10"/>
        <v/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8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2"/>
        <v>0</v>
      </c>
      <c r="P88" s="47"/>
      <c r="Q88" s="47"/>
      <c r="R88" s="95" t="str">
        <f t="shared" si="10"/>
        <v/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8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 t="shared" si="12"/>
        <v>0</v>
      </c>
      <c r="P89" s="47"/>
      <c r="Q89" s="47"/>
      <c r="R89" s="95" t="str">
        <f t="shared" si="10"/>
        <v/>
      </c>
      <c r="S89" s="95" t="str">
        <f t="shared" si="11"/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8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2"/>
        <v>0</v>
      </c>
      <c r="P90" s="47"/>
      <c r="Q90" s="47"/>
      <c r="R90" s="95" t="str">
        <f t="shared" si="10"/>
        <v/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8"/>
        <v>80</v>
      </c>
      <c r="B91" s="47"/>
      <c r="C91" s="7" t="s">
        <v>77</v>
      </c>
      <c r="D91" s="7" t="s">
        <v>78</v>
      </c>
      <c r="E91" s="9" t="s">
        <v>79</v>
      </c>
      <c r="F91" s="117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2"/>
        <v>0</v>
      </c>
      <c r="P91" s="47"/>
      <c r="Q91" s="47"/>
      <c r="R91" s="95" t="str">
        <f t="shared" si="10"/>
        <v/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8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 t="shared" si="12"/>
        <v>0</v>
      </c>
      <c r="P92" s="47"/>
      <c r="Q92" s="47"/>
      <c r="R92" s="95" t="str">
        <f t="shared" si="10"/>
        <v/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8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2"/>
        <v>0</v>
      </c>
      <c r="P93" s="47"/>
      <c r="Q93" s="47"/>
      <c r="R93" s="95" t="str">
        <f t="shared" si="10"/>
        <v/>
      </c>
      <c r="S93" s="95" t="str">
        <f t="shared" si="11"/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8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2"/>
        <v>0</v>
      </c>
      <c r="P94" s="47"/>
      <c r="Q94" s="47"/>
      <c r="R94" s="95" t="str">
        <f t="shared" si="10"/>
        <v/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8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2"/>
        <v>0</v>
      </c>
      <c r="P95" s="47"/>
      <c r="Q95" s="47"/>
      <c r="R95" s="95" t="str">
        <f t="shared" si="10"/>
        <v/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8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2"/>
        <v>0</v>
      </c>
      <c r="P96" s="47"/>
      <c r="Q96" s="47"/>
      <c r="R96" s="95" t="str">
        <f t="shared" si="10"/>
        <v/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8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2"/>
        <v>0</v>
      </c>
      <c r="P97" s="47"/>
      <c r="Q97" s="47"/>
      <c r="R97" s="95" t="str">
        <f t="shared" si="10"/>
        <v/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8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2"/>
        <v>0</v>
      </c>
      <c r="P98" s="47"/>
      <c r="Q98" s="47"/>
      <c r="R98" s="95" t="str">
        <f t="shared" si="10"/>
        <v/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8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2"/>
        <v>0</v>
      </c>
      <c r="P99" s="47"/>
      <c r="Q99" s="47"/>
      <c r="R99" s="95" t="str">
        <f t="shared" si="10"/>
        <v/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8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2"/>
        <v>0</v>
      </c>
      <c r="P100" s="47"/>
      <c r="Q100" s="47"/>
      <c r="R100" s="95" t="str">
        <f t="shared" si="10"/>
        <v/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8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2"/>
        <v>0</v>
      </c>
      <c r="P101" s="47"/>
      <c r="Q101" s="47"/>
      <c r="R101" s="95" t="str">
        <f t="shared" si="10"/>
        <v/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8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 t="shared" si="12"/>
        <v>0</v>
      </c>
      <c r="P102" s="47"/>
      <c r="Q102" s="47"/>
      <c r="R102" s="95" t="str">
        <f t="shared" si="10"/>
        <v/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8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 t="shared" si="12"/>
        <v>0</v>
      </c>
      <c r="P103" s="47"/>
      <c r="Q103" s="47"/>
      <c r="R103" s="95" t="str">
        <f t="shared" si="10"/>
        <v/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8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 t="shared" si="12"/>
        <v>0</v>
      </c>
      <c r="P104" s="47"/>
      <c r="Q104" s="47"/>
      <c r="R104" s="95" t="str">
        <f t="shared" si="10"/>
        <v/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8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 t="shared" si="12"/>
        <v>0</v>
      </c>
      <c r="P105" s="47"/>
      <c r="Q105" s="47"/>
      <c r="R105" s="95" t="str">
        <f t="shared" si="10"/>
        <v/>
      </c>
      <c r="S105" s="95" t="str">
        <f t="shared" si="11"/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8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 t="shared" si="12"/>
        <v>0</v>
      </c>
      <c r="P106" s="47"/>
      <c r="Q106" s="47"/>
      <c r="R106" s="95" t="str">
        <f t="shared" si="10"/>
        <v/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8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/>
      <c r="Q107" s="47"/>
      <c r="R107" s="95" t="str">
        <f t="shared" si="10"/>
        <v/>
      </c>
      <c r="S107" s="95" t="str">
        <f t="shared" si="11"/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8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/>
      <c r="Q108" s="47"/>
      <c r="R108" s="95" t="str">
        <f t="shared" ref="R108:R139" si="13">IF(OR(P108="c",P108="C"),+T108,"")</f>
        <v/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8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/>
      <c r="Q109" s="47"/>
      <c r="R109" s="95" t="str">
        <f t="shared" si="13"/>
        <v/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8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/>
      <c r="Q110" s="47"/>
      <c r="R110" s="95" t="str">
        <f t="shared" si="13"/>
        <v/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8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/>
      <c r="Q111" s="47"/>
      <c r="R111" s="95" t="str">
        <f t="shared" si="13"/>
        <v/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8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/>
      <c r="Q112" s="47"/>
      <c r="R112" s="95" t="str">
        <f t="shared" si="13"/>
        <v/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8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 t="shared" si="12"/>
        <v>0</v>
      </c>
      <c r="P113" s="47"/>
      <c r="Q113" s="47"/>
      <c r="R113" s="95" t="str">
        <f t="shared" si="13"/>
        <v/>
      </c>
      <c r="S113" s="95" t="str">
        <f t="shared" si="14"/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758</v>
      </c>
    </row>
    <row r="114" spans="1:22" x14ac:dyDescent="0.25">
      <c r="A114" s="46">
        <f t="shared" si="8"/>
        <v>103</v>
      </c>
      <c r="B114" s="47"/>
      <c r="C114" s="15" t="s">
        <v>654</v>
      </c>
      <c r="D114" s="15" t="s">
        <v>45</v>
      </c>
      <c r="E114" s="10" t="s">
        <v>655</v>
      </c>
      <c r="F114" s="117"/>
      <c r="G114" s="15"/>
      <c r="H114" s="49"/>
      <c r="I114" s="47"/>
      <c r="J114" s="47"/>
      <c r="K114" s="47"/>
      <c r="L114" s="47"/>
      <c r="M114" s="47"/>
      <c r="N114" s="47"/>
      <c r="O114" s="94">
        <f t="shared" si="12"/>
        <v>0</v>
      </c>
      <c r="P114" s="47"/>
      <c r="Q114" s="47"/>
      <c r="R114" s="95" t="str">
        <f t="shared" si="13"/>
        <v/>
      </c>
      <c r="S114" s="95" t="str">
        <f t="shared" si="14"/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8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 t="shared" si="12"/>
        <v>0</v>
      </c>
      <c r="P115" s="47"/>
      <c r="Q115" s="47"/>
      <c r="R115" s="95" t="str">
        <f t="shared" si="13"/>
        <v/>
      </c>
      <c r="S115" s="95" t="str">
        <f t="shared" si="14"/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8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/>
      <c r="Q116" s="47"/>
      <c r="R116" s="95" t="str">
        <f t="shared" si="13"/>
        <v/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8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 t="shared" si="12"/>
        <v>0</v>
      </c>
      <c r="P117" s="47"/>
      <c r="Q117" s="47"/>
      <c r="R117" s="95" t="str">
        <f t="shared" si="13"/>
        <v/>
      </c>
      <c r="S117" s="95" t="str">
        <f t="shared" si="14"/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8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/>
      <c r="Q118" s="47"/>
      <c r="R118" s="95" t="str">
        <f t="shared" si="13"/>
        <v/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8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 t="shared" ref="O119:O150" si="15">T119*N119</f>
        <v>0</v>
      </c>
      <c r="P119" s="47"/>
      <c r="Q119" s="47"/>
      <c r="R119" s="95" t="str">
        <f t="shared" si="13"/>
        <v/>
      </c>
      <c r="S119" s="95" t="str">
        <f t="shared" si="14"/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8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 t="shared" si="15"/>
        <v>0</v>
      </c>
      <c r="P120" s="47"/>
      <c r="Q120" s="47"/>
      <c r="R120" s="95" t="str">
        <f t="shared" si="13"/>
        <v/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8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5"/>
        <v>0</v>
      </c>
      <c r="P121" s="47"/>
      <c r="Q121" s="47"/>
      <c r="R121" s="95" t="str">
        <f t="shared" si="13"/>
        <v/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8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 t="shared" si="15"/>
        <v>0</v>
      </c>
      <c r="P122" s="47"/>
      <c r="Q122" s="47"/>
      <c r="R122" s="95" t="str">
        <f t="shared" si="13"/>
        <v/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8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 t="shared" si="15"/>
        <v>0</v>
      </c>
      <c r="P123" s="47"/>
      <c r="Q123" s="47"/>
      <c r="R123" s="95" t="str">
        <f t="shared" si="13"/>
        <v/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8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 t="shared" si="15"/>
        <v>0</v>
      </c>
      <c r="P124" s="47"/>
      <c r="Q124" s="47"/>
      <c r="R124" s="95" t="str">
        <f t="shared" si="13"/>
        <v/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8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 t="shared" si="15"/>
        <v>0</v>
      </c>
      <c r="P125" s="47"/>
      <c r="Q125" s="47"/>
      <c r="R125" s="95" t="str">
        <f t="shared" si="13"/>
        <v/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8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 t="shared" si="15"/>
        <v>0</v>
      </c>
      <c r="P126" s="47"/>
      <c r="Q126" s="47"/>
      <c r="R126" s="95" t="str">
        <f t="shared" si="13"/>
        <v/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8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 t="shared" si="15"/>
        <v>0</v>
      </c>
      <c r="P127" s="47"/>
      <c r="Q127" s="47"/>
      <c r="R127" s="95" t="str">
        <f t="shared" si="13"/>
        <v/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8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 t="shared" si="15"/>
        <v>0</v>
      </c>
      <c r="P128" s="47"/>
      <c r="Q128" s="47"/>
      <c r="R128" s="95" t="str">
        <f t="shared" si="13"/>
        <v/>
      </c>
      <c r="S128" s="95" t="str">
        <f t="shared" si="14"/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776</v>
      </c>
    </row>
    <row r="129" spans="1:22" x14ac:dyDescent="0.25">
      <c r="A129" s="46">
        <f t="shared" si="8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 t="shared" si="15"/>
        <v>0</v>
      </c>
      <c r="P129" s="47"/>
      <c r="Q129" s="47"/>
      <c r="R129" s="95" t="str">
        <f t="shared" si="13"/>
        <v/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777</v>
      </c>
    </row>
    <row r="130" spans="1:22" x14ac:dyDescent="0.25">
      <c r="A130" s="46">
        <f t="shared" si="8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 t="shared" si="15"/>
        <v>0</v>
      </c>
      <c r="P130" s="47"/>
      <c r="Q130" s="47"/>
      <c r="R130" s="95" t="str">
        <f t="shared" si="13"/>
        <v/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8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 t="shared" si="15"/>
        <v>0</v>
      </c>
      <c r="P131" s="47"/>
      <c r="Q131" s="47"/>
      <c r="R131" s="95" t="str">
        <f t="shared" si="13"/>
        <v/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8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 t="shared" si="15"/>
        <v>0</v>
      </c>
      <c r="P132" s="47"/>
      <c r="Q132" s="47"/>
      <c r="R132" s="95" t="str">
        <f t="shared" si="13"/>
        <v/>
      </c>
      <c r="S132" s="95" t="str">
        <f t="shared" si="14"/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758</v>
      </c>
    </row>
    <row r="133" spans="1:22" x14ac:dyDescent="0.25">
      <c r="A133" s="46">
        <f t="shared" si="8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 t="shared" si="15"/>
        <v>0</v>
      </c>
      <c r="P133" s="47"/>
      <c r="Q133" s="47"/>
      <c r="R133" s="95" t="str">
        <f t="shared" si="13"/>
        <v/>
      </c>
      <c r="S133" s="95" t="str">
        <f t="shared" si="14"/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8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 t="shared" si="15"/>
        <v>0</v>
      </c>
      <c r="P134" s="47"/>
      <c r="Q134" s="47"/>
      <c r="R134" s="95" t="str">
        <f t="shared" si="13"/>
        <v/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8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 t="shared" si="15"/>
        <v>0</v>
      </c>
      <c r="P135" s="47"/>
      <c r="Q135" s="47"/>
      <c r="R135" s="95" t="str">
        <f t="shared" si="13"/>
        <v/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8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 t="shared" si="15"/>
        <v>0</v>
      </c>
      <c r="P136" s="47"/>
      <c r="Q136" s="47"/>
      <c r="R136" s="95" t="str">
        <f t="shared" si="13"/>
        <v/>
      </c>
      <c r="S136" s="95" t="str">
        <f t="shared" si="14"/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8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 t="shared" si="15"/>
        <v>0</v>
      </c>
      <c r="P137" s="47"/>
      <c r="Q137" s="47"/>
      <c r="R137" s="95" t="str">
        <f t="shared" si="13"/>
        <v/>
      </c>
      <c r="S137" s="95" t="str">
        <f t="shared" si="14"/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8"/>
        <v>127</v>
      </c>
      <c r="B138" s="47"/>
      <c r="C138" s="7" t="s">
        <v>771</v>
      </c>
      <c r="D138" s="7" t="s">
        <v>772</v>
      </c>
      <c r="E138" s="10" t="s">
        <v>773</v>
      </c>
      <c r="F138" s="10" t="s">
        <v>774</v>
      </c>
      <c r="G138" s="15" t="s">
        <v>775</v>
      </c>
      <c r="H138" s="49"/>
      <c r="I138" s="47"/>
      <c r="J138" s="47"/>
      <c r="K138" s="47"/>
      <c r="L138" s="47"/>
      <c r="M138" s="47"/>
      <c r="N138" s="47"/>
      <c r="O138" s="94">
        <f t="shared" si="15"/>
        <v>0</v>
      </c>
      <c r="P138" s="47"/>
      <c r="Q138" s="47"/>
      <c r="R138" s="95" t="str">
        <f t="shared" si="13"/>
        <v/>
      </c>
      <c r="S138" s="95" t="str">
        <f t="shared" si="14"/>
        <v/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8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/>
      <c r="Q139" s="47"/>
      <c r="R139" s="95" t="str">
        <f t="shared" si="13"/>
        <v/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16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17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/>
      <c r="Q140" s="47"/>
      <c r="R140" s="95" t="str">
        <f t="shared" ref="R140:R171" si="17">IF(OR(P140="c",P140="C"),+T140,"")</f>
        <v/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16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5"/>
        <v>0</v>
      </c>
      <c r="P141" s="47"/>
      <c r="Q141" s="47"/>
      <c r="R141" s="95" t="str">
        <f t="shared" si="17"/>
        <v/>
      </c>
      <c r="S141" s="95" t="str">
        <f t="shared" si="18"/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779</v>
      </c>
    </row>
    <row r="142" spans="1:22" x14ac:dyDescent="0.25">
      <c r="A142" s="46">
        <f t="shared" si="16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/>
      <c r="Q142" s="47"/>
      <c r="R142" s="95" t="str">
        <f t="shared" si="17"/>
        <v/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16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/>
      <c r="Q143" s="47"/>
      <c r="R143" s="95" t="str">
        <f t="shared" si="17"/>
        <v/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16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/>
      <c r="Q144" s="47"/>
      <c r="R144" s="95" t="str">
        <f t="shared" si="17"/>
        <v/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16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 t="shared" si="15"/>
        <v>0</v>
      </c>
      <c r="P145" s="47"/>
      <c r="Q145" s="47"/>
      <c r="R145" s="95" t="str">
        <f t="shared" si="17"/>
        <v/>
      </c>
      <c r="S145" s="95" t="str">
        <f t="shared" si="18"/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16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 t="shared" si="15"/>
        <v>0</v>
      </c>
      <c r="P146" s="47"/>
      <c r="Q146" s="47"/>
      <c r="R146" s="95" t="str">
        <f t="shared" si="17"/>
        <v/>
      </c>
      <c r="S146" s="95" t="str">
        <f t="shared" si="18"/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16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/>
      <c r="Q147" s="47"/>
      <c r="R147" s="95" t="str">
        <f t="shared" si="17"/>
        <v/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16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/>
      <c r="Q148" s="47"/>
      <c r="R148" s="95" t="str">
        <f t="shared" si="17"/>
        <v/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16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/>
      <c r="Q149" s="47"/>
      <c r="R149" s="95" t="str">
        <f t="shared" si="17"/>
        <v/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16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/>
      <c r="Q150" s="47"/>
      <c r="R150" s="95" t="str">
        <f t="shared" si="17"/>
        <v/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16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 t="shared" ref="O151:O182" si="19">T151*N151</f>
        <v>0</v>
      </c>
      <c r="P151" s="47"/>
      <c r="Q151" s="47"/>
      <c r="R151" s="95" t="str">
        <f t="shared" si="17"/>
        <v/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16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 t="shared" si="19"/>
        <v>0</v>
      </c>
      <c r="P152" s="47"/>
      <c r="Q152" s="47"/>
      <c r="R152" s="95" t="str">
        <f t="shared" si="17"/>
        <v/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16"/>
        <v>142</v>
      </c>
      <c r="B153" s="47"/>
      <c r="C153" s="5" t="s">
        <v>257</v>
      </c>
      <c r="D153" s="5" t="s">
        <v>255</v>
      </c>
      <c r="E153" s="6" t="s">
        <v>258</v>
      </c>
      <c r="F153" s="117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 t="shared" si="19"/>
        <v>0</v>
      </c>
      <c r="P153" s="47"/>
      <c r="Q153" s="47"/>
      <c r="R153" s="95" t="str">
        <f t="shared" si="17"/>
        <v/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16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 t="shared" si="19"/>
        <v>0</v>
      </c>
      <c r="P154" s="47"/>
      <c r="Q154" s="47"/>
      <c r="R154" s="95" t="str">
        <f t="shared" si="17"/>
        <v/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16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 t="shared" si="19"/>
        <v>0</v>
      </c>
      <c r="P155" s="47"/>
      <c r="Q155" s="47"/>
      <c r="R155" s="95" t="str">
        <f t="shared" si="17"/>
        <v/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16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 t="shared" si="19"/>
        <v>0</v>
      </c>
      <c r="P156" s="47"/>
      <c r="Q156" s="47"/>
      <c r="R156" s="95" t="str">
        <f t="shared" si="17"/>
        <v/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16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 t="shared" si="19"/>
        <v>0</v>
      </c>
      <c r="P157" s="47"/>
      <c r="Q157" s="47"/>
      <c r="R157" s="95" t="str">
        <f t="shared" si="17"/>
        <v/>
      </c>
      <c r="S157" s="95" t="str">
        <f t="shared" si="18"/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16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 t="shared" si="19"/>
        <v>0</v>
      </c>
      <c r="P158" s="47"/>
      <c r="Q158" s="47"/>
      <c r="R158" s="95" t="str">
        <f t="shared" si="17"/>
        <v/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16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 t="shared" si="19"/>
        <v>0</v>
      </c>
      <c r="P159" s="47"/>
      <c r="Q159" s="47"/>
      <c r="R159" s="95" t="str">
        <f t="shared" si="17"/>
        <v/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16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90" t="s">
        <v>547</v>
      </c>
      <c r="H160" s="49"/>
      <c r="I160" s="47"/>
      <c r="J160" s="47"/>
      <c r="K160" s="47"/>
      <c r="L160" s="47"/>
      <c r="M160" s="47"/>
      <c r="N160" s="47"/>
      <c r="O160" s="94">
        <f t="shared" si="19"/>
        <v>0</v>
      </c>
      <c r="P160" s="47"/>
      <c r="Q160" s="47"/>
      <c r="R160" s="95" t="str">
        <f t="shared" si="17"/>
        <v/>
      </c>
      <c r="S160" s="95" t="str">
        <f t="shared" si="18"/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16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 t="shared" si="19"/>
        <v>0</v>
      </c>
      <c r="P161" s="47"/>
      <c r="Q161" s="47"/>
      <c r="R161" s="95" t="str">
        <f t="shared" si="17"/>
        <v/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16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 t="shared" si="19"/>
        <v>0</v>
      </c>
      <c r="P162" s="47"/>
      <c r="Q162" s="47"/>
      <c r="R162" s="95" t="str">
        <f t="shared" si="17"/>
        <v/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16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 t="shared" si="19"/>
        <v>0</v>
      </c>
      <c r="P163" s="47"/>
      <c r="Q163" s="47"/>
      <c r="R163" s="95" t="str">
        <f t="shared" si="17"/>
        <v/>
      </c>
      <c r="S163" s="95" t="str">
        <f t="shared" si="18"/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16"/>
        <v>153</v>
      </c>
      <c r="B164" s="47"/>
      <c r="C164" s="5" t="s">
        <v>291</v>
      </c>
      <c r="D164" s="5" t="s">
        <v>255</v>
      </c>
      <c r="E164" s="6"/>
      <c r="F164" s="48"/>
      <c r="G164" s="90" t="s">
        <v>554</v>
      </c>
      <c r="H164" s="49"/>
      <c r="I164" s="47"/>
      <c r="J164" s="47"/>
      <c r="K164" s="47"/>
      <c r="L164" s="47"/>
      <c r="M164" s="47"/>
      <c r="N164" s="47"/>
      <c r="O164" s="94">
        <f t="shared" si="19"/>
        <v>0</v>
      </c>
      <c r="P164" s="47"/>
      <c r="Q164" s="47"/>
      <c r="R164" s="95" t="str">
        <f t="shared" si="17"/>
        <v/>
      </c>
      <c r="S164" s="95" t="str">
        <f t="shared" si="18"/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791</v>
      </c>
    </row>
    <row r="165" spans="1:22" x14ac:dyDescent="0.25">
      <c r="A165" s="46">
        <f t="shared" si="16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 t="shared" si="19"/>
        <v>0</v>
      </c>
      <c r="P165" s="47"/>
      <c r="Q165" s="47"/>
      <c r="R165" s="95" t="str">
        <f t="shared" si="17"/>
        <v/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16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 t="shared" si="19"/>
        <v>0</v>
      </c>
      <c r="P166" s="47"/>
      <c r="Q166" s="47"/>
      <c r="R166" s="95" t="str">
        <f t="shared" si="17"/>
        <v/>
      </c>
      <c r="S166" s="95" t="str">
        <f t="shared" si="18"/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16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 t="shared" si="19"/>
        <v>0</v>
      </c>
      <c r="P167" s="47"/>
      <c r="Q167" s="47"/>
      <c r="R167" s="95" t="str">
        <f t="shared" si="17"/>
        <v/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16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 t="shared" si="19"/>
        <v>0</v>
      </c>
      <c r="P168" s="47"/>
      <c r="Q168" s="47"/>
      <c r="R168" s="95" t="str">
        <f t="shared" si="17"/>
        <v/>
      </c>
      <c r="S168" s="95" t="str">
        <f t="shared" si="18"/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16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 t="shared" si="19"/>
        <v>0</v>
      </c>
      <c r="P169" s="47"/>
      <c r="Q169" s="47"/>
      <c r="R169" s="95" t="str">
        <f t="shared" si="17"/>
        <v/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792</v>
      </c>
    </row>
    <row r="170" spans="1:22" x14ac:dyDescent="0.25">
      <c r="A170" s="46">
        <f t="shared" si="16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 t="shared" si="19"/>
        <v>0</v>
      </c>
      <c r="P170" s="47"/>
      <c r="Q170" s="47"/>
      <c r="R170" s="95" t="str">
        <f t="shared" si="17"/>
        <v/>
      </c>
      <c r="S170" s="95" t="str">
        <f t="shared" si="18"/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793</v>
      </c>
    </row>
    <row r="171" spans="1:22" x14ac:dyDescent="0.25">
      <c r="A171" s="46">
        <f t="shared" si="16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 t="shared" si="19"/>
        <v>0</v>
      </c>
      <c r="P171" s="47"/>
      <c r="Q171" s="47"/>
      <c r="R171" s="95" t="str">
        <f t="shared" si="17"/>
        <v/>
      </c>
      <c r="S171" s="95" t="str">
        <f t="shared" si="18"/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16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/>
      <c r="Q172" s="47"/>
      <c r="R172" s="95" t="str">
        <f t="shared" ref="R172:R203" si="20">IF(OR(P172="c",P172="C"),+T172,"")</f>
        <v/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16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/>
      <c r="Q173" s="47"/>
      <c r="R173" s="95" t="str">
        <f t="shared" si="20"/>
        <v/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16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/>
      <c r="Q174" s="47"/>
      <c r="R174" s="95" t="str">
        <f t="shared" si="20"/>
        <v/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16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/>
      <c r="Q175" s="47"/>
      <c r="R175" s="95" t="str">
        <f t="shared" si="20"/>
        <v/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16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/>
      <c r="Q176" s="47"/>
      <c r="R176" s="95" t="str">
        <f t="shared" si="20"/>
        <v/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16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/>
      <c r="Q177" s="47"/>
      <c r="R177" s="95" t="str">
        <f t="shared" si="20"/>
        <v/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16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/>
      <c r="Q178" s="47"/>
      <c r="R178" s="95" t="str">
        <f t="shared" si="20"/>
        <v/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16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 t="shared" si="19"/>
        <v>0</v>
      </c>
      <c r="P179" s="47"/>
      <c r="Q179" s="47"/>
      <c r="R179" s="95" t="str">
        <f t="shared" si="20"/>
        <v/>
      </c>
      <c r="S179" s="95" t="str">
        <f t="shared" si="21"/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16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 t="shared" si="19"/>
        <v>0</v>
      </c>
      <c r="P180" s="47"/>
      <c r="Q180" s="47"/>
      <c r="R180" s="95" t="str">
        <f t="shared" si="20"/>
        <v/>
      </c>
      <c r="S180" s="95" t="str">
        <f t="shared" si="21"/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758</v>
      </c>
    </row>
    <row r="181" spans="1:22" x14ac:dyDescent="0.25">
      <c r="A181" s="46">
        <f t="shared" si="16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/>
      <c r="Q181" s="47"/>
      <c r="R181" s="95" t="str">
        <f t="shared" si="20"/>
        <v/>
      </c>
      <c r="S181" s="95" t="str">
        <f t="shared" si="21"/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16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/>
      <c r="Q182" s="47"/>
      <c r="R182" s="95" t="str">
        <f t="shared" si="20"/>
        <v/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16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 t="shared" ref="O183:O210" si="22">T183*N183</f>
        <v>0</v>
      </c>
      <c r="P183" s="47"/>
      <c r="Q183" s="47"/>
      <c r="R183" s="95" t="str">
        <f t="shared" si="20"/>
        <v/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16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 t="shared" si="22"/>
        <v>0</v>
      </c>
      <c r="P184" s="47"/>
      <c r="Q184" s="47"/>
      <c r="R184" s="95" t="str">
        <f t="shared" si="20"/>
        <v/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16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 t="shared" si="22"/>
        <v>0</v>
      </c>
      <c r="P185" s="47"/>
      <c r="Q185" s="47"/>
      <c r="R185" s="95" t="str">
        <f t="shared" si="20"/>
        <v/>
      </c>
      <c r="S185" s="95" t="str">
        <f t="shared" si="21"/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16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 t="shared" si="22"/>
        <v>0</v>
      </c>
      <c r="P186" s="47"/>
      <c r="Q186" s="47"/>
      <c r="R186" s="95" t="str">
        <f t="shared" si="20"/>
        <v/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16"/>
        <v>176</v>
      </c>
      <c r="B187" s="47"/>
      <c r="C187" s="14" t="s">
        <v>794</v>
      </c>
      <c r="D187" s="14" t="s">
        <v>45</v>
      </c>
      <c r="E187" s="6" t="s">
        <v>795</v>
      </c>
      <c r="F187" s="48" t="s">
        <v>796</v>
      </c>
      <c r="G187" s="12" t="s">
        <v>797</v>
      </c>
      <c r="H187" s="49"/>
      <c r="I187" s="47"/>
      <c r="J187" s="47"/>
      <c r="K187" s="47"/>
      <c r="L187" s="47"/>
      <c r="M187" s="47"/>
      <c r="N187" s="47"/>
      <c r="O187" s="94">
        <f t="shared" si="22"/>
        <v>0</v>
      </c>
      <c r="P187" s="47"/>
      <c r="Q187" s="47"/>
      <c r="R187" s="95" t="str">
        <f t="shared" si="20"/>
        <v/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798</v>
      </c>
    </row>
    <row r="188" spans="1:22" x14ac:dyDescent="0.25">
      <c r="A188" s="46">
        <f t="shared" si="16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 t="shared" si="22"/>
        <v>0</v>
      </c>
      <c r="P188" s="47"/>
      <c r="Q188" s="47"/>
      <c r="R188" s="95" t="str">
        <f t="shared" si="20"/>
        <v/>
      </c>
      <c r="S188" s="95" t="str">
        <f t="shared" si="21"/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799</v>
      </c>
    </row>
    <row r="189" spans="1:22" x14ac:dyDescent="0.25">
      <c r="A189" s="46">
        <f t="shared" si="16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 t="shared" si="22"/>
        <v>0</v>
      </c>
      <c r="P189" s="47"/>
      <c r="Q189" s="47"/>
      <c r="R189" s="95" t="str">
        <f t="shared" si="20"/>
        <v/>
      </c>
      <c r="S189" s="95" t="str">
        <f t="shared" si="21"/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16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 t="shared" si="22"/>
        <v>0</v>
      </c>
      <c r="P190" s="47"/>
      <c r="Q190" s="47"/>
      <c r="R190" s="95" t="str">
        <f t="shared" si="20"/>
        <v/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16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 t="shared" si="22"/>
        <v>0</v>
      </c>
      <c r="P191" s="47"/>
      <c r="Q191" s="47"/>
      <c r="R191" s="95" t="str">
        <f t="shared" si="20"/>
        <v/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16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 t="shared" si="22"/>
        <v>0</v>
      </c>
      <c r="P192" s="47"/>
      <c r="Q192" s="47"/>
      <c r="R192" s="95" t="str">
        <f t="shared" si="20"/>
        <v/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16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 t="shared" si="22"/>
        <v>0</v>
      </c>
      <c r="P193" s="47"/>
      <c r="Q193" s="47"/>
      <c r="R193" s="95" t="str">
        <f t="shared" si="20"/>
        <v/>
      </c>
      <c r="S193" s="95" t="str">
        <f t="shared" si="21"/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16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 t="shared" si="22"/>
        <v>0</v>
      </c>
      <c r="P194" s="47"/>
      <c r="Q194" s="47"/>
      <c r="R194" s="95" t="str">
        <f t="shared" si="20"/>
        <v/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16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 t="shared" si="22"/>
        <v>0</v>
      </c>
      <c r="P195" s="47"/>
      <c r="Q195" s="47"/>
      <c r="R195" s="95" t="str">
        <f t="shared" si="20"/>
        <v/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16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 t="shared" si="22"/>
        <v>0</v>
      </c>
      <c r="P196" s="47"/>
      <c r="Q196" s="47"/>
      <c r="R196" s="95" t="str">
        <f t="shared" si="20"/>
        <v/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16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 t="shared" si="22"/>
        <v>0</v>
      </c>
      <c r="P197" s="47"/>
      <c r="Q197" s="47"/>
      <c r="R197" s="95" t="str">
        <f t="shared" si="20"/>
        <v/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16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2"/>
        <v>0</v>
      </c>
      <c r="P198" s="47"/>
      <c r="Q198" s="47"/>
      <c r="R198" s="95" t="str">
        <f t="shared" si="20"/>
        <v/>
      </c>
      <c r="S198" s="95" t="str">
        <f t="shared" si="21"/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16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2"/>
        <v>0</v>
      </c>
      <c r="P199" s="47"/>
      <c r="Q199" s="47"/>
      <c r="R199" s="95" t="str">
        <f t="shared" si="20"/>
        <v/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16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 t="shared" si="22"/>
        <v>0</v>
      </c>
      <c r="P200" s="47"/>
      <c r="Q200" s="47"/>
      <c r="R200" s="95" t="str">
        <f t="shared" si="20"/>
        <v/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16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 t="shared" si="22"/>
        <v>0</v>
      </c>
      <c r="P201" s="47"/>
      <c r="Q201" s="47"/>
      <c r="R201" s="95" t="str">
        <f t="shared" si="20"/>
        <v/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16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 t="shared" si="22"/>
        <v>0</v>
      </c>
      <c r="P202" s="47"/>
      <c r="Q202" s="47"/>
      <c r="R202" s="95" t="str">
        <f t="shared" si="20"/>
        <v/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16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/>
      <c r="Q203" s="47"/>
      <c r="R203" s="95" t="str">
        <f t="shared" si="20"/>
        <v/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23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/>
      <c r="Q204" s="47"/>
      <c r="R204" s="95" t="str">
        <f t="shared" ref="R204:R210" si="24">IF(OR(P204="c",P204="C"),+T204,"")</f>
        <v/>
      </c>
      <c r="S204" s="95" t="str">
        <f t="shared" ref="S204:S210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23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 t="shared" si="22"/>
        <v>0</v>
      </c>
      <c r="P205" s="47"/>
      <c r="Q205" s="47"/>
      <c r="R205" s="95" t="str">
        <f t="shared" si="24"/>
        <v/>
      </c>
      <c r="S205" s="95" t="str">
        <f t="shared" si="25"/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23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 t="shared" si="22"/>
        <v>0</v>
      </c>
      <c r="P206" s="47"/>
      <c r="Q206" s="47"/>
      <c r="R206" s="95" t="str">
        <f t="shared" si="24"/>
        <v/>
      </c>
      <c r="S206" s="95" t="str">
        <f t="shared" si="25"/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/>
      <c r="Q207" s="47"/>
      <c r="R207" s="95" t="str">
        <f t="shared" si="24"/>
        <v/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/>
      <c r="Q208" s="47"/>
      <c r="R208" s="95" t="str">
        <f t="shared" si="24"/>
        <v/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/>
      <c r="Q209" s="47"/>
      <c r="R209" s="95" t="str">
        <f t="shared" si="24"/>
        <v/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/>
      <c r="Q210" s="47"/>
      <c r="R210" s="95" t="str">
        <f t="shared" si="24"/>
        <v/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23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26">T211*N211</f>
        <v>0</v>
      </c>
      <c r="P211" s="47"/>
      <c r="Q211" s="47"/>
      <c r="R211" s="95" t="str">
        <f t="shared" ref="R211:R220" si="27">IF(OR(P211="c",P211="C"),+T211,"")</f>
        <v/>
      </c>
      <c r="S211" s="95" t="str">
        <f t="shared" ref="S211:S220" si="28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23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26"/>
        <v>0</v>
      </c>
      <c r="P212" s="47"/>
      <c r="Q212" s="47"/>
      <c r="R212" s="95" t="str">
        <f t="shared" si="27"/>
        <v/>
      </c>
      <c r="S212" s="95" t="str">
        <f t="shared" si="28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23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47"/>
      <c r="Q213" s="47"/>
      <c r="R213" s="95" t="str">
        <f t="shared" si="27"/>
        <v/>
      </c>
      <c r="S213" s="95" t="str">
        <f t="shared" si="28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23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47"/>
      <c r="Q214" s="47"/>
      <c r="R214" s="95" t="str">
        <f t="shared" si="27"/>
        <v/>
      </c>
      <c r="S214" s="95" t="str">
        <f t="shared" si="28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23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47"/>
      <c r="Q215" s="47"/>
      <c r="R215" s="95" t="str">
        <f t="shared" si="27"/>
        <v/>
      </c>
      <c r="S215" s="95" t="str">
        <f t="shared" si="28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23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47"/>
      <c r="Q216" s="47"/>
      <c r="R216" s="95" t="str">
        <f t="shared" si="27"/>
        <v/>
      </c>
      <c r="S216" s="95" t="str">
        <f t="shared" si="28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23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47"/>
      <c r="Q217" s="47"/>
      <c r="R217" s="95" t="str">
        <f t="shared" si="27"/>
        <v/>
      </c>
      <c r="S217" s="95" t="str">
        <f t="shared" si="28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23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47"/>
      <c r="Q218" s="47"/>
      <c r="R218" s="95" t="str">
        <f t="shared" si="27"/>
        <v/>
      </c>
      <c r="S218" s="95" t="str">
        <f t="shared" si="28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23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47"/>
      <c r="Q219" s="47"/>
      <c r="R219" s="95" t="str">
        <f t="shared" si="27"/>
        <v/>
      </c>
      <c r="S219" s="95" t="str">
        <f t="shared" si="28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23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47"/>
      <c r="Q220" s="47"/>
      <c r="R220" s="95" t="str">
        <f t="shared" si="27"/>
        <v/>
      </c>
      <c r="S220" s="95" t="str">
        <f t="shared" si="28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29">T221*N221</f>
        <v>0</v>
      </c>
      <c r="P221" s="50"/>
      <c r="Q221" s="50"/>
      <c r="R221" s="95" t="str">
        <f t="shared" ref="R221:R267" si="30">IF(OR(P221="c",P221="C"),+T221,"")</f>
        <v/>
      </c>
      <c r="S221" s="95" t="str">
        <f t="shared" ref="S221:S267" si="31">IF(OR(P221="$",N221=1),+T221,"")</f>
        <v/>
      </c>
      <c r="T221" s="96">
        <f t="shared" ref="T221:T267" si="32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9"/>
        <v>0</v>
      </c>
      <c r="P222" s="50"/>
      <c r="Q222" s="50"/>
      <c r="R222" s="95" t="str">
        <f t="shared" si="30"/>
        <v/>
      </c>
      <c r="S222" s="95" t="str">
        <f t="shared" si="31"/>
        <v/>
      </c>
      <c r="T222" s="96">
        <f t="shared" si="32"/>
        <v>0</v>
      </c>
      <c r="U222" s="51"/>
    </row>
    <row r="223" spans="1:22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9"/>
        <v>0</v>
      </c>
      <c r="P223" s="50"/>
      <c r="Q223" s="50"/>
      <c r="R223" s="95" t="str">
        <f t="shared" si="30"/>
        <v/>
      </c>
      <c r="S223" s="95" t="str">
        <f t="shared" si="31"/>
        <v/>
      </c>
      <c r="T223" s="96">
        <f t="shared" si="32"/>
        <v>0</v>
      </c>
      <c r="U223" s="51"/>
    </row>
    <row r="224" spans="1:22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9"/>
        <v>0</v>
      </c>
      <c r="P224" s="50"/>
      <c r="Q224" s="50"/>
      <c r="R224" s="95" t="str">
        <f t="shared" si="30"/>
        <v/>
      </c>
      <c r="S224" s="95" t="str">
        <f t="shared" si="31"/>
        <v/>
      </c>
      <c r="T224" s="96">
        <f t="shared" si="32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9"/>
        <v>0</v>
      </c>
      <c r="P225" s="50"/>
      <c r="Q225" s="50"/>
      <c r="R225" s="95" t="str">
        <f t="shared" si="30"/>
        <v/>
      </c>
      <c r="S225" s="95" t="str">
        <f t="shared" si="31"/>
        <v/>
      </c>
      <c r="T225" s="96">
        <f t="shared" si="32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9"/>
        <v>0</v>
      </c>
      <c r="P226" s="50"/>
      <c r="Q226" s="50"/>
      <c r="R226" s="95" t="str">
        <f t="shared" si="30"/>
        <v/>
      </c>
      <c r="S226" s="95" t="str">
        <f t="shared" si="31"/>
        <v/>
      </c>
      <c r="T226" s="96">
        <f t="shared" si="32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9"/>
        <v>0</v>
      </c>
      <c r="P227" s="50"/>
      <c r="Q227" s="50"/>
      <c r="R227" s="95" t="str">
        <f t="shared" si="30"/>
        <v/>
      </c>
      <c r="S227" s="95" t="str">
        <f t="shared" si="31"/>
        <v/>
      </c>
      <c r="T227" s="96">
        <f t="shared" si="32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9"/>
        <v>0</v>
      </c>
      <c r="P228" s="50"/>
      <c r="Q228" s="50"/>
      <c r="R228" s="95" t="str">
        <f t="shared" si="30"/>
        <v/>
      </c>
      <c r="S228" s="95" t="str">
        <f t="shared" si="31"/>
        <v/>
      </c>
      <c r="T228" s="96">
        <f t="shared" si="32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9"/>
        <v>0</v>
      </c>
      <c r="P229" s="50"/>
      <c r="Q229" s="50"/>
      <c r="R229" s="95" t="str">
        <f t="shared" si="30"/>
        <v/>
      </c>
      <c r="S229" s="95" t="str">
        <f t="shared" si="31"/>
        <v/>
      </c>
      <c r="T229" s="96">
        <f t="shared" si="32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9"/>
        <v>0</v>
      </c>
      <c r="P230" s="50"/>
      <c r="Q230" s="50"/>
      <c r="R230" s="95" t="str">
        <f t="shared" si="30"/>
        <v/>
      </c>
      <c r="S230" s="95" t="str">
        <f t="shared" si="31"/>
        <v/>
      </c>
      <c r="T230" s="96">
        <f t="shared" si="32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9"/>
        <v>0</v>
      </c>
      <c r="P231" s="50"/>
      <c r="Q231" s="50"/>
      <c r="R231" s="95" t="str">
        <f t="shared" si="30"/>
        <v/>
      </c>
      <c r="S231" s="95" t="str">
        <f t="shared" si="31"/>
        <v/>
      </c>
      <c r="T231" s="96">
        <f t="shared" si="32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9"/>
        <v>0</v>
      </c>
      <c r="P232" s="50"/>
      <c r="Q232" s="50"/>
      <c r="R232" s="95" t="str">
        <f t="shared" si="30"/>
        <v/>
      </c>
      <c r="S232" s="95" t="str">
        <f t="shared" si="31"/>
        <v/>
      </c>
      <c r="T232" s="96">
        <f t="shared" si="32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9"/>
        <v>0</v>
      </c>
      <c r="P233" s="50"/>
      <c r="Q233" s="50"/>
      <c r="R233" s="95" t="str">
        <f t="shared" si="30"/>
        <v/>
      </c>
      <c r="S233" s="95" t="str">
        <f t="shared" si="31"/>
        <v/>
      </c>
      <c r="T233" s="96">
        <f t="shared" si="32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9"/>
        <v>0</v>
      </c>
      <c r="P234" s="50"/>
      <c r="Q234" s="50"/>
      <c r="R234" s="95" t="str">
        <f t="shared" si="30"/>
        <v/>
      </c>
      <c r="S234" s="95" t="str">
        <f t="shared" si="31"/>
        <v/>
      </c>
      <c r="T234" s="96">
        <f t="shared" si="32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9"/>
        <v>0</v>
      </c>
      <c r="P235" s="50"/>
      <c r="Q235" s="50"/>
      <c r="R235" s="95" t="str">
        <f t="shared" si="30"/>
        <v/>
      </c>
      <c r="S235" s="95" t="str">
        <f t="shared" si="31"/>
        <v/>
      </c>
      <c r="T235" s="96">
        <f t="shared" si="32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9"/>
        <v>0</v>
      </c>
      <c r="P236" s="50"/>
      <c r="Q236" s="50"/>
      <c r="R236" s="95" t="str">
        <f t="shared" si="30"/>
        <v/>
      </c>
      <c r="S236" s="95" t="str">
        <f t="shared" si="31"/>
        <v/>
      </c>
      <c r="T236" s="96">
        <f t="shared" si="32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9"/>
        <v>0</v>
      </c>
      <c r="P237" s="50"/>
      <c r="Q237" s="50"/>
      <c r="R237" s="95" t="str">
        <f t="shared" si="30"/>
        <v/>
      </c>
      <c r="S237" s="95" t="str">
        <f t="shared" si="31"/>
        <v/>
      </c>
      <c r="T237" s="96">
        <f t="shared" si="32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9"/>
        <v>0</v>
      </c>
      <c r="P238" s="50"/>
      <c r="Q238" s="50"/>
      <c r="R238" s="95" t="str">
        <f t="shared" si="30"/>
        <v/>
      </c>
      <c r="S238" s="95" t="str">
        <f t="shared" si="31"/>
        <v/>
      </c>
      <c r="T238" s="96">
        <f t="shared" si="32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9"/>
        <v>0</v>
      </c>
      <c r="P239" s="50"/>
      <c r="Q239" s="50"/>
      <c r="R239" s="95" t="str">
        <f t="shared" si="30"/>
        <v/>
      </c>
      <c r="S239" s="95" t="str">
        <f t="shared" si="31"/>
        <v/>
      </c>
      <c r="T239" s="96">
        <f t="shared" si="32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9"/>
        <v>0</v>
      </c>
      <c r="P240" s="50"/>
      <c r="Q240" s="50"/>
      <c r="R240" s="95" t="str">
        <f t="shared" si="30"/>
        <v/>
      </c>
      <c r="S240" s="95" t="str">
        <f t="shared" si="31"/>
        <v/>
      </c>
      <c r="T240" s="96">
        <f t="shared" si="32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9"/>
        <v>0</v>
      </c>
      <c r="P241" s="50"/>
      <c r="Q241" s="50"/>
      <c r="R241" s="95" t="str">
        <f t="shared" si="30"/>
        <v/>
      </c>
      <c r="S241" s="95" t="str">
        <f t="shared" si="31"/>
        <v/>
      </c>
      <c r="T241" s="96">
        <f t="shared" si="32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9"/>
        <v>0</v>
      </c>
      <c r="P242" s="50"/>
      <c r="Q242" s="50"/>
      <c r="R242" s="95" t="str">
        <f t="shared" si="30"/>
        <v/>
      </c>
      <c r="S242" s="95" t="str">
        <f t="shared" si="31"/>
        <v/>
      </c>
      <c r="T242" s="96">
        <f t="shared" si="32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9"/>
        <v>0</v>
      </c>
      <c r="P243" s="50"/>
      <c r="Q243" s="50"/>
      <c r="R243" s="95" t="str">
        <f t="shared" si="30"/>
        <v/>
      </c>
      <c r="S243" s="95" t="str">
        <f t="shared" si="31"/>
        <v/>
      </c>
      <c r="T243" s="96">
        <f t="shared" si="32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9"/>
        <v>0</v>
      </c>
      <c r="P244" s="50"/>
      <c r="Q244" s="50"/>
      <c r="R244" s="95" t="str">
        <f t="shared" si="30"/>
        <v/>
      </c>
      <c r="S244" s="95" t="str">
        <f t="shared" si="31"/>
        <v/>
      </c>
      <c r="T244" s="96">
        <f t="shared" si="32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9"/>
        <v>0</v>
      </c>
      <c r="P245" s="50"/>
      <c r="Q245" s="50"/>
      <c r="R245" s="95" t="str">
        <f t="shared" si="30"/>
        <v/>
      </c>
      <c r="S245" s="95" t="str">
        <f t="shared" si="31"/>
        <v/>
      </c>
      <c r="T245" s="96">
        <f t="shared" si="32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9"/>
        <v>0</v>
      </c>
      <c r="P246" s="50"/>
      <c r="Q246" s="50"/>
      <c r="R246" s="95" t="str">
        <f t="shared" si="30"/>
        <v/>
      </c>
      <c r="S246" s="95" t="str">
        <f t="shared" si="31"/>
        <v/>
      </c>
      <c r="T246" s="96">
        <f t="shared" si="32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9"/>
        <v>0</v>
      </c>
      <c r="P247" s="50"/>
      <c r="Q247" s="50"/>
      <c r="R247" s="95" t="str">
        <f t="shared" si="30"/>
        <v/>
      </c>
      <c r="S247" s="95" t="str">
        <f t="shared" si="31"/>
        <v/>
      </c>
      <c r="T247" s="96">
        <f t="shared" si="32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9"/>
        <v>0</v>
      </c>
      <c r="P248" s="50"/>
      <c r="Q248" s="50"/>
      <c r="R248" s="95" t="str">
        <f t="shared" si="30"/>
        <v/>
      </c>
      <c r="S248" s="95" t="str">
        <f t="shared" si="31"/>
        <v/>
      </c>
      <c r="T248" s="96">
        <f t="shared" si="32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9"/>
        <v>0</v>
      </c>
      <c r="P249" s="50"/>
      <c r="Q249" s="50"/>
      <c r="R249" s="95" t="str">
        <f t="shared" si="30"/>
        <v/>
      </c>
      <c r="S249" s="95" t="str">
        <f t="shared" si="31"/>
        <v/>
      </c>
      <c r="T249" s="96">
        <f t="shared" si="32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9"/>
        <v>0</v>
      </c>
      <c r="P250" s="50"/>
      <c r="Q250" s="50"/>
      <c r="R250" s="95" t="str">
        <f t="shared" si="30"/>
        <v/>
      </c>
      <c r="S250" s="95" t="str">
        <f t="shared" si="31"/>
        <v/>
      </c>
      <c r="T250" s="96">
        <f t="shared" si="32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9"/>
        <v>0</v>
      </c>
      <c r="P251" s="50"/>
      <c r="Q251" s="50"/>
      <c r="R251" s="95" t="str">
        <f t="shared" si="30"/>
        <v/>
      </c>
      <c r="S251" s="95" t="str">
        <f t="shared" si="31"/>
        <v/>
      </c>
      <c r="T251" s="96">
        <f t="shared" si="32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9"/>
        <v>0</v>
      </c>
      <c r="P252" s="50"/>
      <c r="Q252" s="50"/>
      <c r="R252" s="95" t="str">
        <f t="shared" si="30"/>
        <v/>
      </c>
      <c r="S252" s="95" t="str">
        <f t="shared" si="31"/>
        <v/>
      </c>
      <c r="T252" s="96">
        <f t="shared" si="32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9"/>
        <v>0</v>
      </c>
      <c r="P253" s="50"/>
      <c r="Q253" s="50"/>
      <c r="R253" s="95" t="str">
        <f t="shared" si="30"/>
        <v/>
      </c>
      <c r="S253" s="95" t="str">
        <f t="shared" si="31"/>
        <v/>
      </c>
      <c r="T253" s="96">
        <f t="shared" si="32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9"/>
        <v>0</v>
      </c>
      <c r="P254" s="50"/>
      <c r="Q254" s="50"/>
      <c r="R254" s="95" t="str">
        <f t="shared" si="30"/>
        <v/>
      </c>
      <c r="S254" s="95" t="str">
        <f t="shared" si="31"/>
        <v/>
      </c>
      <c r="T254" s="96">
        <f t="shared" si="32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9"/>
        <v>0</v>
      </c>
      <c r="P255" s="50"/>
      <c r="Q255" s="50"/>
      <c r="R255" s="95" t="str">
        <f t="shared" si="30"/>
        <v/>
      </c>
      <c r="S255" s="95" t="str">
        <f t="shared" si="31"/>
        <v/>
      </c>
      <c r="T255" s="96">
        <f t="shared" si="32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9"/>
        <v>0</v>
      </c>
      <c r="P256" s="50"/>
      <c r="Q256" s="50"/>
      <c r="R256" s="95" t="str">
        <f t="shared" si="30"/>
        <v/>
      </c>
      <c r="S256" s="95" t="str">
        <f t="shared" si="31"/>
        <v/>
      </c>
      <c r="T256" s="96">
        <f t="shared" si="32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9"/>
        <v>0</v>
      </c>
      <c r="P257" s="50"/>
      <c r="Q257" s="50"/>
      <c r="R257" s="95" t="str">
        <f t="shared" si="30"/>
        <v/>
      </c>
      <c r="S257" s="95" t="str">
        <f t="shared" si="31"/>
        <v/>
      </c>
      <c r="T257" s="96">
        <f t="shared" si="32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9"/>
        <v>0</v>
      </c>
      <c r="P258" s="50"/>
      <c r="Q258" s="50"/>
      <c r="R258" s="95" t="str">
        <f t="shared" si="30"/>
        <v/>
      </c>
      <c r="S258" s="95" t="str">
        <f t="shared" si="31"/>
        <v/>
      </c>
      <c r="T258" s="96">
        <f t="shared" si="32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9"/>
        <v>0</v>
      </c>
      <c r="P259" s="50"/>
      <c r="Q259" s="50"/>
      <c r="R259" s="95" t="str">
        <f t="shared" si="30"/>
        <v/>
      </c>
      <c r="S259" s="95" t="str">
        <f t="shared" si="31"/>
        <v/>
      </c>
      <c r="T259" s="96">
        <f t="shared" si="32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9"/>
        <v>0</v>
      </c>
      <c r="P260" s="50"/>
      <c r="Q260" s="50"/>
      <c r="R260" s="95" t="str">
        <f t="shared" si="30"/>
        <v/>
      </c>
      <c r="S260" s="95" t="str">
        <f t="shared" si="31"/>
        <v/>
      </c>
      <c r="T260" s="96">
        <f t="shared" si="32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9"/>
        <v>0</v>
      </c>
      <c r="P261" s="50"/>
      <c r="Q261" s="50"/>
      <c r="R261" s="95" t="str">
        <f t="shared" si="30"/>
        <v/>
      </c>
      <c r="S261" s="95" t="str">
        <f t="shared" si="31"/>
        <v/>
      </c>
      <c r="T261" s="96">
        <f t="shared" si="32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9"/>
        <v>0</v>
      </c>
      <c r="P262" s="50"/>
      <c r="Q262" s="50"/>
      <c r="R262" s="95" t="str">
        <f t="shared" si="30"/>
        <v/>
      </c>
      <c r="S262" s="95" t="str">
        <f t="shared" si="31"/>
        <v/>
      </c>
      <c r="T262" s="96">
        <f t="shared" si="32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9"/>
        <v>0</v>
      </c>
      <c r="P263" s="50"/>
      <c r="Q263" s="50"/>
      <c r="R263" s="95" t="str">
        <f t="shared" si="30"/>
        <v/>
      </c>
      <c r="S263" s="95" t="str">
        <f t="shared" si="31"/>
        <v/>
      </c>
      <c r="T263" s="96">
        <f t="shared" si="32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9"/>
        <v>0</v>
      </c>
      <c r="P264" s="50"/>
      <c r="Q264" s="50"/>
      <c r="R264" s="95" t="str">
        <f t="shared" si="30"/>
        <v/>
      </c>
      <c r="S264" s="95" t="str">
        <f t="shared" si="31"/>
        <v/>
      </c>
      <c r="T264" s="96">
        <f t="shared" si="32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9"/>
        <v>0</v>
      </c>
      <c r="P265" s="50"/>
      <c r="Q265" s="50"/>
      <c r="R265" s="95" t="str">
        <f t="shared" si="30"/>
        <v/>
      </c>
      <c r="S265" s="95" t="str">
        <f t="shared" si="31"/>
        <v/>
      </c>
      <c r="T265" s="96">
        <f t="shared" si="32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9"/>
        <v>0</v>
      </c>
      <c r="P266" s="50"/>
      <c r="Q266" s="50"/>
      <c r="R266" s="95" t="str">
        <f t="shared" si="30"/>
        <v/>
      </c>
      <c r="S266" s="95" t="str">
        <f t="shared" si="31"/>
        <v/>
      </c>
      <c r="T266" s="96">
        <f t="shared" si="32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9"/>
        <v>0</v>
      </c>
      <c r="P267" s="50"/>
      <c r="Q267" s="50"/>
      <c r="R267" s="95" t="str">
        <f t="shared" si="30"/>
        <v/>
      </c>
      <c r="S267" s="95" t="str">
        <f t="shared" si="31"/>
        <v/>
      </c>
      <c r="T267" s="96">
        <f t="shared" si="32"/>
        <v>0</v>
      </c>
      <c r="U267" s="51"/>
    </row>
    <row r="268" spans="1:21" x14ac:dyDescent="0.25">
      <c r="A268" s="46">
        <f t="shared" ref="A268:A331" si="3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4">T268*N268</f>
        <v>0</v>
      </c>
      <c r="P268" s="50"/>
      <c r="Q268" s="50"/>
      <c r="R268" s="95" t="str">
        <f t="shared" ref="R268:R331" si="35">IF(OR(P268="c",P268="C"),+T268,"")</f>
        <v/>
      </c>
      <c r="S268" s="95" t="str">
        <f t="shared" ref="S268:S331" si="36">IF(OR(P268="$",N268=1),+T268,"")</f>
        <v/>
      </c>
      <c r="T268" s="96">
        <f t="shared" ref="T268:T331" si="3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4"/>
        <v>0</v>
      </c>
      <c r="P269" s="50"/>
      <c r="Q269" s="50"/>
      <c r="R269" s="95" t="str">
        <f t="shared" si="35"/>
        <v/>
      </c>
      <c r="S269" s="95" t="str">
        <f t="shared" si="36"/>
        <v/>
      </c>
      <c r="T269" s="96">
        <f t="shared" si="37"/>
        <v>0</v>
      </c>
      <c r="U269" s="51"/>
    </row>
    <row r="270" spans="1:21" x14ac:dyDescent="0.25">
      <c r="A270" s="46">
        <f t="shared" si="3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4"/>
        <v>0</v>
      </c>
      <c r="P270" s="50"/>
      <c r="Q270" s="50"/>
      <c r="R270" s="95" t="str">
        <f t="shared" si="35"/>
        <v/>
      </c>
      <c r="S270" s="95" t="str">
        <f t="shared" si="36"/>
        <v/>
      </c>
      <c r="T270" s="96">
        <f t="shared" si="37"/>
        <v>0</v>
      </c>
      <c r="U270" s="51"/>
    </row>
    <row r="271" spans="1:21" x14ac:dyDescent="0.25">
      <c r="A271" s="46">
        <f t="shared" si="3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4"/>
        <v>0</v>
      </c>
      <c r="P271" s="50"/>
      <c r="Q271" s="50"/>
      <c r="R271" s="95" t="str">
        <f t="shared" si="35"/>
        <v/>
      </c>
      <c r="S271" s="95" t="str">
        <f t="shared" si="36"/>
        <v/>
      </c>
      <c r="T271" s="96">
        <f t="shared" si="37"/>
        <v>0</v>
      </c>
      <c r="U271" s="51"/>
    </row>
    <row r="272" spans="1:21" x14ac:dyDescent="0.25">
      <c r="A272" s="46">
        <f t="shared" si="3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4"/>
        <v>0</v>
      </c>
      <c r="P272" s="50"/>
      <c r="Q272" s="50"/>
      <c r="R272" s="95" t="str">
        <f t="shared" si="35"/>
        <v/>
      </c>
      <c r="S272" s="95" t="str">
        <f t="shared" si="36"/>
        <v/>
      </c>
      <c r="T272" s="96">
        <f t="shared" si="37"/>
        <v>0</v>
      </c>
      <c r="U272" s="51"/>
    </row>
    <row r="273" spans="1:21" x14ac:dyDescent="0.25">
      <c r="A273" s="46">
        <f t="shared" si="3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4"/>
        <v>0</v>
      </c>
      <c r="P273" s="50"/>
      <c r="Q273" s="50"/>
      <c r="R273" s="95" t="str">
        <f t="shared" si="35"/>
        <v/>
      </c>
      <c r="S273" s="95" t="str">
        <f t="shared" si="36"/>
        <v/>
      </c>
      <c r="T273" s="96">
        <f t="shared" si="37"/>
        <v>0</v>
      </c>
      <c r="U273" s="51"/>
    </row>
    <row r="274" spans="1:21" x14ac:dyDescent="0.25">
      <c r="A274" s="46">
        <f t="shared" si="3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4"/>
        <v>0</v>
      </c>
      <c r="P274" s="50"/>
      <c r="Q274" s="50"/>
      <c r="R274" s="95" t="str">
        <f t="shared" si="35"/>
        <v/>
      </c>
      <c r="S274" s="95" t="str">
        <f t="shared" si="36"/>
        <v/>
      </c>
      <c r="T274" s="96">
        <f t="shared" si="37"/>
        <v>0</v>
      </c>
      <c r="U274" s="51"/>
    </row>
    <row r="275" spans="1:21" x14ac:dyDescent="0.25">
      <c r="A275" s="46">
        <f t="shared" si="3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4"/>
        <v>0</v>
      </c>
      <c r="P275" s="50"/>
      <c r="Q275" s="50"/>
      <c r="R275" s="95" t="str">
        <f t="shared" si="35"/>
        <v/>
      </c>
      <c r="S275" s="95" t="str">
        <f t="shared" si="36"/>
        <v/>
      </c>
      <c r="T275" s="96">
        <f t="shared" si="37"/>
        <v>0</v>
      </c>
      <c r="U275" s="51"/>
    </row>
    <row r="276" spans="1:21" x14ac:dyDescent="0.25">
      <c r="A276" s="46">
        <f t="shared" si="3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4"/>
        <v>0</v>
      </c>
      <c r="P276" s="50"/>
      <c r="Q276" s="50"/>
      <c r="R276" s="95" t="str">
        <f t="shared" si="35"/>
        <v/>
      </c>
      <c r="S276" s="95" t="str">
        <f t="shared" si="36"/>
        <v/>
      </c>
      <c r="T276" s="96">
        <f t="shared" si="37"/>
        <v>0</v>
      </c>
      <c r="U276" s="51"/>
    </row>
    <row r="277" spans="1:21" x14ac:dyDescent="0.25">
      <c r="A277" s="46">
        <f t="shared" si="3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4"/>
        <v>0</v>
      </c>
      <c r="P277" s="50"/>
      <c r="Q277" s="50"/>
      <c r="R277" s="95" t="str">
        <f t="shared" si="35"/>
        <v/>
      </c>
      <c r="S277" s="95" t="str">
        <f t="shared" si="36"/>
        <v/>
      </c>
      <c r="T277" s="96">
        <f t="shared" si="37"/>
        <v>0</v>
      </c>
      <c r="U277" s="51"/>
    </row>
    <row r="278" spans="1:21" x14ac:dyDescent="0.25">
      <c r="A278" s="46">
        <f t="shared" si="3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4"/>
        <v>0</v>
      </c>
      <c r="P278" s="50"/>
      <c r="Q278" s="50"/>
      <c r="R278" s="95" t="str">
        <f t="shared" si="35"/>
        <v/>
      </c>
      <c r="S278" s="95" t="str">
        <f t="shared" si="36"/>
        <v/>
      </c>
      <c r="T278" s="96">
        <f t="shared" si="37"/>
        <v>0</v>
      </c>
      <c r="U278" s="51"/>
    </row>
    <row r="279" spans="1:21" x14ac:dyDescent="0.25">
      <c r="A279" s="46">
        <f t="shared" si="3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4"/>
        <v>0</v>
      </c>
      <c r="P279" s="50"/>
      <c r="Q279" s="50"/>
      <c r="R279" s="95" t="str">
        <f t="shared" si="35"/>
        <v/>
      </c>
      <c r="S279" s="95" t="str">
        <f t="shared" si="36"/>
        <v/>
      </c>
      <c r="T279" s="96">
        <f t="shared" si="37"/>
        <v>0</v>
      </c>
      <c r="U279" s="51"/>
    </row>
    <row r="280" spans="1:21" x14ac:dyDescent="0.25">
      <c r="A280" s="46">
        <f t="shared" si="3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4"/>
        <v>0</v>
      </c>
      <c r="P280" s="50"/>
      <c r="Q280" s="50"/>
      <c r="R280" s="95" t="str">
        <f t="shared" si="35"/>
        <v/>
      </c>
      <c r="S280" s="95" t="str">
        <f t="shared" si="36"/>
        <v/>
      </c>
      <c r="T280" s="96">
        <f t="shared" si="37"/>
        <v>0</v>
      </c>
      <c r="U280" s="51"/>
    </row>
    <row r="281" spans="1:21" x14ac:dyDescent="0.25">
      <c r="A281" s="46">
        <f t="shared" si="3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4"/>
        <v>0</v>
      </c>
      <c r="P281" s="50"/>
      <c r="Q281" s="50"/>
      <c r="R281" s="95" t="str">
        <f t="shared" si="35"/>
        <v/>
      </c>
      <c r="S281" s="95" t="str">
        <f t="shared" si="36"/>
        <v/>
      </c>
      <c r="T281" s="96">
        <f t="shared" si="37"/>
        <v>0</v>
      </c>
      <c r="U281" s="51"/>
    </row>
    <row r="282" spans="1:21" x14ac:dyDescent="0.25">
      <c r="A282" s="46">
        <f t="shared" si="3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4"/>
        <v>0</v>
      </c>
      <c r="P282" s="50"/>
      <c r="Q282" s="50"/>
      <c r="R282" s="95" t="str">
        <f t="shared" si="35"/>
        <v/>
      </c>
      <c r="S282" s="95" t="str">
        <f t="shared" si="36"/>
        <v/>
      </c>
      <c r="T282" s="96">
        <f t="shared" si="37"/>
        <v>0</v>
      </c>
      <c r="U282" s="51"/>
    </row>
    <row r="283" spans="1:21" x14ac:dyDescent="0.25">
      <c r="A283" s="46">
        <f t="shared" si="3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4"/>
        <v>0</v>
      </c>
      <c r="P283" s="50"/>
      <c r="Q283" s="50"/>
      <c r="R283" s="95" t="str">
        <f t="shared" si="35"/>
        <v/>
      </c>
      <c r="S283" s="95" t="str">
        <f t="shared" si="36"/>
        <v/>
      </c>
      <c r="T283" s="96">
        <f t="shared" si="37"/>
        <v>0</v>
      </c>
      <c r="U283" s="51"/>
    </row>
    <row r="284" spans="1:21" x14ac:dyDescent="0.25">
      <c r="A284" s="46">
        <f t="shared" si="3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4"/>
        <v>0</v>
      </c>
      <c r="P284" s="50"/>
      <c r="Q284" s="50"/>
      <c r="R284" s="95" t="str">
        <f t="shared" si="35"/>
        <v/>
      </c>
      <c r="S284" s="95" t="str">
        <f t="shared" si="36"/>
        <v/>
      </c>
      <c r="T284" s="96">
        <f t="shared" si="37"/>
        <v>0</v>
      </c>
      <c r="U284" s="51"/>
    </row>
    <row r="285" spans="1:21" x14ac:dyDescent="0.25">
      <c r="A285" s="46">
        <f t="shared" si="3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4"/>
        <v>0</v>
      </c>
      <c r="P285" s="50"/>
      <c r="Q285" s="50"/>
      <c r="R285" s="95" t="str">
        <f t="shared" si="35"/>
        <v/>
      </c>
      <c r="S285" s="95" t="str">
        <f t="shared" si="36"/>
        <v/>
      </c>
      <c r="T285" s="96">
        <f t="shared" si="37"/>
        <v>0</v>
      </c>
      <c r="U285" s="51"/>
    </row>
    <row r="286" spans="1:21" x14ac:dyDescent="0.25">
      <c r="A286" s="46">
        <f t="shared" si="3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4"/>
        <v>0</v>
      </c>
      <c r="P286" s="50"/>
      <c r="Q286" s="50"/>
      <c r="R286" s="95" t="str">
        <f t="shared" si="35"/>
        <v/>
      </c>
      <c r="S286" s="95" t="str">
        <f t="shared" si="36"/>
        <v/>
      </c>
      <c r="T286" s="96">
        <f t="shared" si="37"/>
        <v>0</v>
      </c>
      <c r="U286" s="51"/>
    </row>
    <row r="287" spans="1:21" x14ac:dyDescent="0.25">
      <c r="A287" s="46">
        <f t="shared" si="3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4"/>
        <v>0</v>
      </c>
      <c r="P287" s="50"/>
      <c r="Q287" s="50"/>
      <c r="R287" s="95" t="str">
        <f t="shared" si="35"/>
        <v/>
      </c>
      <c r="S287" s="95" t="str">
        <f t="shared" si="36"/>
        <v/>
      </c>
      <c r="T287" s="96">
        <f t="shared" si="37"/>
        <v>0</v>
      </c>
      <c r="U287" s="51"/>
    </row>
    <row r="288" spans="1:21" x14ac:dyDescent="0.25">
      <c r="A288" s="46">
        <f t="shared" si="3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4"/>
        <v>0</v>
      </c>
      <c r="P288" s="50"/>
      <c r="Q288" s="50"/>
      <c r="R288" s="95" t="str">
        <f t="shared" si="35"/>
        <v/>
      </c>
      <c r="S288" s="95" t="str">
        <f t="shared" si="36"/>
        <v/>
      </c>
      <c r="T288" s="96">
        <f t="shared" si="37"/>
        <v>0</v>
      </c>
      <c r="U288" s="51"/>
    </row>
    <row r="289" spans="1:21" x14ac:dyDescent="0.25">
      <c r="A289" s="46">
        <f t="shared" si="3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4"/>
        <v>0</v>
      </c>
      <c r="P289" s="50"/>
      <c r="Q289" s="50"/>
      <c r="R289" s="95" t="str">
        <f t="shared" si="35"/>
        <v/>
      </c>
      <c r="S289" s="95" t="str">
        <f t="shared" si="36"/>
        <v/>
      </c>
      <c r="T289" s="96">
        <f t="shared" si="37"/>
        <v>0</v>
      </c>
      <c r="U289" s="51"/>
    </row>
    <row r="290" spans="1:21" x14ac:dyDescent="0.25">
      <c r="A290" s="46">
        <f t="shared" si="3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4"/>
        <v>0</v>
      </c>
      <c r="P290" s="50"/>
      <c r="Q290" s="50"/>
      <c r="R290" s="95" t="str">
        <f t="shared" si="35"/>
        <v/>
      </c>
      <c r="S290" s="95" t="str">
        <f t="shared" si="36"/>
        <v/>
      </c>
      <c r="T290" s="96">
        <f t="shared" si="37"/>
        <v>0</v>
      </c>
      <c r="U290" s="51"/>
    </row>
    <row r="291" spans="1:21" x14ac:dyDescent="0.25">
      <c r="A291" s="46">
        <f t="shared" si="3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4"/>
        <v>0</v>
      </c>
      <c r="P291" s="50"/>
      <c r="Q291" s="50"/>
      <c r="R291" s="95" t="str">
        <f t="shared" si="35"/>
        <v/>
      </c>
      <c r="S291" s="95" t="str">
        <f t="shared" si="36"/>
        <v/>
      </c>
      <c r="T291" s="96">
        <f t="shared" si="37"/>
        <v>0</v>
      </c>
      <c r="U291" s="51"/>
    </row>
    <row r="292" spans="1:21" x14ac:dyDescent="0.25">
      <c r="A292" s="46">
        <f t="shared" si="3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4"/>
        <v>0</v>
      </c>
      <c r="P292" s="50"/>
      <c r="Q292" s="50"/>
      <c r="R292" s="95" t="str">
        <f t="shared" si="35"/>
        <v/>
      </c>
      <c r="S292" s="95" t="str">
        <f t="shared" si="36"/>
        <v/>
      </c>
      <c r="T292" s="96">
        <f t="shared" si="37"/>
        <v>0</v>
      </c>
      <c r="U292" s="51"/>
    </row>
    <row r="293" spans="1:21" x14ac:dyDescent="0.25">
      <c r="A293" s="46">
        <f t="shared" si="3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4"/>
        <v>0</v>
      </c>
      <c r="P293" s="50"/>
      <c r="Q293" s="50"/>
      <c r="R293" s="95" t="str">
        <f t="shared" si="35"/>
        <v/>
      </c>
      <c r="S293" s="95" t="str">
        <f t="shared" si="36"/>
        <v/>
      </c>
      <c r="T293" s="96">
        <f t="shared" si="37"/>
        <v>0</v>
      </c>
      <c r="U293" s="51"/>
    </row>
    <row r="294" spans="1:21" x14ac:dyDescent="0.25">
      <c r="A294" s="46">
        <f t="shared" si="3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4"/>
        <v>0</v>
      </c>
      <c r="P294" s="50"/>
      <c r="Q294" s="50"/>
      <c r="R294" s="95" t="str">
        <f t="shared" si="35"/>
        <v/>
      </c>
      <c r="S294" s="95" t="str">
        <f t="shared" si="36"/>
        <v/>
      </c>
      <c r="T294" s="96">
        <f t="shared" si="37"/>
        <v>0</v>
      </c>
      <c r="U294" s="51"/>
    </row>
    <row r="295" spans="1:21" x14ac:dyDescent="0.25">
      <c r="A295" s="46">
        <f t="shared" si="3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4"/>
        <v>0</v>
      </c>
      <c r="P295" s="50"/>
      <c r="Q295" s="50"/>
      <c r="R295" s="95" t="str">
        <f t="shared" si="35"/>
        <v/>
      </c>
      <c r="S295" s="95" t="str">
        <f t="shared" si="36"/>
        <v/>
      </c>
      <c r="T295" s="96">
        <f t="shared" si="37"/>
        <v>0</v>
      </c>
      <c r="U295" s="51"/>
    </row>
    <row r="296" spans="1:21" x14ac:dyDescent="0.25">
      <c r="A296" s="46">
        <f t="shared" si="3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4"/>
        <v>0</v>
      </c>
      <c r="P296" s="50"/>
      <c r="Q296" s="50"/>
      <c r="R296" s="95" t="str">
        <f t="shared" si="35"/>
        <v/>
      </c>
      <c r="S296" s="95" t="str">
        <f t="shared" si="36"/>
        <v/>
      </c>
      <c r="T296" s="96">
        <f t="shared" si="37"/>
        <v>0</v>
      </c>
      <c r="U296" s="51"/>
    </row>
    <row r="297" spans="1:21" x14ac:dyDescent="0.25">
      <c r="A297" s="46">
        <f t="shared" si="3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4"/>
        <v>0</v>
      </c>
      <c r="P297" s="50"/>
      <c r="Q297" s="50"/>
      <c r="R297" s="95" t="str">
        <f t="shared" si="35"/>
        <v/>
      </c>
      <c r="S297" s="95" t="str">
        <f t="shared" si="36"/>
        <v/>
      </c>
      <c r="T297" s="96">
        <f t="shared" si="37"/>
        <v>0</v>
      </c>
      <c r="U297" s="51"/>
    </row>
    <row r="298" spans="1:21" x14ac:dyDescent="0.25">
      <c r="A298" s="46">
        <f t="shared" si="3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4"/>
        <v>0</v>
      </c>
      <c r="P298" s="50"/>
      <c r="Q298" s="50"/>
      <c r="R298" s="95" t="str">
        <f t="shared" si="35"/>
        <v/>
      </c>
      <c r="S298" s="95" t="str">
        <f t="shared" si="36"/>
        <v/>
      </c>
      <c r="T298" s="96">
        <f t="shared" si="37"/>
        <v>0</v>
      </c>
      <c r="U298" s="51"/>
    </row>
    <row r="299" spans="1:21" x14ac:dyDescent="0.25">
      <c r="A299" s="46">
        <f t="shared" si="3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4"/>
        <v>0</v>
      </c>
      <c r="P299" s="50"/>
      <c r="Q299" s="50"/>
      <c r="R299" s="95" t="str">
        <f t="shared" si="35"/>
        <v/>
      </c>
      <c r="S299" s="95" t="str">
        <f t="shared" si="36"/>
        <v/>
      </c>
      <c r="T299" s="96">
        <f t="shared" si="37"/>
        <v>0</v>
      </c>
      <c r="U299" s="51"/>
    </row>
    <row r="300" spans="1:21" x14ac:dyDescent="0.25">
      <c r="A300" s="46">
        <f t="shared" si="3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4"/>
        <v>0</v>
      </c>
      <c r="P300" s="50"/>
      <c r="Q300" s="50"/>
      <c r="R300" s="95" t="str">
        <f t="shared" si="35"/>
        <v/>
      </c>
      <c r="S300" s="95" t="str">
        <f t="shared" si="36"/>
        <v/>
      </c>
      <c r="T300" s="96">
        <f t="shared" si="37"/>
        <v>0</v>
      </c>
      <c r="U300" s="51"/>
    </row>
    <row r="301" spans="1:21" x14ac:dyDescent="0.25">
      <c r="A301" s="46">
        <f t="shared" si="3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4"/>
        <v>0</v>
      </c>
      <c r="P301" s="50"/>
      <c r="Q301" s="50"/>
      <c r="R301" s="95" t="str">
        <f t="shared" si="35"/>
        <v/>
      </c>
      <c r="S301" s="95" t="str">
        <f t="shared" si="36"/>
        <v/>
      </c>
      <c r="T301" s="96">
        <f t="shared" si="37"/>
        <v>0</v>
      </c>
      <c r="U301" s="51"/>
    </row>
    <row r="302" spans="1:21" x14ac:dyDescent="0.25">
      <c r="A302" s="46">
        <f t="shared" si="3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4"/>
        <v>0</v>
      </c>
      <c r="P302" s="50"/>
      <c r="Q302" s="50"/>
      <c r="R302" s="95" t="str">
        <f t="shared" si="35"/>
        <v/>
      </c>
      <c r="S302" s="95" t="str">
        <f t="shared" si="36"/>
        <v/>
      </c>
      <c r="T302" s="96">
        <f t="shared" si="37"/>
        <v>0</v>
      </c>
      <c r="U302" s="51"/>
    </row>
    <row r="303" spans="1:21" x14ac:dyDescent="0.25">
      <c r="A303" s="46">
        <f t="shared" si="3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4"/>
        <v>0</v>
      </c>
      <c r="P303" s="50"/>
      <c r="Q303" s="50"/>
      <c r="R303" s="95" t="str">
        <f t="shared" si="35"/>
        <v/>
      </c>
      <c r="S303" s="95" t="str">
        <f t="shared" si="36"/>
        <v/>
      </c>
      <c r="T303" s="96">
        <f t="shared" si="37"/>
        <v>0</v>
      </c>
      <c r="U303" s="51"/>
    </row>
    <row r="304" spans="1:21" x14ac:dyDescent="0.25">
      <c r="A304" s="46">
        <f t="shared" si="3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4"/>
        <v>0</v>
      </c>
      <c r="P304" s="50"/>
      <c r="Q304" s="50"/>
      <c r="R304" s="95" t="str">
        <f t="shared" si="35"/>
        <v/>
      </c>
      <c r="S304" s="95" t="str">
        <f t="shared" si="36"/>
        <v/>
      </c>
      <c r="T304" s="96">
        <f t="shared" si="37"/>
        <v>0</v>
      </c>
      <c r="U304" s="51"/>
    </row>
    <row r="305" spans="1:21" x14ac:dyDescent="0.25">
      <c r="A305" s="46">
        <f t="shared" si="3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4"/>
        <v>0</v>
      </c>
      <c r="P305" s="50"/>
      <c r="Q305" s="50"/>
      <c r="R305" s="95" t="str">
        <f t="shared" si="35"/>
        <v/>
      </c>
      <c r="S305" s="95" t="str">
        <f t="shared" si="36"/>
        <v/>
      </c>
      <c r="T305" s="96">
        <f t="shared" si="37"/>
        <v>0</v>
      </c>
      <c r="U305" s="51"/>
    </row>
    <row r="306" spans="1:21" x14ac:dyDescent="0.25">
      <c r="A306" s="46">
        <f t="shared" si="3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4"/>
        <v>0</v>
      </c>
      <c r="P306" s="50"/>
      <c r="Q306" s="50"/>
      <c r="R306" s="95" t="str">
        <f t="shared" si="35"/>
        <v/>
      </c>
      <c r="S306" s="95" t="str">
        <f t="shared" si="36"/>
        <v/>
      </c>
      <c r="T306" s="96">
        <f t="shared" si="37"/>
        <v>0</v>
      </c>
      <c r="U306" s="51"/>
    </row>
    <row r="307" spans="1:21" x14ac:dyDescent="0.25">
      <c r="A307" s="46">
        <f t="shared" si="3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4"/>
        <v>0</v>
      </c>
      <c r="P307" s="50"/>
      <c r="Q307" s="50"/>
      <c r="R307" s="95" t="str">
        <f t="shared" si="35"/>
        <v/>
      </c>
      <c r="S307" s="95" t="str">
        <f t="shared" si="36"/>
        <v/>
      </c>
      <c r="T307" s="96">
        <f t="shared" si="37"/>
        <v>0</v>
      </c>
      <c r="U307" s="51"/>
    </row>
    <row r="308" spans="1:21" x14ac:dyDescent="0.25">
      <c r="A308" s="46">
        <f t="shared" si="3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4"/>
        <v>0</v>
      </c>
      <c r="P308" s="50"/>
      <c r="Q308" s="50"/>
      <c r="R308" s="95" t="str">
        <f t="shared" si="35"/>
        <v/>
      </c>
      <c r="S308" s="95" t="str">
        <f t="shared" si="36"/>
        <v/>
      </c>
      <c r="T308" s="96">
        <f t="shared" si="37"/>
        <v>0</v>
      </c>
      <c r="U308" s="51"/>
    </row>
    <row r="309" spans="1:21" x14ac:dyDescent="0.25">
      <c r="A309" s="46">
        <f t="shared" si="3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4"/>
        <v>0</v>
      </c>
      <c r="P309" s="50"/>
      <c r="Q309" s="50"/>
      <c r="R309" s="95" t="str">
        <f t="shared" si="35"/>
        <v/>
      </c>
      <c r="S309" s="95" t="str">
        <f t="shared" si="36"/>
        <v/>
      </c>
      <c r="T309" s="96">
        <f t="shared" si="37"/>
        <v>0</v>
      </c>
      <c r="U309" s="51"/>
    </row>
    <row r="310" spans="1:21" x14ac:dyDescent="0.25">
      <c r="A310" s="46">
        <f t="shared" si="3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4"/>
        <v>0</v>
      </c>
      <c r="P310" s="50"/>
      <c r="Q310" s="50"/>
      <c r="R310" s="95" t="str">
        <f t="shared" si="35"/>
        <v/>
      </c>
      <c r="S310" s="95" t="str">
        <f t="shared" si="36"/>
        <v/>
      </c>
      <c r="T310" s="96">
        <f t="shared" si="37"/>
        <v>0</v>
      </c>
      <c r="U310" s="51"/>
    </row>
    <row r="311" spans="1:21" x14ac:dyDescent="0.25">
      <c r="A311" s="46">
        <f t="shared" si="3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4"/>
        <v>0</v>
      </c>
      <c r="P311" s="50"/>
      <c r="Q311" s="50"/>
      <c r="R311" s="95" t="str">
        <f t="shared" si="35"/>
        <v/>
      </c>
      <c r="S311" s="95" t="str">
        <f t="shared" si="36"/>
        <v/>
      </c>
      <c r="T311" s="96">
        <f t="shared" si="37"/>
        <v>0</v>
      </c>
      <c r="U311" s="51"/>
    </row>
    <row r="312" spans="1:21" x14ac:dyDescent="0.25">
      <c r="A312" s="46">
        <f t="shared" si="3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4"/>
        <v>0</v>
      </c>
      <c r="P312" s="50"/>
      <c r="Q312" s="50"/>
      <c r="R312" s="95" t="str">
        <f t="shared" si="35"/>
        <v/>
      </c>
      <c r="S312" s="95" t="str">
        <f t="shared" si="36"/>
        <v/>
      </c>
      <c r="T312" s="96">
        <f t="shared" si="37"/>
        <v>0</v>
      </c>
      <c r="U312" s="51"/>
    </row>
    <row r="313" spans="1:21" x14ac:dyDescent="0.25">
      <c r="A313" s="46">
        <f t="shared" si="3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4"/>
        <v>0</v>
      </c>
      <c r="P313" s="50"/>
      <c r="Q313" s="50"/>
      <c r="R313" s="95" t="str">
        <f t="shared" si="35"/>
        <v/>
      </c>
      <c r="S313" s="95" t="str">
        <f t="shared" si="36"/>
        <v/>
      </c>
      <c r="T313" s="96">
        <f t="shared" si="37"/>
        <v>0</v>
      </c>
      <c r="U313" s="51"/>
    </row>
    <row r="314" spans="1:21" x14ac:dyDescent="0.25">
      <c r="A314" s="46">
        <f t="shared" si="3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4"/>
        <v>0</v>
      </c>
      <c r="P314" s="50"/>
      <c r="Q314" s="50"/>
      <c r="R314" s="95" t="str">
        <f t="shared" si="35"/>
        <v/>
      </c>
      <c r="S314" s="95" t="str">
        <f t="shared" si="36"/>
        <v/>
      </c>
      <c r="T314" s="96">
        <f t="shared" si="37"/>
        <v>0</v>
      </c>
      <c r="U314" s="51"/>
    </row>
    <row r="315" spans="1:21" x14ac:dyDescent="0.25">
      <c r="A315" s="46">
        <f t="shared" si="3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4"/>
        <v>0</v>
      </c>
      <c r="P315" s="50"/>
      <c r="Q315" s="50"/>
      <c r="R315" s="95" t="str">
        <f t="shared" si="35"/>
        <v/>
      </c>
      <c r="S315" s="95" t="str">
        <f t="shared" si="36"/>
        <v/>
      </c>
      <c r="T315" s="96">
        <f t="shared" si="37"/>
        <v>0</v>
      </c>
      <c r="U315" s="51"/>
    </row>
    <row r="316" spans="1:21" x14ac:dyDescent="0.25">
      <c r="A316" s="46">
        <f t="shared" si="3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4"/>
        <v>0</v>
      </c>
      <c r="P316" s="50"/>
      <c r="Q316" s="50"/>
      <c r="R316" s="95" t="str">
        <f t="shared" si="35"/>
        <v/>
      </c>
      <c r="S316" s="95" t="str">
        <f t="shared" si="36"/>
        <v/>
      </c>
      <c r="T316" s="96">
        <f t="shared" si="37"/>
        <v>0</v>
      </c>
      <c r="U316" s="51"/>
    </row>
    <row r="317" spans="1:21" x14ac:dyDescent="0.25">
      <c r="A317" s="46">
        <f t="shared" si="3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4"/>
        <v>0</v>
      </c>
      <c r="P317" s="50"/>
      <c r="Q317" s="50"/>
      <c r="R317" s="95" t="str">
        <f t="shared" si="35"/>
        <v/>
      </c>
      <c r="S317" s="95" t="str">
        <f t="shared" si="36"/>
        <v/>
      </c>
      <c r="T317" s="96">
        <f t="shared" si="37"/>
        <v>0</v>
      </c>
      <c r="U317" s="51"/>
    </row>
    <row r="318" spans="1:21" x14ac:dyDescent="0.25">
      <c r="A318" s="46">
        <f t="shared" si="3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4"/>
        <v>0</v>
      </c>
      <c r="P318" s="50"/>
      <c r="Q318" s="50"/>
      <c r="R318" s="95" t="str">
        <f t="shared" si="35"/>
        <v/>
      </c>
      <c r="S318" s="95" t="str">
        <f t="shared" si="36"/>
        <v/>
      </c>
      <c r="T318" s="96">
        <f t="shared" si="37"/>
        <v>0</v>
      </c>
      <c r="U318" s="51"/>
    </row>
    <row r="319" spans="1:21" x14ac:dyDescent="0.25">
      <c r="A319" s="46">
        <f t="shared" si="3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4"/>
        <v>0</v>
      </c>
      <c r="P319" s="50"/>
      <c r="Q319" s="50"/>
      <c r="R319" s="95" t="str">
        <f t="shared" si="35"/>
        <v/>
      </c>
      <c r="S319" s="95" t="str">
        <f t="shared" si="36"/>
        <v/>
      </c>
      <c r="T319" s="96">
        <f t="shared" si="37"/>
        <v>0</v>
      </c>
      <c r="U319" s="51"/>
    </row>
    <row r="320" spans="1:21" x14ac:dyDescent="0.25">
      <c r="A320" s="46">
        <f t="shared" si="3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4"/>
        <v>0</v>
      </c>
      <c r="P320" s="50"/>
      <c r="Q320" s="50"/>
      <c r="R320" s="95" t="str">
        <f t="shared" si="35"/>
        <v/>
      </c>
      <c r="S320" s="95" t="str">
        <f t="shared" si="36"/>
        <v/>
      </c>
      <c r="T320" s="96">
        <f t="shared" si="37"/>
        <v>0</v>
      </c>
      <c r="U320" s="51"/>
    </row>
    <row r="321" spans="1:21" x14ac:dyDescent="0.25">
      <c r="A321" s="46">
        <f t="shared" si="3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4"/>
        <v>0</v>
      </c>
      <c r="P321" s="50"/>
      <c r="Q321" s="50"/>
      <c r="R321" s="95" t="str">
        <f t="shared" si="35"/>
        <v/>
      </c>
      <c r="S321" s="95" t="str">
        <f t="shared" si="36"/>
        <v/>
      </c>
      <c r="T321" s="96">
        <f t="shared" si="37"/>
        <v>0</v>
      </c>
      <c r="U321" s="51"/>
    </row>
    <row r="322" spans="1:21" x14ac:dyDescent="0.25">
      <c r="A322" s="46">
        <f t="shared" si="3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4"/>
        <v>0</v>
      </c>
      <c r="P322" s="50"/>
      <c r="Q322" s="50"/>
      <c r="R322" s="95" t="str">
        <f t="shared" si="35"/>
        <v/>
      </c>
      <c r="S322" s="95" t="str">
        <f t="shared" si="36"/>
        <v/>
      </c>
      <c r="T322" s="96">
        <f t="shared" si="37"/>
        <v>0</v>
      </c>
      <c r="U322" s="51"/>
    </row>
    <row r="323" spans="1:21" x14ac:dyDescent="0.25">
      <c r="A323" s="46">
        <f t="shared" si="3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4"/>
        <v>0</v>
      </c>
      <c r="P323" s="50"/>
      <c r="Q323" s="50"/>
      <c r="R323" s="95" t="str">
        <f t="shared" si="35"/>
        <v/>
      </c>
      <c r="S323" s="95" t="str">
        <f t="shared" si="36"/>
        <v/>
      </c>
      <c r="T323" s="96">
        <f t="shared" si="37"/>
        <v>0</v>
      </c>
      <c r="U323" s="51"/>
    </row>
    <row r="324" spans="1:21" x14ac:dyDescent="0.25">
      <c r="A324" s="46">
        <f t="shared" si="3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4"/>
        <v>0</v>
      </c>
      <c r="P324" s="50"/>
      <c r="Q324" s="50"/>
      <c r="R324" s="95" t="str">
        <f t="shared" si="35"/>
        <v/>
      </c>
      <c r="S324" s="95" t="str">
        <f t="shared" si="36"/>
        <v/>
      </c>
      <c r="T324" s="96">
        <f t="shared" si="37"/>
        <v>0</v>
      </c>
      <c r="U324" s="51"/>
    </row>
    <row r="325" spans="1:21" x14ac:dyDescent="0.25">
      <c r="A325" s="46">
        <f t="shared" si="3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4"/>
        <v>0</v>
      </c>
      <c r="P325" s="50"/>
      <c r="Q325" s="50"/>
      <c r="R325" s="95" t="str">
        <f t="shared" si="35"/>
        <v/>
      </c>
      <c r="S325" s="95" t="str">
        <f t="shared" si="36"/>
        <v/>
      </c>
      <c r="T325" s="96">
        <f t="shared" si="37"/>
        <v>0</v>
      </c>
      <c r="U325" s="51"/>
    </row>
    <row r="326" spans="1:21" x14ac:dyDescent="0.25">
      <c r="A326" s="46">
        <f t="shared" si="3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4"/>
        <v>0</v>
      </c>
      <c r="P326" s="50"/>
      <c r="Q326" s="50"/>
      <c r="R326" s="95" t="str">
        <f t="shared" si="35"/>
        <v/>
      </c>
      <c r="S326" s="95" t="str">
        <f t="shared" si="36"/>
        <v/>
      </c>
      <c r="T326" s="96">
        <f t="shared" si="37"/>
        <v>0</v>
      </c>
      <c r="U326" s="51"/>
    </row>
    <row r="327" spans="1:21" x14ac:dyDescent="0.25">
      <c r="A327" s="46">
        <f t="shared" si="3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4"/>
        <v>0</v>
      </c>
      <c r="P327" s="50"/>
      <c r="Q327" s="50"/>
      <c r="R327" s="95" t="str">
        <f t="shared" si="35"/>
        <v/>
      </c>
      <c r="S327" s="95" t="str">
        <f t="shared" si="36"/>
        <v/>
      </c>
      <c r="T327" s="96">
        <f t="shared" si="37"/>
        <v>0</v>
      </c>
      <c r="U327" s="51"/>
    </row>
    <row r="328" spans="1:21" x14ac:dyDescent="0.25">
      <c r="A328" s="46">
        <f t="shared" si="3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4"/>
        <v>0</v>
      </c>
      <c r="P328" s="50"/>
      <c r="Q328" s="50"/>
      <c r="R328" s="95" t="str">
        <f t="shared" si="35"/>
        <v/>
      </c>
      <c r="S328" s="95" t="str">
        <f t="shared" si="36"/>
        <v/>
      </c>
      <c r="T328" s="96">
        <f t="shared" si="37"/>
        <v>0</v>
      </c>
      <c r="U328" s="51"/>
    </row>
    <row r="329" spans="1:21" x14ac:dyDescent="0.25">
      <c r="A329" s="46">
        <f t="shared" si="3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4"/>
        <v>0</v>
      </c>
      <c r="P329" s="50"/>
      <c r="Q329" s="50"/>
      <c r="R329" s="95" t="str">
        <f t="shared" si="35"/>
        <v/>
      </c>
      <c r="S329" s="95" t="str">
        <f t="shared" si="36"/>
        <v/>
      </c>
      <c r="T329" s="96">
        <f t="shared" si="37"/>
        <v>0</v>
      </c>
      <c r="U329" s="51"/>
    </row>
    <row r="330" spans="1:21" x14ac:dyDescent="0.25">
      <c r="A330" s="46">
        <f t="shared" si="3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4"/>
        <v>0</v>
      </c>
      <c r="P330" s="50"/>
      <c r="Q330" s="50"/>
      <c r="R330" s="95" t="str">
        <f t="shared" si="35"/>
        <v/>
      </c>
      <c r="S330" s="95" t="str">
        <f t="shared" si="36"/>
        <v/>
      </c>
      <c r="T330" s="96">
        <f t="shared" si="37"/>
        <v>0</v>
      </c>
      <c r="U330" s="51"/>
    </row>
    <row r="331" spans="1:21" x14ac:dyDescent="0.25">
      <c r="A331" s="46">
        <f t="shared" si="3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4"/>
        <v>0</v>
      </c>
      <c r="P331" s="50"/>
      <c r="Q331" s="50"/>
      <c r="R331" s="95" t="str">
        <f t="shared" si="35"/>
        <v/>
      </c>
      <c r="S331" s="95" t="str">
        <f t="shared" si="36"/>
        <v/>
      </c>
      <c r="T331" s="96">
        <f t="shared" si="37"/>
        <v>0</v>
      </c>
      <c r="U331" s="51"/>
    </row>
    <row r="332" spans="1:21" x14ac:dyDescent="0.25">
      <c r="A332" s="46">
        <f t="shared" ref="A332:A395" si="3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9">T332*N332</f>
        <v>0</v>
      </c>
      <c r="P332" s="50"/>
      <c r="Q332" s="50"/>
      <c r="R332" s="95" t="str">
        <f t="shared" ref="R332:R395" si="40">IF(OR(P332="c",P332="C"),+T332,"")</f>
        <v/>
      </c>
      <c r="S332" s="95" t="str">
        <f t="shared" ref="S332:S395" si="41">IF(OR(P332="$",N332=1),+T332,"")</f>
        <v/>
      </c>
      <c r="T332" s="96">
        <f t="shared" ref="T332:T395" si="4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9"/>
        <v>0</v>
      </c>
      <c r="P333" s="50"/>
      <c r="Q333" s="50"/>
      <c r="R333" s="95" t="str">
        <f t="shared" si="40"/>
        <v/>
      </c>
      <c r="S333" s="95" t="str">
        <f t="shared" si="41"/>
        <v/>
      </c>
      <c r="T333" s="96">
        <f t="shared" si="42"/>
        <v>0</v>
      </c>
      <c r="U333" s="51"/>
    </row>
    <row r="334" spans="1:21" x14ac:dyDescent="0.25">
      <c r="A334" s="46">
        <f t="shared" si="3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9"/>
        <v>0</v>
      </c>
      <c r="P334" s="50"/>
      <c r="Q334" s="50"/>
      <c r="R334" s="95" t="str">
        <f t="shared" si="40"/>
        <v/>
      </c>
      <c r="S334" s="95" t="str">
        <f t="shared" si="41"/>
        <v/>
      </c>
      <c r="T334" s="96">
        <f t="shared" si="42"/>
        <v>0</v>
      </c>
      <c r="U334" s="51"/>
    </row>
    <row r="335" spans="1:21" x14ac:dyDescent="0.25">
      <c r="A335" s="46">
        <f t="shared" si="3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9"/>
        <v>0</v>
      </c>
      <c r="P335" s="50"/>
      <c r="Q335" s="50"/>
      <c r="R335" s="95" t="str">
        <f t="shared" si="40"/>
        <v/>
      </c>
      <c r="S335" s="95" t="str">
        <f t="shared" si="41"/>
        <v/>
      </c>
      <c r="T335" s="96">
        <f t="shared" si="42"/>
        <v>0</v>
      </c>
      <c r="U335" s="51"/>
    </row>
    <row r="336" spans="1:21" x14ac:dyDescent="0.25">
      <c r="A336" s="46">
        <f t="shared" si="3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9"/>
        <v>0</v>
      </c>
      <c r="P336" s="50"/>
      <c r="Q336" s="50"/>
      <c r="R336" s="95" t="str">
        <f t="shared" si="40"/>
        <v/>
      </c>
      <c r="S336" s="95" t="str">
        <f t="shared" si="41"/>
        <v/>
      </c>
      <c r="T336" s="96">
        <f t="shared" si="42"/>
        <v>0</v>
      </c>
      <c r="U336" s="51"/>
    </row>
    <row r="337" spans="1:21" x14ac:dyDescent="0.25">
      <c r="A337" s="46">
        <f t="shared" si="3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9"/>
        <v>0</v>
      </c>
      <c r="P337" s="50"/>
      <c r="Q337" s="50"/>
      <c r="R337" s="95" t="str">
        <f t="shared" si="40"/>
        <v/>
      </c>
      <c r="S337" s="95" t="str">
        <f t="shared" si="41"/>
        <v/>
      </c>
      <c r="T337" s="96">
        <f t="shared" si="42"/>
        <v>0</v>
      </c>
      <c r="U337" s="51"/>
    </row>
    <row r="338" spans="1:21" x14ac:dyDescent="0.25">
      <c r="A338" s="46">
        <f t="shared" si="3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9"/>
        <v>0</v>
      </c>
      <c r="P338" s="50"/>
      <c r="Q338" s="50"/>
      <c r="R338" s="95" t="str">
        <f t="shared" si="40"/>
        <v/>
      </c>
      <c r="S338" s="95" t="str">
        <f t="shared" si="41"/>
        <v/>
      </c>
      <c r="T338" s="96">
        <f t="shared" si="42"/>
        <v>0</v>
      </c>
      <c r="U338" s="51"/>
    </row>
    <row r="339" spans="1:21" x14ac:dyDescent="0.25">
      <c r="A339" s="46">
        <f t="shared" si="3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9"/>
        <v>0</v>
      </c>
      <c r="P339" s="50"/>
      <c r="Q339" s="50"/>
      <c r="R339" s="95" t="str">
        <f t="shared" si="40"/>
        <v/>
      </c>
      <c r="S339" s="95" t="str">
        <f t="shared" si="41"/>
        <v/>
      </c>
      <c r="T339" s="96">
        <f t="shared" si="42"/>
        <v>0</v>
      </c>
      <c r="U339" s="51"/>
    </row>
    <row r="340" spans="1:21" x14ac:dyDescent="0.25">
      <c r="A340" s="46">
        <f t="shared" si="3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9"/>
        <v>0</v>
      </c>
      <c r="P340" s="50"/>
      <c r="Q340" s="50"/>
      <c r="R340" s="95" t="str">
        <f t="shared" si="40"/>
        <v/>
      </c>
      <c r="S340" s="95" t="str">
        <f t="shared" si="41"/>
        <v/>
      </c>
      <c r="T340" s="96">
        <f t="shared" si="42"/>
        <v>0</v>
      </c>
      <c r="U340" s="51"/>
    </row>
    <row r="341" spans="1:21" x14ac:dyDescent="0.25">
      <c r="A341" s="46">
        <f t="shared" si="3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9"/>
        <v>0</v>
      </c>
      <c r="P341" s="50"/>
      <c r="Q341" s="50"/>
      <c r="R341" s="95" t="str">
        <f t="shared" si="40"/>
        <v/>
      </c>
      <c r="S341" s="95" t="str">
        <f t="shared" si="41"/>
        <v/>
      </c>
      <c r="T341" s="96">
        <f t="shared" si="42"/>
        <v>0</v>
      </c>
      <c r="U341" s="51"/>
    </row>
    <row r="342" spans="1:21" x14ac:dyDescent="0.25">
      <c r="A342" s="46">
        <f t="shared" si="3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9"/>
        <v>0</v>
      </c>
      <c r="P342" s="50"/>
      <c r="Q342" s="50"/>
      <c r="R342" s="95" t="str">
        <f t="shared" si="40"/>
        <v/>
      </c>
      <c r="S342" s="95" t="str">
        <f t="shared" si="41"/>
        <v/>
      </c>
      <c r="T342" s="96">
        <f t="shared" si="42"/>
        <v>0</v>
      </c>
      <c r="U342" s="51"/>
    </row>
    <row r="343" spans="1:21" x14ac:dyDescent="0.25">
      <c r="A343" s="46">
        <f t="shared" si="3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9"/>
        <v>0</v>
      </c>
      <c r="P343" s="50"/>
      <c r="Q343" s="50"/>
      <c r="R343" s="95" t="str">
        <f t="shared" si="40"/>
        <v/>
      </c>
      <c r="S343" s="95" t="str">
        <f t="shared" si="41"/>
        <v/>
      </c>
      <c r="T343" s="96">
        <f t="shared" si="42"/>
        <v>0</v>
      </c>
      <c r="U343" s="51"/>
    </row>
    <row r="344" spans="1:21" x14ac:dyDescent="0.25">
      <c r="A344" s="46">
        <f t="shared" si="3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9"/>
        <v>0</v>
      </c>
      <c r="P344" s="50"/>
      <c r="Q344" s="50"/>
      <c r="R344" s="95" t="str">
        <f t="shared" si="40"/>
        <v/>
      </c>
      <c r="S344" s="95" t="str">
        <f t="shared" si="41"/>
        <v/>
      </c>
      <c r="T344" s="96">
        <f t="shared" si="42"/>
        <v>0</v>
      </c>
      <c r="U344" s="51"/>
    </row>
    <row r="345" spans="1:21" x14ac:dyDescent="0.25">
      <c r="A345" s="46">
        <f t="shared" si="3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9"/>
        <v>0</v>
      </c>
      <c r="P345" s="50"/>
      <c r="Q345" s="50"/>
      <c r="R345" s="95" t="str">
        <f t="shared" si="40"/>
        <v/>
      </c>
      <c r="S345" s="95" t="str">
        <f t="shared" si="41"/>
        <v/>
      </c>
      <c r="T345" s="96">
        <f t="shared" si="42"/>
        <v>0</v>
      </c>
      <c r="U345" s="51"/>
    </row>
    <row r="346" spans="1:21" x14ac:dyDescent="0.25">
      <c r="A346" s="46">
        <f t="shared" si="3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9"/>
        <v>0</v>
      </c>
      <c r="P346" s="50"/>
      <c r="Q346" s="50"/>
      <c r="R346" s="95" t="str">
        <f t="shared" si="40"/>
        <v/>
      </c>
      <c r="S346" s="95" t="str">
        <f t="shared" si="41"/>
        <v/>
      </c>
      <c r="T346" s="96">
        <f t="shared" si="42"/>
        <v>0</v>
      </c>
      <c r="U346" s="51"/>
    </row>
    <row r="347" spans="1:21" x14ac:dyDescent="0.25">
      <c r="A347" s="46">
        <f t="shared" si="3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9"/>
        <v>0</v>
      </c>
      <c r="P347" s="50"/>
      <c r="Q347" s="50"/>
      <c r="R347" s="95" t="str">
        <f t="shared" si="40"/>
        <v/>
      </c>
      <c r="S347" s="95" t="str">
        <f t="shared" si="41"/>
        <v/>
      </c>
      <c r="T347" s="96">
        <f t="shared" si="42"/>
        <v>0</v>
      </c>
      <c r="U347" s="51"/>
    </row>
    <row r="348" spans="1:21" x14ac:dyDescent="0.25">
      <c r="A348" s="46">
        <f t="shared" si="3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9"/>
        <v>0</v>
      </c>
      <c r="P348" s="50"/>
      <c r="Q348" s="50"/>
      <c r="R348" s="95" t="str">
        <f t="shared" si="40"/>
        <v/>
      </c>
      <c r="S348" s="95" t="str">
        <f t="shared" si="41"/>
        <v/>
      </c>
      <c r="T348" s="96">
        <f t="shared" si="42"/>
        <v>0</v>
      </c>
      <c r="U348" s="51"/>
    </row>
    <row r="349" spans="1:21" x14ac:dyDescent="0.25">
      <c r="A349" s="46">
        <f t="shared" si="3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9"/>
        <v>0</v>
      </c>
      <c r="P349" s="50"/>
      <c r="Q349" s="50"/>
      <c r="R349" s="95" t="str">
        <f t="shared" si="40"/>
        <v/>
      </c>
      <c r="S349" s="95" t="str">
        <f t="shared" si="41"/>
        <v/>
      </c>
      <c r="T349" s="96">
        <f t="shared" si="42"/>
        <v>0</v>
      </c>
      <c r="U349" s="51"/>
    </row>
    <row r="350" spans="1:21" x14ac:dyDescent="0.25">
      <c r="A350" s="46">
        <f t="shared" si="3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9"/>
        <v>0</v>
      </c>
      <c r="P350" s="50"/>
      <c r="Q350" s="50"/>
      <c r="R350" s="95" t="str">
        <f t="shared" si="40"/>
        <v/>
      </c>
      <c r="S350" s="95" t="str">
        <f t="shared" si="41"/>
        <v/>
      </c>
      <c r="T350" s="96">
        <f t="shared" si="42"/>
        <v>0</v>
      </c>
      <c r="U350" s="51"/>
    </row>
    <row r="351" spans="1:21" x14ac:dyDescent="0.25">
      <c r="A351" s="46">
        <f t="shared" si="3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9"/>
        <v>0</v>
      </c>
      <c r="P351" s="50"/>
      <c r="Q351" s="50"/>
      <c r="R351" s="95" t="str">
        <f t="shared" si="40"/>
        <v/>
      </c>
      <c r="S351" s="95" t="str">
        <f t="shared" si="41"/>
        <v/>
      </c>
      <c r="T351" s="96">
        <f t="shared" si="42"/>
        <v>0</v>
      </c>
      <c r="U351" s="51"/>
    </row>
    <row r="352" spans="1:21" x14ac:dyDescent="0.25">
      <c r="A352" s="46">
        <f t="shared" si="3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9"/>
        <v>0</v>
      </c>
      <c r="P352" s="50"/>
      <c r="Q352" s="50"/>
      <c r="R352" s="95" t="str">
        <f t="shared" si="40"/>
        <v/>
      </c>
      <c r="S352" s="95" t="str">
        <f t="shared" si="41"/>
        <v/>
      </c>
      <c r="T352" s="96">
        <f t="shared" si="42"/>
        <v>0</v>
      </c>
      <c r="U352" s="51"/>
    </row>
    <row r="353" spans="1:21" x14ac:dyDescent="0.25">
      <c r="A353" s="46">
        <f t="shared" si="3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9"/>
        <v>0</v>
      </c>
      <c r="P353" s="50"/>
      <c r="Q353" s="50"/>
      <c r="R353" s="95" t="str">
        <f t="shared" si="40"/>
        <v/>
      </c>
      <c r="S353" s="95" t="str">
        <f t="shared" si="41"/>
        <v/>
      </c>
      <c r="T353" s="96">
        <f t="shared" si="42"/>
        <v>0</v>
      </c>
      <c r="U353" s="51"/>
    </row>
    <row r="354" spans="1:21" x14ac:dyDescent="0.25">
      <c r="A354" s="46">
        <f t="shared" si="3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9"/>
        <v>0</v>
      </c>
      <c r="P354" s="50"/>
      <c r="Q354" s="50"/>
      <c r="R354" s="95" t="str">
        <f t="shared" si="40"/>
        <v/>
      </c>
      <c r="S354" s="95" t="str">
        <f t="shared" si="41"/>
        <v/>
      </c>
      <c r="T354" s="96">
        <f t="shared" si="42"/>
        <v>0</v>
      </c>
      <c r="U354" s="51"/>
    </row>
    <row r="355" spans="1:21" x14ac:dyDescent="0.25">
      <c r="A355" s="46">
        <f t="shared" si="3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9"/>
        <v>0</v>
      </c>
      <c r="P355" s="50"/>
      <c r="Q355" s="50"/>
      <c r="R355" s="95" t="str">
        <f t="shared" si="40"/>
        <v/>
      </c>
      <c r="S355" s="95" t="str">
        <f t="shared" si="41"/>
        <v/>
      </c>
      <c r="T355" s="96">
        <f t="shared" si="42"/>
        <v>0</v>
      </c>
      <c r="U355" s="51"/>
    </row>
    <row r="356" spans="1:21" x14ac:dyDescent="0.25">
      <c r="A356" s="46">
        <f t="shared" si="3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9"/>
        <v>0</v>
      </c>
      <c r="P356" s="50"/>
      <c r="Q356" s="50"/>
      <c r="R356" s="95" t="str">
        <f t="shared" si="40"/>
        <v/>
      </c>
      <c r="S356" s="95" t="str">
        <f t="shared" si="41"/>
        <v/>
      </c>
      <c r="T356" s="96">
        <f t="shared" si="42"/>
        <v>0</v>
      </c>
      <c r="U356" s="51"/>
    </row>
    <row r="357" spans="1:21" x14ac:dyDescent="0.25">
      <c r="A357" s="46">
        <f t="shared" si="3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9"/>
        <v>0</v>
      </c>
      <c r="P357" s="50"/>
      <c r="Q357" s="50"/>
      <c r="R357" s="95" t="str">
        <f t="shared" si="40"/>
        <v/>
      </c>
      <c r="S357" s="95" t="str">
        <f t="shared" si="41"/>
        <v/>
      </c>
      <c r="T357" s="96">
        <f t="shared" si="42"/>
        <v>0</v>
      </c>
      <c r="U357" s="51"/>
    </row>
    <row r="358" spans="1:21" x14ac:dyDescent="0.25">
      <c r="A358" s="46">
        <f t="shared" si="3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9"/>
        <v>0</v>
      </c>
      <c r="P358" s="50"/>
      <c r="Q358" s="50"/>
      <c r="R358" s="95" t="str">
        <f t="shared" si="40"/>
        <v/>
      </c>
      <c r="S358" s="95" t="str">
        <f t="shared" si="41"/>
        <v/>
      </c>
      <c r="T358" s="96">
        <f t="shared" si="42"/>
        <v>0</v>
      </c>
      <c r="U358" s="51"/>
    </row>
    <row r="359" spans="1:21" x14ac:dyDescent="0.25">
      <c r="A359" s="46">
        <f t="shared" si="3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9"/>
        <v>0</v>
      </c>
      <c r="P359" s="50"/>
      <c r="Q359" s="50"/>
      <c r="R359" s="95" t="str">
        <f t="shared" si="40"/>
        <v/>
      </c>
      <c r="S359" s="95" t="str">
        <f t="shared" si="41"/>
        <v/>
      </c>
      <c r="T359" s="96">
        <f t="shared" si="42"/>
        <v>0</v>
      </c>
      <c r="U359" s="51"/>
    </row>
    <row r="360" spans="1:21" x14ac:dyDescent="0.25">
      <c r="A360" s="46">
        <f t="shared" si="3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9"/>
        <v>0</v>
      </c>
      <c r="P360" s="50"/>
      <c r="Q360" s="50"/>
      <c r="R360" s="95" t="str">
        <f t="shared" si="40"/>
        <v/>
      </c>
      <c r="S360" s="95" t="str">
        <f t="shared" si="41"/>
        <v/>
      </c>
      <c r="T360" s="96">
        <f t="shared" si="42"/>
        <v>0</v>
      </c>
      <c r="U360" s="51"/>
    </row>
    <row r="361" spans="1:21" x14ac:dyDescent="0.25">
      <c r="A361" s="46">
        <f t="shared" si="3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9"/>
        <v>0</v>
      </c>
      <c r="P361" s="50"/>
      <c r="Q361" s="50"/>
      <c r="R361" s="95" t="str">
        <f t="shared" si="40"/>
        <v/>
      </c>
      <c r="S361" s="95" t="str">
        <f t="shared" si="41"/>
        <v/>
      </c>
      <c r="T361" s="96">
        <f t="shared" si="42"/>
        <v>0</v>
      </c>
      <c r="U361" s="51"/>
    </row>
    <row r="362" spans="1:21" x14ac:dyDescent="0.25">
      <c r="A362" s="46">
        <f t="shared" si="3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9"/>
        <v>0</v>
      </c>
      <c r="P362" s="50"/>
      <c r="Q362" s="50"/>
      <c r="R362" s="95" t="str">
        <f t="shared" si="40"/>
        <v/>
      </c>
      <c r="S362" s="95" t="str">
        <f t="shared" si="41"/>
        <v/>
      </c>
      <c r="T362" s="96">
        <f t="shared" si="42"/>
        <v>0</v>
      </c>
      <c r="U362" s="51"/>
    </row>
    <row r="363" spans="1:21" x14ac:dyDescent="0.25">
      <c r="A363" s="46">
        <f t="shared" si="3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9"/>
        <v>0</v>
      </c>
      <c r="P363" s="50"/>
      <c r="Q363" s="50"/>
      <c r="R363" s="95" t="str">
        <f t="shared" si="40"/>
        <v/>
      </c>
      <c r="S363" s="95" t="str">
        <f t="shared" si="41"/>
        <v/>
      </c>
      <c r="T363" s="96">
        <f t="shared" si="42"/>
        <v>0</v>
      </c>
      <c r="U363" s="51"/>
    </row>
    <row r="364" spans="1:21" x14ac:dyDescent="0.25">
      <c r="A364" s="46">
        <f t="shared" si="3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9"/>
        <v>0</v>
      </c>
      <c r="P364" s="50"/>
      <c r="Q364" s="50"/>
      <c r="R364" s="95" t="str">
        <f t="shared" si="40"/>
        <v/>
      </c>
      <c r="S364" s="95" t="str">
        <f t="shared" si="41"/>
        <v/>
      </c>
      <c r="T364" s="96">
        <f t="shared" si="42"/>
        <v>0</v>
      </c>
      <c r="U364" s="51"/>
    </row>
    <row r="365" spans="1:21" x14ac:dyDescent="0.25">
      <c r="A365" s="46">
        <f t="shared" si="3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9"/>
        <v>0</v>
      </c>
      <c r="P365" s="50"/>
      <c r="Q365" s="50"/>
      <c r="R365" s="95" t="str">
        <f t="shared" si="40"/>
        <v/>
      </c>
      <c r="S365" s="95" t="str">
        <f t="shared" si="41"/>
        <v/>
      </c>
      <c r="T365" s="96">
        <f t="shared" si="42"/>
        <v>0</v>
      </c>
      <c r="U365" s="51"/>
    </row>
    <row r="366" spans="1:21" x14ac:dyDescent="0.25">
      <c r="A366" s="46">
        <f t="shared" si="3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9"/>
        <v>0</v>
      </c>
      <c r="P366" s="50"/>
      <c r="Q366" s="50"/>
      <c r="R366" s="95" t="str">
        <f t="shared" si="40"/>
        <v/>
      </c>
      <c r="S366" s="95" t="str">
        <f t="shared" si="41"/>
        <v/>
      </c>
      <c r="T366" s="96">
        <f t="shared" si="42"/>
        <v>0</v>
      </c>
      <c r="U366" s="51"/>
    </row>
    <row r="367" spans="1:21" x14ac:dyDescent="0.25">
      <c r="A367" s="46">
        <f t="shared" si="3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9"/>
        <v>0</v>
      </c>
      <c r="P367" s="50"/>
      <c r="Q367" s="50"/>
      <c r="R367" s="95" t="str">
        <f t="shared" si="40"/>
        <v/>
      </c>
      <c r="S367" s="95" t="str">
        <f t="shared" si="41"/>
        <v/>
      </c>
      <c r="T367" s="96">
        <f t="shared" si="42"/>
        <v>0</v>
      </c>
      <c r="U367" s="51"/>
    </row>
    <row r="368" spans="1:21" x14ac:dyDescent="0.25">
      <c r="A368" s="46">
        <f t="shared" si="3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9"/>
        <v>0</v>
      </c>
      <c r="P368" s="50"/>
      <c r="Q368" s="50"/>
      <c r="R368" s="95" t="str">
        <f t="shared" si="40"/>
        <v/>
      </c>
      <c r="S368" s="95" t="str">
        <f t="shared" si="41"/>
        <v/>
      </c>
      <c r="T368" s="96">
        <f t="shared" si="42"/>
        <v>0</v>
      </c>
      <c r="U368" s="51"/>
    </row>
    <row r="369" spans="1:21" x14ac:dyDescent="0.25">
      <c r="A369" s="46">
        <f t="shared" si="3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9"/>
        <v>0</v>
      </c>
      <c r="P369" s="50"/>
      <c r="Q369" s="50"/>
      <c r="R369" s="95" t="str">
        <f t="shared" si="40"/>
        <v/>
      </c>
      <c r="S369" s="95" t="str">
        <f t="shared" si="41"/>
        <v/>
      </c>
      <c r="T369" s="96">
        <f t="shared" si="42"/>
        <v>0</v>
      </c>
      <c r="U369" s="51"/>
    </row>
    <row r="370" spans="1:21" x14ac:dyDescent="0.25">
      <c r="A370" s="46">
        <f t="shared" si="3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9"/>
        <v>0</v>
      </c>
      <c r="P370" s="50"/>
      <c r="Q370" s="50"/>
      <c r="R370" s="95" t="str">
        <f t="shared" si="40"/>
        <v/>
      </c>
      <c r="S370" s="95" t="str">
        <f t="shared" si="41"/>
        <v/>
      </c>
      <c r="T370" s="96">
        <f t="shared" si="42"/>
        <v>0</v>
      </c>
      <c r="U370" s="51"/>
    </row>
    <row r="371" spans="1:21" x14ac:dyDescent="0.25">
      <c r="A371" s="46">
        <f t="shared" si="3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9"/>
        <v>0</v>
      </c>
      <c r="P371" s="50"/>
      <c r="Q371" s="50"/>
      <c r="R371" s="95" t="str">
        <f t="shared" si="40"/>
        <v/>
      </c>
      <c r="S371" s="95" t="str">
        <f t="shared" si="41"/>
        <v/>
      </c>
      <c r="T371" s="96">
        <f t="shared" si="42"/>
        <v>0</v>
      </c>
      <c r="U371" s="51"/>
    </row>
    <row r="372" spans="1:21" x14ac:dyDescent="0.25">
      <c r="A372" s="46">
        <f t="shared" si="3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9"/>
        <v>0</v>
      </c>
      <c r="P372" s="50"/>
      <c r="Q372" s="50"/>
      <c r="R372" s="95" t="str">
        <f t="shared" si="40"/>
        <v/>
      </c>
      <c r="S372" s="95" t="str">
        <f t="shared" si="41"/>
        <v/>
      </c>
      <c r="T372" s="96">
        <f t="shared" si="42"/>
        <v>0</v>
      </c>
      <c r="U372" s="51"/>
    </row>
    <row r="373" spans="1:21" x14ac:dyDescent="0.25">
      <c r="A373" s="46">
        <f t="shared" si="3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9"/>
        <v>0</v>
      </c>
      <c r="P373" s="50"/>
      <c r="Q373" s="50"/>
      <c r="R373" s="95" t="str">
        <f t="shared" si="40"/>
        <v/>
      </c>
      <c r="S373" s="95" t="str">
        <f t="shared" si="41"/>
        <v/>
      </c>
      <c r="T373" s="96">
        <f t="shared" si="42"/>
        <v>0</v>
      </c>
      <c r="U373" s="51"/>
    </row>
    <row r="374" spans="1:21" x14ac:dyDescent="0.25">
      <c r="A374" s="46">
        <f t="shared" si="3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9"/>
        <v>0</v>
      </c>
      <c r="P374" s="50"/>
      <c r="Q374" s="50"/>
      <c r="R374" s="95" t="str">
        <f t="shared" si="40"/>
        <v/>
      </c>
      <c r="S374" s="95" t="str">
        <f t="shared" si="41"/>
        <v/>
      </c>
      <c r="T374" s="96">
        <f t="shared" si="42"/>
        <v>0</v>
      </c>
      <c r="U374" s="51"/>
    </row>
    <row r="375" spans="1:21" x14ac:dyDescent="0.25">
      <c r="A375" s="46">
        <f t="shared" si="3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9"/>
        <v>0</v>
      </c>
      <c r="P375" s="50"/>
      <c r="Q375" s="50"/>
      <c r="R375" s="95" t="str">
        <f t="shared" si="40"/>
        <v/>
      </c>
      <c r="S375" s="95" t="str">
        <f t="shared" si="41"/>
        <v/>
      </c>
      <c r="T375" s="96">
        <f t="shared" si="42"/>
        <v>0</v>
      </c>
      <c r="U375" s="51"/>
    </row>
    <row r="376" spans="1:21" x14ac:dyDescent="0.25">
      <c r="A376" s="46">
        <f t="shared" si="3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9"/>
        <v>0</v>
      </c>
      <c r="P376" s="50"/>
      <c r="Q376" s="50"/>
      <c r="R376" s="95" t="str">
        <f t="shared" si="40"/>
        <v/>
      </c>
      <c r="S376" s="95" t="str">
        <f t="shared" si="41"/>
        <v/>
      </c>
      <c r="T376" s="96">
        <f t="shared" si="42"/>
        <v>0</v>
      </c>
      <c r="U376" s="51"/>
    </row>
    <row r="377" spans="1:21" x14ac:dyDescent="0.25">
      <c r="A377" s="46">
        <f t="shared" si="3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9"/>
        <v>0</v>
      </c>
      <c r="P377" s="50"/>
      <c r="Q377" s="50"/>
      <c r="R377" s="95" t="str">
        <f t="shared" si="40"/>
        <v/>
      </c>
      <c r="S377" s="95" t="str">
        <f t="shared" si="41"/>
        <v/>
      </c>
      <c r="T377" s="96">
        <f t="shared" si="42"/>
        <v>0</v>
      </c>
      <c r="U377" s="51"/>
    </row>
    <row r="378" spans="1:21" x14ac:dyDescent="0.25">
      <c r="A378" s="46">
        <f t="shared" si="3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9"/>
        <v>0</v>
      </c>
      <c r="P378" s="50"/>
      <c r="Q378" s="50"/>
      <c r="R378" s="95" t="str">
        <f t="shared" si="40"/>
        <v/>
      </c>
      <c r="S378" s="95" t="str">
        <f t="shared" si="41"/>
        <v/>
      </c>
      <c r="T378" s="96">
        <f t="shared" si="42"/>
        <v>0</v>
      </c>
      <c r="U378" s="51"/>
    </row>
    <row r="379" spans="1:21" x14ac:dyDescent="0.25">
      <c r="A379" s="46">
        <f t="shared" si="3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9"/>
        <v>0</v>
      </c>
      <c r="P379" s="50"/>
      <c r="Q379" s="50"/>
      <c r="R379" s="95" t="str">
        <f t="shared" si="40"/>
        <v/>
      </c>
      <c r="S379" s="95" t="str">
        <f t="shared" si="41"/>
        <v/>
      </c>
      <c r="T379" s="96">
        <f t="shared" si="42"/>
        <v>0</v>
      </c>
      <c r="U379" s="51"/>
    </row>
    <row r="380" spans="1:21" x14ac:dyDescent="0.25">
      <c r="A380" s="46">
        <f t="shared" si="3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9"/>
        <v>0</v>
      </c>
      <c r="P380" s="50"/>
      <c r="Q380" s="50"/>
      <c r="R380" s="95" t="str">
        <f t="shared" si="40"/>
        <v/>
      </c>
      <c r="S380" s="95" t="str">
        <f t="shared" si="41"/>
        <v/>
      </c>
      <c r="T380" s="96">
        <f t="shared" si="42"/>
        <v>0</v>
      </c>
      <c r="U380" s="51"/>
    </row>
    <row r="381" spans="1:21" x14ac:dyDescent="0.25">
      <c r="A381" s="46">
        <f t="shared" si="3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9"/>
        <v>0</v>
      </c>
      <c r="P381" s="50"/>
      <c r="Q381" s="50"/>
      <c r="R381" s="95" t="str">
        <f t="shared" si="40"/>
        <v/>
      </c>
      <c r="S381" s="95" t="str">
        <f t="shared" si="41"/>
        <v/>
      </c>
      <c r="T381" s="96">
        <f t="shared" si="42"/>
        <v>0</v>
      </c>
      <c r="U381" s="51"/>
    </row>
    <row r="382" spans="1:21" x14ac:dyDescent="0.25">
      <c r="A382" s="46">
        <f t="shared" si="3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9"/>
        <v>0</v>
      </c>
      <c r="P382" s="50"/>
      <c r="Q382" s="50"/>
      <c r="R382" s="95" t="str">
        <f t="shared" si="40"/>
        <v/>
      </c>
      <c r="S382" s="95" t="str">
        <f t="shared" si="41"/>
        <v/>
      </c>
      <c r="T382" s="96">
        <f t="shared" si="42"/>
        <v>0</v>
      </c>
      <c r="U382" s="51"/>
    </row>
    <row r="383" spans="1:21" x14ac:dyDescent="0.25">
      <c r="A383" s="46">
        <f t="shared" si="3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9"/>
        <v>0</v>
      </c>
      <c r="P383" s="50"/>
      <c r="Q383" s="50"/>
      <c r="R383" s="95" t="str">
        <f t="shared" si="40"/>
        <v/>
      </c>
      <c r="S383" s="95" t="str">
        <f t="shared" si="41"/>
        <v/>
      </c>
      <c r="T383" s="96">
        <f t="shared" si="42"/>
        <v>0</v>
      </c>
      <c r="U383" s="51"/>
    </row>
    <row r="384" spans="1:21" x14ac:dyDescent="0.25">
      <c r="A384" s="46">
        <f t="shared" si="3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9"/>
        <v>0</v>
      </c>
      <c r="P384" s="50"/>
      <c r="Q384" s="50"/>
      <c r="R384" s="95" t="str">
        <f t="shared" si="40"/>
        <v/>
      </c>
      <c r="S384" s="95" t="str">
        <f t="shared" si="41"/>
        <v/>
      </c>
      <c r="T384" s="96">
        <f t="shared" si="42"/>
        <v>0</v>
      </c>
      <c r="U384" s="51"/>
    </row>
    <row r="385" spans="1:21" x14ac:dyDescent="0.25">
      <c r="A385" s="46">
        <f t="shared" si="3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9"/>
        <v>0</v>
      </c>
      <c r="P385" s="50"/>
      <c r="Q385" s="50"/>
      <c r="R385" s="95" t="str">
        <f t="shared" si="40"/>
        <v/>
      </c>
      <c r="S385" s="95" t="str">
        <f t="shared" si="41"/>
        <v/>
      </c>
      <c r="T385" s="96">
        <f t="shared" si="42"/>
        <v>0</v>
      </c>
      <c r="U385" s="51"/>
    </row>
    <row r="386" spans="1:21" x14ac:dyDescent="0.25">
      <c r="A386" s="46">
        <f t="shared" si="3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9"/>
        <v>0</v>
      </c>
      <c r="P386" s="50"/>
      <c r="Q386" s="50"/>
      <c r="R386" s="95" t="str">
        <f t="shared" si="40"/>
        <v/>
      </c>
      <c r="S386" s="95" t="str">
        <f t="shared" si="41"/>
        <v/>
      </c>
      <c r="T386" s="96">
        <f t="shared" si="42"/>
        <v>0</v>
      </c>
      <c r="U386" s="51"/>
    </row>
    <row r="387" spans="1:21" x14ac:dyDescent="0.25">
      <c r="A387" s="46">
        <f t="shared" si="3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9"/>
        <v>0</v>
      </c>
      <c r="P387" s="50"/>
      <c r="Q387" s="50"/>
      <c r="R387" s="95" t="str">
        <f t="shared" si="40"/>
        <v/>
      </c>
      <c r="S387" s="95" t="str">
        <f t="shared" si="41"/>
        <v/>
      </c>
      <c r="T387" s="96">
        <f t="shared" si="42"/>
        <v>0</v>
      </c>
      <c r="U387" s="51"/>
    </row>
    <row r="388" spans="1:21" x14ac:dyDescent="0.25">
      <c r="A388" s="46">
        <f t="shared" si="3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9"/>
        <v>0</v>
      </c>
      <c r="P388" s="50"/>
      <c r="Q388" s="50"/>
      <c r="R388" s="95" t="str">
        <f t="shared" si="40"/>
        <v/>
      </c>
      <c r="S388" s="95" t="str">
        <f t="shared" si="41"/>
        <v/>
      </c>
      <c r="T388" s="96">
        <f t="shared" si="42"/>
        <v>0</v>
      </c>
      <c r="U388" s="51"/>
    </row>
    <row r="389" spans="1:21" x14ac:dyDescent="0.25">
      <c r="A389" s="46">
        <f t="shared" si="3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9"/>
        <v>0</v>
      </c>
      <c r="P389" s="50"/>
      <c r="Q389" s="50"/>
      <c r="R389" s="95" t="str">
        <f t="shared" si="40"/>
        <v/>
      </c>
      <c r="S389" s="95" t="str">
        <f t="shared" si="41"/>
        <v/>
      </c>
      <c r="T389" s="96">
        <f t="shared" si="42"/>
        <v>0</v>
      </c>
      <c r="U389" s="51"/>
    </row>
    <row r="390" spans="1:21" x14ac:dyDescent="0.25">
      <c r="A390" s="46">
        <f t="shared" si="3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9"/>
        <v>0</v>
      </c>
      <c r="P390" s="50"/>
      <c r="Q390" s="50"/>
      <c r="R390" s="95" t="str">
        <f t="shared" si="40"/>
        <v/>
      </c>
      <c r="S390" s="95" t="str">
        <f t="shared" si="41"/>
        <v/>
      </c>
      <c r="T390" s="96">
        <f t="shared" si="42"/>
        <v>0</v>
      </c>
      <c r="U390" s="51"/>
    </row>
    <row r="391" spans="1:21" x14ac:dyDescent="0.25">
      <c r="A391" s="46">
        <f t="shared" si="3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9"/>
        <v>0</v>
      </c>
      <c r="P391" s="50"/>
      <c r="Q391" s="50"/>
      <c r="R391" s="95" t="str">
        <f t="shared" si="40"/>
        <v/>
      </c>
      <c r="S391" s="95" t="str">
        <f t="shared" si="41"/>
        <v/>
      </c>
      <c r="T391" s="96">
        <f t="shared" si="42"/>
        <v>0</v>
      </c>
      <c r="U391" s="51"/>
    </row>
    <row r="392" spans="1:21" x14ac:dyDescent="0.25">
      <c r="A392" s="46">
        <f t="shared" si="3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9"/>
        <v>0</v>
      </c>
      <c r="P392" s="50"/>
      <c r="Q392" s="50"/>
      <c r="R392" s="95" t="str">
        <f t="shared" si="40"/>
        <v/>
      </c>
      <c r="S392" s="95" t="str">
        <f t="shared" si="41"/>
        <v/>
      </c>
      <c r="T392" s="96">
        <f t="shared" si="42"/>
        <v>0</v>
      </c>
      <c r="U392" s="51"/>
    </row>
    <row r="393" spans="1:21" x14ac:dyDescent="0.25">
      <c r="A393" s="46">
        <f t="shared" si="3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9"/>
        <v>0</v>
      </c>
      <c r="P393" s="50"/>
      <c r="Q393" s="50"/>
      <c r="R393" s="95" t="str">
        <f t="shared" si="40"/>
        <v/>
      </c>
      <c r="S393" s="95" t="str">
        <f t="shared" si="41"/>
        <v/>
      </c>
      <c r="T393" s="96">
        <f t="shared" si="42"/>
        <v>0</v>
      </c>
      <c r="U393" s="51"/>
    </row>
    <row r="394" spans="1:21" x14ac:dyDescent="0.25">
      <c r="A394" s="46">
        <f t="shared" si="3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9"/>
        <v>0</v>
      </c>
      <c r="P394" s="50"/>
      <c r="Q394" s="50"/>
      <c r="R394" s="95" t="str">
        <f t="shared" si="40"/>
        <v/>
      </c>
      <c r="S394" s="95" t="str">
        <f t="shared" si="41"/>
        <v/>
      </c>
      <c r="T394" s="96">
        <f t="shared" si="42"/>
        <v>0</v>
      </c>
      <c r="U394" s="51"/>
    </row>
    <row r="395" spans="1:21" x14ac:dyDescent="0.25">
      <c r="A395" s="46">
        <f t="shared" si="3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9"/>
        <v>0</v>
      </c>
      <c r="P395" s="50"/>
      <c r="Q395" s="50"/>
      <c r="R395" s="95" t="str">
        <f t="shared" si="40"/>
        <v/>
      </c>
      <c r="S395" s="95" t="str">
        <f t="shared" si="41"/>
        <v/>
      </c>
      <c r="T395" s="96">
        <f t="shared" si="42"/>
        <v>0</v>
      </c>
      <c r="U395" s="51"/>
    </row>
    <row r="396" spans="1:21" x14ac:dyDescent="0.25">
      <c r="A396" s="46">
        <f t="shared" ref="A396:A411" si="4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4">T396*N396</f>
        <v>0</v>
      </c>
      <c r="P396" s="50"/>
      <c r="Q396" s="50"/>
      <c r="R396" s="95" t="str">
        <f t="shared" ref="R396:R411" si="45">IF(OR(P396="c",P396="C"),+T396,"")</f>
        <v/>
      </c>
      <c r="S396" s="95" t="str">
        <f t="shared" ref="S396:S411" si="46">IF(OR(P396="$",N396=1),+T396,"")</f>
        <v/>
      </c>
      <c r="T396" s="96">
        <f t="shared" ref="T396:T411" si="4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4"/>
        <v>0</v>
      </c>
      <c r="P397" s="50"/>
      <c r="Q397" s="50"/>
      <c r="R397" s="95" t="str">
        <f t="shared" si="45"/>
        <v/>
      </c>
      <c r="S397" s="95" t="str">
        <f t="shared" si="46"/>
        <v/>
      </c>
      <c r="T397" s="96">
        <f t="shared" si="47"/>
        <v>0</v>
      </c>
      <c r="U397" s="51"/>
    </row>
    <row r="398" spans="1:21" x14ac:dyDescent="0.25">
      <c r="A398" s="46">
        <f t="shared" si="4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4"/>
        <v>0</v>
      </c>
      <c r="P398" s="50"/>
      <c r="Q398" s="50"/>
      <c r="R398" s="95" t="str">
        <f t="shared" si="45"/>
        <v/>
      </c>
      <c r="S398" s="95" t="str">
        <f t="shared" si="46"/>
        <v/>
      </c>
      <c r="T398" s="96">
        <f t="shared" si="47"/>
        <v>0</v>
      </c>
      <c r="U398" s="51"/>
    </row>
    <row r="399" spans="1:21" x14ac:dyDescent="0.25">
      <c r="A399" s="46">
        <f t="shared" si="4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4"/>
        <v>0</v>
      </c>
      <c r="P399" s="50"/>
      <c r="Q399" s="50"/>
      <c r="R399" s="95" t="str">
        <f t="shared" si="45"/>
        <v/>
      </c>
      <c r="S399" s="95" t="str">
        <f t="shared" si="46"/>
        <v/>
      </c>
      <c r="T399" s="96">
        <f t="shared" si="47"/>
        <v>0</v>
      </c>
      <c r="U399" s="51"/>
    </row>
    <row r="400" spans="1:21" x14ac:dyDescent="0.25">
      <c r="A400" s="46">
        <f t="shared" si="4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4"/>
        <v>0</v>
      </c>
      <c r="P400" s="50"/>
      <c r="Q400" s="50"/>
      <c r="R400" s="95" t="str">
        <f t="shared" si="45"/>
        <v/>
      </c>
      <c r="S400" s="95" t="str">
        <f t="shared" si="46"/>
        <v/>
      </c>
      <c r="T400" s="96">
        <f t="shared" si="47"/>
        <v>0</v>
      </c>
      <c r="U400" s="51"/>
    </row>
    <row r="401" spans="1:21" x14ac:dyDescent="0.25">
      <c r="A401" s="46">
        <f t="shared" si="4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4"/>
        <v>0</v>
      </c>
      <c r="P401" s="50"/>
      <c r="Q401" s="50"/>
      <c r="R401" s="95" t="str">
        <f t="shared" si="45"/>
        <v/>
      </c>
      <c r="S401" s="95" t="str">
        <f t="shared" si="46"/>
        <v/>
      </c>
      <c r="T401" s="96">
        <f t="shared" si="47"/>
        <v>0</v>
      </c>
      <c r="U401" s="51"/>
    </row>
    <row r="402" spans="1:21" x14ac:dyDescent="0.25">
      <c r="A402" s="46">
        <f t="shared" si="4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4"/>
        <v>0</v>
      </c>
      <c r="P402" s="50"/>
      <c r="Q402" s="50"/>
      <c r="R402" s="95" t="str">
        <f t="shared" si="45"/>
        <v/>
      </c>
      <c r="S402" s="95" t="str">
        <f t="shared" si="46"/>
        <v/>
      </c>
      <c r="T402" s="96">
        <f t="shared" si="47"/>
        <v>0</v>
      </c>
      <c r="U402" s="51"/>
    </row>
    <row r="403" spans="1:21" x14ac:dyDescent="0.25">
      <c r="A403" s="46">
        <f t="shared" si="4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4"/>
        <v>0</v>
      </c>
      <c r="P403" s="50"/>
      <c r="Q403" s="50"/>
      <c r="R403" s="95" t="str">
        <f t="shared" si="45"/>
        <v/>
      </c>
      <c r="S403" s="95" t="str">
        <f t="shared" si="46"/>
        <v/>
      </c>
      <c r="T403" s="96">
        <f t="shared" si="47"/>
        <v>0</v>
      </c>
      <c r="U403" s="51"/>
    </row>
    <row r="404" spans="1:21" x14ac:dyDescent="0.25">
      <c r="A404" s="46">
        <f t="shared" si="4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4"/>
        <v>0</v>
      </c>
      <c r="P404" s="50"/>
      <c r="Q404" s="50"/>
      <c r="R404" s="95" t="str">
        <f t="shared" si="45"/>
        <v/>
      </c>
      <c r="S404" s="95" t="str">
        <f t="shared" si="46"/>
        <v/>
      </c>
      <c r="T404" s="96">
        <f t="shared" si="47"/>
        <v>0</v>
      </c>
      <c r="U404" s="51"/>
    </row>
    <row r="405" spans="1:21" x14ac:dyDescent="0.25">
      <c r="A405" s="46">
        <f t="shared" si="4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4"/>
        <v>0</v>
      </c>
      <c r="P405" s="50"/>
      <c r="Q405" s="50"/>
      <c r="R405" s="95" t="str">
        <f t="shared" si="45"/>
        <v/>
      </c>
      <c r="S405" s="95" t="str">
        <f t="shared" si="46"/>
        <v/>
      </c>
      <c r="T405" s="96">
        <f t="shared" si="47"/>
        <v>0</v>
      </c>
      <c r="U405" s="51"/>
    </row>
    <row r="406" spans="1:21" x14ac:dyDescent="0.25">
      <c r="A406" s="46">
        <f t="shared" si="4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4"/>
        <v>0</v>
      </c>
      <c r="P406" s="50"/>
      <c r="Q406" s="50"/>
      <c r="R406" s="95" t="str">
        <f t="shared" si="45"/>
        <v/>
      </c>
      <c r="S406" s="95" t="str">
        <f t="shared" si="46"/>
        <v/>
      </c>
      <c r="T406" s="96">
        <f t="shared" si="47"/>
        <v>0</v>
      </c>
      <c r="U406" s="51"/>
    </row>
    <row r="407" spans="1:21" x14ac:dyDescent="0.25">
      <c r="A407" s="46">
        <f t="shared" si="4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4"/>
        <v>0</v>
      </c>
      <c r="P407" s="50"/>
      <c r="Q407" s="50"/>
      <c r="R407" s="95" t="str">
        <f t="shared" si="45"/>
        <v/>
      </c>
      <c r="S407" s="95" t="str">
        <f t="shared" si="46"/>
        <v/>
      </c>
      <c r="T407" s="96">
        <f t="shared" si="47"/>
        <v>0</v>
      </c>
      <c r="U407" s="51"/>
    </row>
    <row r="408" spans="1:21" x14ac:dyDescent="0.25">
      <c r="A408" s="46">
        <f t="shared" si="4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4"/>
        <v>0</v>
      </c>
      <c r="P408" s="50"/>
      <c r="Q408" s="50"/>
      <c r="R408" s="95" t="str">
        <f t="shared" si="45"/>
        <v/>
      </c>
      <c r="S408" s="95" t="str">
        <f t="shared" si="46"/>
        <v/>
      </c>
      <c r="T408" s="96">
        <f t="shared" si="47"/>
        <v>0</v>
      </c>
      <c r="U408" s="51"/>
    </row>
    <row r="409" spans="1:21" x14ac:dyDescent="0.25">
      <c r="A409" s="46">
        <f t="shared" si="4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4"/>
        <v>0</v>
      </c>
      <c r="P409" s="50"/>
      <c r="Q409" s="50"/>
      <c r="R409" s="95" t="str">
        <f t="shared" si="45"/>
        <v/>
      </c>
      <c r="S409" s="95" t="str">
        <f t="shared" si="46"/>
        <v/>
      </c>
      <c r="T409" s="96">
        <f t="shared" si="47"/>
        <v>0</v>
      </c>
      <c r="U409" s="51"/>
    </row>
    <row r="410" spans="1:21" x14ac:dyDescent="0.25">
      <c r="A410" s="46">
        <f t="shared" si="4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4"/>
        <v>0</v>
      </c>
      <c r="P410" s="50"/>
      <c r="Q410" s="50"/>
      <c r="R410" s="95" t="str">
        <f t="shared" si="45"/>
        <v/>
      </c>
      <c r="S410" s="95" t="str">
        <f t="shared" si="46"/>
        <v/>
      </c>
      <c r="T410" s="96">
        <f t="shared" si="47"/>
        <v>0</v>
      </c>
      <c r="U410" s="51"/>
    </row>
    <row r="411" spans="1:21" x14ac:dyDescent="0.25">
      <c r="A411" s="46">
        <f t="shared" si="4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4"/>
        <v>0</v>
      </c>
      <c r="P411" s="50"/>
      <c r="Q411" s="50"/>
      <c r="R411" s="95" t="str">
        <f t="shared" si="45"/>
        <v/>
      </c>
      <c r="S411" s="95" t="str">
        <f t="shared" si="46"/>
        <v/>
      </c>
      <c r="T411" s="96">
        <f t="shared" si="47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/>
      <c r="B5" s="5"/>
      <c r="C5" s="6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7"/>
      <c r="B7" s="7"/>
      <c r="C7" s="8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7"/>
      <c r="B8" s="7"/>
      <c r="C8" s="8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7"/>
      <c r="B9" s="7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5"/>
      <c r="B10" s="5"/>
      <c r="C10" s="6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12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15"/>
      <c r="B13" s="15"/>
      <c r="C13" s="10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5"/>
      <c r="B15" s="5"/>
      <c r="C15" s="6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2026-04-16T23:22:24Z</dcterms:modified>
</cp:coreProperties>
</file>