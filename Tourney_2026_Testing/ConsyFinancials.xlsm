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5648CF3A-05D8-430E-AD88-34D472B94B0E}" xr6:coauthVersionLast="47" xr6:coauthVersionMax="47" xr10:uidLastSave="{00000000-0000-0000-0000-000000000000}"/>
  <bookViews>
    <workbookView xWindow="-28920" yWindow="-135" windowWidth="29040" windowHeight="15720" xr2:uid="{00000000-000D-0000-FFFF-FFFF00000000}"/>
  </bookViews>
  <sheets>
    <sheet name="ConsySummary" sheetId="1" r:id="rId1"/>
    <sheet name="Expenses" sheetId="3" r:id="rId2"/>
    <sheet name="PlayerBenefits" sheetId="2" r:id="rId3"/>
    <sheet name="BracketPayOffs" sheetId="6" r:id="rId4"/>
    <sheet name="PayOffSignOff" sheetId="8" r:id="rId5"/>
    <sheet name="PayOffTable" sheetId="4" r:id="rId6"/>
    <sheet name="PayOffTable4Places" sheetId="5" r:id="rId7"/>
    <sheet name="Notes" sheetId="9" r:id="rId8"/>
  </sheets>
  <functionGroups builtInGroupCount="19"/>
  <definedNames>
    <definedName name="FCFBenefitsTotal">PlayerBenefits!$A$1</definedName>
    <definedName name="FCFBracketPayOffsBracketHdr">BracketPayOffs!$A$5</definedName>
    <definedName name="FCFBracketPayOffsPayOffsHdr">BracketPayOffs!$C$5</definedName>
    <definedName name="FCFBracketsAllEntries">BracketPayOffs!$A$6:$A$11,BracketPayOffs!$C$6:$C$11</definedName>
    <definedName name="FCFConsyPayoutsQualifiersHdrs">BracketPayOffs!$A$3:$C$3</definedName>
    <definedName name="FCFExpensesAllEntryFields">Expenses!$A$15:$G$59</definedName>
    <definedName name="FCFExpensesTotal">Expenses!$A$1</definedName>
    <definedName name="FCFPayOffSignOffAmountHdr">PayOffSignOff!$C$3</definedName>
    <definedName name="FCFPayoffTablePercentOrigin">PayOffTable!$B$9</definedName>
    <definedName name="FCFPayOfssSignOffBracketHdr">PayOffSignOff!$A$3</definedName>
    <definedName name="FCFPayoutsHde">BracketPayOffs!$A$1</definedName>
    <definedName name="FCFSummaryAccFee">ConsySummary!$C$8</definedName>
    <definedName name="FCFSummaryAdjEntries">ConsySummary!$E$31:$E$43</definedName>
    <definedName name="FCFSummaryAdjustments">ConsySummary!$E$28</definedName>
    <definedName name="FCFSummaryAdjustmentsHdr">ConsySummary!$E$29</definedName>
    <definedName name="FCFSummaryAllInput">ConsySummary!$C$6,ConsySummary!$C$7,ConsySummary!$C$8,ConsySummary!$C$9,ConsySummary!$D$10,ConsySummary!$D$11</definedName>
    <definedName name="FCFSummaryAvailablePool">ConsySummary!$A$21</definedName>
    <definedName name="FCFSummaryBracketsHdr">ConsySummary!$G$29</definedName>
    <definedName name="FCFSummaryDonation">ConsySummary!$C$9</definedName>
    <definedName name="FCFSummaryEntryFee">ConsySummary!$C$7</definedName>
    <definedName name="FCFSummaryerPlayerExpenseAllowed">ConsySummary!$F$22</definedName>
    <definedName name="FCFSummaryFinalHdr">ConsySummary!$F$29</definedName>
    <definedName name="FCFSummaryFixedDonation">ConsySummary!$D$10</definedName>
    <definedName name="FCFSummaryPercentsHdr">ConsySummary!$B$29</definedName>
    <definedName name="FCFSummaryPerPlayer">ConsySummary!$D$11</definedName>
    <definedName name="FCFSummaryPlayerCount">ConsySummary!$C$6</definedName>
    <definedName name="FCFSummaryPrintAreaOrigin">ConsySummary!$A$15</definedName>
    <definedName name="FCFSummaryPrizePool">ConsySummary!$B$27</definedName>
    <definedName name="FCFSummaryQualifierCount">ConsySummary!$A$25</definedName>
    <definedName name="FCFSummaryRankHdr">ConsySummary!$A$29</definedName>
    <definedName name="FCFSummaryRawHdr">ConsySummary!$C$29</definedName>
    <definedName name="FCFSummaryRoundedHdr">ConsySummary!$D$29</definedName>
    <definedName name="FCFSummaryRoundedPrizePool">ConsySummary!$D$27</definedName>
    <definedName name="FCFSummaryTourneyDate">ConsySummary!$C$5</definedName>
    <definedName name="FCFSummaryTourneyInfo">ConsySummary!$C$4,ConsySummary!$C$5</definedName>
    <definedName name="FCFSummaryTourneyName">ConsySummary!$C$4</definedName>
    <definedName name="FCFSummaryTourneyPayoffArea">ConsySummary!$A$31:$G$71</definedName>
    <definedName name="FCFTouneyName">ConsySummary!$C$4</definedName>
    <definedName name="FCFTourneyDate">ConsySummary!$C$5</definedName>
    <definedName name="_xlnm.Print_Area" localSheetId="3">BracketPayOffs!$A$1:$C$13</definedName>
    <definedName name="_xlnm.Print_Area" localSheetId="0">ConsySummary!$A$15:$H$37</definedName>
    <definedName name="_xlnm.Print_Area" localSheetId="1">Expenses!$A$10:$F$15</definedName>
    <definedName name="_xlnm.Print_Area" localSheetId="2">PlayerBenefits!$A$6:$E$11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" l="1"/>
  <c r="E28" i="1" l="1"/>
  <c r="F22" i="1" l="1"/>
  <c r="B15" i="1" l="1"/>
  <c r="B32" i="8" l="1"/>
  <c r="B31" i="8"/>
  <c r="B30" i="8"/>
  <c r="B29" i="8"/>
  <c r="B28" i="8"/>
  <c r="B27" i="8"/>
  <c r="B26" i="8"/>
  <c r="B25" i="8"/>
  <c r="B24" i="8"/>
  <c r="B23" i="8"/>
  <c r="B22" i="8"/>
  <c r="B21" i="8"/>
  <c r="B20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C19" i="8"/>
  <c r="B19" i="8" s="1"/>
  <c r="C18" i="8"/>
  <c r="B18" i="8" s="1"/>
  <c r="C17" i="8"/>
  <c r="A17" i="8" s="1"/>
  <c r="C16" i="8"/>
  <c r="B16" i="8" s="1"/>
  <c r="C15" i="8"/>
  <c r="A15" i="8" s="1"/>
  <c r="C14" i="8"/>
  <c r="B14" i="8" s="1"/>
  <c r="C13" i="8"/>
  <c r="A13" i="8" s="1"/>
  <c r="C12" i="8"/>
  <c r="B12" i="8" s="1"/>
  <c r="C11" i="8"/>
  <c r="A11" i="8" s="1"/>
  <c r="C10" i="8"/>
  <c r="B10" i="8" s="1"/>
  <c r="C9" i="8"/>
  <c r="A9" i="8" s="1"/>
  <c r="C8" i="8"/>
  <c r="B8" i="8" s="1"/>
  <c r="C7" i="8"/>
  <c r="B7" i="8" s="1"/>
  <c r="C6" i="8"/>
  <c r="B6" i="8" s="1"/>
  <c r="B11" i="8" l="1"/>
  <c r="A19" i="8"/>
  <c r="B15" i="8"/>
  <c r="A6" i="8"/>
  <c r="A14" i="8"/>
  <c r="A10" i="8"/>
  <c r="A18" i="8"/>
  <c r="A7" i="8"/>
  <c r="A8" i="8"/>
  <c r="A12" i="8"/>
  <c r="A16" i="8"/>
  <c r="B9" i="8"/>
  <c r="B13" i="8"/>
  <c r="B17" i="8"/>
  <c r="C4" i="8" l="1"/>
  <c r="C5" i="8"/>
  <c r="B4" i="8" l="1"/>
  <c r="A4" i="8"/>
  <c r="A5" i="8"/>
  <c r="B5" i="8"/>
  <c r="A4" i="2"/>
  <c r="F15" i="1"/>
  <c r="A18" i="1"/>
  <c r="A17" i="1"/>
  <c r="A16" i="1" l="1"/>
  <c r="S58" i="2" l="1"/>
  <c r="R58" i="2"/>
  <c r="S57" i="2"/>
  <c r="R57" i="2"/>
  <c r="S56" i="2"/>
  <c r="R56" i="2"/>
  <c r="S55" i="2"/>
  <c r="R55" i="2"/>
  <c r="S54" i="2"/>
  <c r="R54" i="2"/>
  <c r="S53" i="2"/>
  <c r="R53" i="2"/>
  <c r="S52" i="2"/>
  <c r="R52" i="2"/>
  <c r="S51" i="2"/>
  <c r="R51" i="2"/>
  <c r="S50" i="2"/>
  <c r="R50" i="2"/>
  <c r="S49" i="2"/>
  <c r="R49" i="2"/>
  <c r="S48" i="2"/>
  <c r="R48" i="2"/>
  <c r="S47" i="2"/>
  <c r="R47" i="2"/>
  <c r="S46" i="2"/>
  <c r="R46" i="2"/>
  <c r="S45" i="2"/>
  <c r="R45" i="2"/>
  <c r="S44" i="2"/>
  <c r="R44" i="2"/>
  <c r="S43" i="2"/>
  <c r="R43" i="2"/>
  <c r="S42" i="2"/>
  <c r="R42" i="2"/>
  <c r="S41" i="2"/>
  <c r="R41" i="2"/>
  <c r="S40" i="2"/>
  <c r="R40" i="2"/>
  <c r="S39" i="2"/>
  <c r="R39" i="2"/>
  <c r="S38" i="2"/>
  <c r="R38" i="2"/>
  <c r="S37" i="2"/>
  <c r="R37" i="2"/>
  <c r="S36" i="2"/>
  <c r="R36" i="2"/>
  <c r="S35" i="2"/>
  <c r="R35" i="2"/>
  <c r="S34" i="2"/>
  <c r="R34" i="2"/>
  <c r="S33" i="2"/>
  <c r="R33" i="2"/>
  <c r="S32" i="2"/>
  <c r="R32" i="2"/>
  <c r="S31" i="2"/>
  <c r="R31" i="2"/>
  <c r="S30" i="2"/>
  <c r="R30" i="2"/>
  <c r="S29" i="2"/>
  <c r="R29" i="2"/>
  <c r="S28" i="2"/>
  <c r="R28" i="2"/>
  <c r="S27" i="2"/>
  <c r="R27" i="2"/>
  <c r="S26" i="2"/>
  <c r="R26" i="2"/>
  <c r="S25" i="2"/>
  <c r="R25" i="2"/>
  <c r="S24" i="2"/>
  <c r="R24" i="2"/>
  <c r="S23" i="2"/>
  <c r="R23" i="2"/>
  <c r="S22" i="2"/>
  <c r="R22" i="2"/>
  <c r="S21" i="2"/>
  <c r="R21" i="2"/>
  <c r="S20" i="2"/>
  <c r="R20" i="2"/>
  <c r="S19" i="2"/>
  <c r="R19" i="2"/>
  <c r="S18" i="2"/>
  <c r="R18" i="2"/>
  <c r="R17" i="2"/>
  <c r="R16" i="2"/>
  <c r="S15" i="2"/>
  <c r="R15" i="2"/>
  <c r="S14" i="2"/>
  <c r="R14" i="2"/>
  <c r="R13" i="2"/>
  <c r="R12" i="2"/>
  <c r="S11" i="2"/>
  <c r="S12" i="2"/>
  <c r="S13" i="2"/>
  <c r="R11" i="2" l="1"/>
  <c r="R1" i="2" s="1"/>
  <c r="F23" i="1"/>
  <c r="F25" i="1" l="1"/>
  <c r="S17" i="2" l="1"/>
  <c r="S16" i="2" l="1"/>
  <c r="S1" i="2" s="1"/>
  <c r="A1" i="3"/>
  <c r="A20" i="1" s="1"/>
  <c r="B12" i="3" l="1"/>
  <c r="G23" i="1"/>
  <c r="D23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A8" i="2" l="1"/>
  <c r="A19" i="1"/>
  <c r="D27" i="1"/>
  <c r="H23" i="1" l="1"/>
  <c r="D24" i="1"/>
  <c r="E47" i="4"/>
  <c r="E51" i="4" s="1"/>
  <c r="A21" i="1" l="1"/>
  <c r="B27" i="1" s="1"/>
  <c r="E27" i="1" s="1"/>
</calcChain>
</file>

<file path=xl/sharedStrings.xml><?xml version="1.0" encoding="utf-8"?>
<sst xmlns="http://schemas.openxmlformats.org/spreadsheetml/2006/main" count="251" uniqueCount="154">
  <si>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</si>
  <si>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</si>
  <si>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</si>
  <si>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</si>
  <si>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</si>
  <si>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</si>
  <si>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</si>
  <si>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</si>
  <si>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</si>
  <si>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</si>
  <si>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</si>
  <si>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</si>
  <si>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</si>
  <si>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</si>
  <si>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</si>
  <si>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</si>
  <si>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</si>
  <si>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</si>
  <si>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</si>
  <si>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</si>
  <si>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</si>
  <si>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</si>
  <si>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</si>
  <si>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</si>
  <si>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</si>
  <si>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</si>
  <si>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</si>
  <si>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</si>
  <si>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</si>
  <si>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</si>
  <si>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</si>
  <si>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</si>
  <si>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</si>
  <si>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</si>
  <si>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</si>
  <si>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</si>
  <si>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</si>
  <si>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</si>
  <si>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</si>
  <si>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</si>
  <si>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</si>
  <si>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</si>
  <si>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</si>
  <si>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</si>
  <si>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</si>
  <si>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</si>
  <si>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</si>
  <si>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</si>
  <si>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</si>
  <si>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</si>
  <si>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</si>
  <si>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</si>
  <si>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</si>
  <si>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</si>
  <si>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</si>
  <si>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</si>
  <si>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</si>
  <si>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</si>
  <si>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</si>
  <si>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</si>
  <si>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</si>
  <si>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</si>
  <si>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</si>
  <si>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</si>
  <si>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</si>
  <si>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</si>
  <si>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</si>
  <si>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</si>
  <si>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</si>
  <si>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</si>
  <si>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</si>
  <si>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</si>
  <si>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</si>
  <si>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</si>
  <si>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</si>
  <si>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</si>
  <si>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</si>
  <si>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</si>
  <si>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</si>
  <si>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</si>
  <si>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</si>
  <si>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</si>
  <si>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</si>
  <si>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</si>
  <si>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</si>
  <si>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</si>
  <si>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</si>
  <si>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</si>
  <si>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</si>
  <si>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</si>
  <si>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</si>
  <si>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Top Row of Payoff Table</t>
  </si>
  <si>
    <t>Rank</t>
  </si>
  <si>
    <t xml:space="preserve">Start Print Area 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</si>
  <si>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</si>
  <si>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</si>
  <si>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</si>
  <si>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</si>
  <si>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</si>
  <si>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</si>
  <si>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</si>
  <si>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</si>
  <si>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</si>
  <si>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</si>
  <si>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Total Expenses</t>
  </si>
  <si>
    <t>Tourney Name:</t>
  </si>
  <si>
    <t>No. Players:</t>
  </si>
  <si>
    <t>Entry Fee:</t>
  </si>
  <si>
    <t>Sanctioning Fee/Player:</t>
  </si>
  <si>
    <t>Comments</t>
  </si>
  <si>
    <t>Max Expense @15% per player</t>
  </si>
  <si>
    <t>Max Allowed:</t>
  </si>
  <si>
    <t>Todd Malmgren's Sheets</t>
  </si>
  <si>
    <t>Copy of:</t>
  </si>
  <si>
    <t>Tourney Date:</t>
  </si>
  <si>
    <t>Player Benefits</t>
  </si>
  <si>
    <t>Bracket</t>
  </si>
  <si>
    <t>-</t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</si>
  <si>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</si>
  <si>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</si>
  <si>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</si>
  <si>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</si>
  <si>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</si>
  <si>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</si>
  <si>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</si>
  <si>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hidden--&gt;</t>
  </si>
  <si>
    <t>&lt;--hidden</t>
  </si>
  <si>
    <t>Total Player Benefits (excluding donation)</t>
  </si>
  <si>
    <t>Cash Received</t>
  </si>
  <si>
    <t>Amount</t>
  </si>
  <si>
    <t>Signature</t>
  </si>
  <si>
    <t>Consolation Tourney Finances</t>
  </si>
  <si>
    <t>Cons:</t>
  </si>
  <si>
    <t>CONSOLATION</t>
  </si>
  <si>
    <t>Consy expenses must include anyone who entered the consy but was not in the main - rare but it happens</t>
  </si>
  <si>
    <t>Once all consy financials are in can print payoff amounts and any consy side pools</t>
  </si>
  <si>
    <t>Expenses incurrred for hosting the tournament</t>
  </si>
  <si>
    <t>Trophies and other player benefits (like food and drink) are on PlayerBenefits tab</t>
  </si>
  <si>
    <t>Total Player Benefits</t>
  </si>
  <si>
    <t>Raw Pool</t>
  </si>
  <si>
    <t xml:space="preserve">Rounded  </t>
  </si>
  <si>
    <t>Blue Boxes - User Entry</t>
  </si>
  <si>
    <t>No. Players from ConsySummary</t>
  </si>
  <si>
    <t>Payoffs</t>
  </si>
  <si>
    <t>Available Payout Pool</t>
  </si>
  <si>
    <t>Other Expenses</t>
  </si>
  <si>
    <t>3-4</t>
  </si>
  <si>
    <t>5-8</t>
  </si>
  <si>
    <t>Trophies</t>
  </si>
  <si>
    <t>Roland trophies</t>
  </si>
  <si>
    <t>Napa Wine Country Open</t>
  </si>
  <si>
    <t>n/a</t>
  </si>
  <si>
    <t>1</t>
  </si>
  <si>
    <t>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</si>
</sst>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  <font>
      <b/>
      <i/>
      <sz val="12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rgb="FF00B0F0"/>
      </left>
      <right/>
      <top style="medium">
        <color rgb="FF00B0F0"/>
      </top>
      <bottom style="medium">
        <color rgb="FF00B0F0"/>
      </bottom>
      <diagonal/>
    </border>
    <border>
      <left/>
      <right/>
      <top style="medium">
        <color rgb="FF00B0F0"/>
      </top>
      <bottom style="medium">
        <color rgb="FF00B0F0"/>
      </bottom>
      <diagonal/>
    </border>
    <border>
      <left/>
      <right style="medium">
        <color rgb="FF00B0F0"/>
      </right>
      <top style="medium">
        <color rgb="FF00B0F0"/>
      </top>
      <bottom style="medium">
        <color rgb="FF00B0F0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rgb="FF00B0F0"/>
      </left>
      <right style="medium">
        <color rgb="FF00B0F0"/>
      </right>
      <top style="medium">
        <color rgb="FF00B0F0"/>
      </top>
      <bottom style="medium">
        <color rgb="FF00B0F0"/>
      </bottom>
      <diagonal/>
    </border>
  </borders>
  <cellStyleXfs count="1">
    <xf numFmtId="0" fontId="0" fillId="0" borderId="0"/>
  </cellStyleXfs>
  <cellXfs count="19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left"/>
    </xf>
    <xf numFmtId="167" fontId="0" fillId="0" borderId="0" xfId="0" applyNumberFormat="1"/>
    <xf numFmtId="10" fontId="0" fillId="0" borderId="0" xfId="0" applyNumberFormat="1"/>
    <xf numFmtId="49" fontId="0" fillId="0" borderId="2" xfId="0" applyNumberFormat="1" applyBorder="1" applyAlignment="1">
      <alignment horizontal="center"/>
    </xf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3" fillId="0" borderId="0" xfId="0" applyFont="1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quotePrefix="1"/>
    <xf numFmtId="167" fontId="0" fillId="0" borderId="0" xfId="0" applyNumberFormat="1" applyAlignment="1">
      <alignment horizontal="left"/>
    </xf>
    <xf numFmtId="165" fontId="3" fillId="0" borderId="0" xfId="0" applyNumberFormat="1" applyFont="1"/>
    <xf numFmtId="167" fontId="1" fillId="0" borderId="0" xfId="0" applyNumberFormat="1" applyFont="1"/>
    <xf numFmtId="165" fontId="0" fillId="0" borderId="0" xfId="0" applyNumberFormat="1"/>
    <xf numFmtId="0" fontId="0" fillId="0" borderId="0" xfId="0" applyAlignment="1">
      <alignment horizontal="left"/>
    </xf>
    <xf numFmtId="165" fontId="1" fillId="0" borderId="0" xfId="0" applyNumberFormat="1" applyFont="1" applyAlignment="1">
      <alignment horizontal="left"/>
    </xf>
    <xf numFmtId="0" fontId="9" fillId="0" borderId="0" xfId="0" applyFont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4" fontId="1" fillId="0" borderId="2" xfId="0" applyNumberFormat="1" applyFont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1" fontId="0" fillId="0" borderId="0" xfId="0" applyNumberFormat="1" applyAlignment="1">
      <alignment horizontal="center"/>
    </xf>
    <xf numFmtId="0" fontId="1" fillId="0" borderId="0" xfId="0" quotePrefix="1" applyFont="1"/>
    <xf numFmtId="164" fontId="0" fillId="0" borderId="0" xfId="0" applyNumberFormat="1"/>
    <xf numFmtId="164" fontId="1" fillId="0" borderId="1" xfId="0" applyNumberFormat="1" applyFont="1" applyBorder="1" applyAlignment="1">
      <alignment horizontal="center"/>
    </xf>
    <xf numFmtId="165" fontId="1" fillId="0" borderId="1" xfId="0" quotePrefix="1" applyNumberFormat="1" applyFont="1" applyBorder="1" applyAlignment="1">
      <alignment horizontal="center"/>
    </xf>
    <xf numFmtId="0" fontId="3" fillId="0" borderId="0" xfId="0" applyFont="1"/>
    <xf numFmtId="0" fontId="7" fillId="0" borderId="0" xfId="0" applyFont="1"/>
    <xf numFmtId="1" fontId="3" fillId="0" borderId="5" xfId="0" applyNumberFormat="1" applyFont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164" fontId="0" fillId="0" borderId="0" xfId="0" quotePrefix="1" applyNumberFormat="1" applyAlignment="1">
      <alignment horizontal="center"/>
    </xf>
    <xf numFmtId="164" fontId="3" fillId="0" borderId="0" xfId="0" applyNumberFormat="1" applyFont="1" applyAlignment="1">
      <alignment horizontal="center"/>
    </xf>
    <xf numFmtId="5" fontId="0" fillId="0" borderId="0" xfId="0" applyNumberForma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164" fontId="5" fillId="0" borderId="0" xfId="0" applyNumberFormat="1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0" fontId="11" fillId="0" borderId="0" xfId="0" applyFont="1"/>
    <xf numFmtId="0" fontId="11" fillId="0" borderId="0" xfId="0" applyFont="1" applyAlignment="1">
      <alignment horizontal="center"/>
    </xf>
    <xf numFmtId="164" fontId="11" fillId="0" borderId="0" xfId="0" applyNumberFormat="1" applyFont="1" applyAlignment="1">
      <alignment horizontal="center"/>
    </xf>
    <xf numFmtId="49" fontId="11" fillId="0" borderId="0" xfId="0" applyNumberFormat="1" applyFont="1" applyAlignment="1">
      <alignment horizontal="center"/>
    </xf>
    <xf numFmtId="49" fontId="11" fillId="0" borderId="0" xfId="0" quotePrefix="1" applyNumberFormat="1" applyFont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/>
    <xf numFmtId="0" fontId="1" fillId="0" borderId="0" xfId="0" applyFont="1" applyAlignment="1">
      <alignment vertical="center"/>
    </xf>
    <xf numFmtId="164" fontId="0" fillId="0" borderId="0" xfId="0" applyNumberFormat="1" applyAlignment="1">
      <alignment horizontal="left"/>
    </xf>
    <xf numFmtId="165" fontId="1" fillId="0" borderId="0" xfId="0" quotePrefix="1" applyNumberFormat="1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/>
    <xf numFmtId="0" fontId="0" fillId="0" borderId="0" xfId="0" applyProtection="1">
      <protection locked="0"/>
    </xf>
    <xf numFmtId="1" fontId="1" fillId="0" borderId="1" xfId="0" applyNumberFormat="1" applyFont="1" applyBorder="1" applyAlignment="1">
      <alignment horizontal="center"/>
    </xf>
    <xf numFmtId="0" fontId="0" fillId="0" borderId="8" xfId="0" applyBorder="1" applyAlignment="1">
      <alignment horizontal="center"/>
    </xf>
    <xf numFmtId="165" fontId="0" fillId="0" borderId="8" xfId="0" applyNumberFormat="1" applyBorder="1" applyAlignment="1">
      <alignment horizontal="center"/>
    </xf>
    <xf numFmtId="0" fontId="0" fillId="0" borderId="8" xfId="0" applyBorder="1"/>
    <xf numFmtId="1" fontId="0" fillId="0" borderId="8" xfId="0" applyNumberFormat="1" applyBorder="1" applyAlignment="1">
      <alignment horizontal="center"/>
    </xf>
    <xf numFmtId="166" fontId="12" fillId="0" borderId="1" xfId="0" applyNumberFormat="1" applyFont="1" applyBorder="1" applyAlignment="1" applyProtection="1">
      <alignment horizontal="center"/>
      <protection locked="0"/>
    </xf>
    <xf numFmtId="165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166" fontId="12" fillId="0" borderId="4" xfId="0" applyNumberFormat="1" applyFont="1" applyBorder="1" applyAlignment="1" applyProtection="1">
      <alignment horizontal="center"/>
      <protection locked="0"/>
    </xf>
    <xf numFmtId="165" fontId="12" fillId="0" borderId="4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Protection="1">
      <protection locked="0"/>
    </xf>
    <xf numFmtId="0" fontId="12" fillId="0" borderId="1" xfId="0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4" xfId="0" applyFont="1" applyBorder="1" applyAlignment="1" applyProtection="1">
      <alignment horizontal="center"/>
      <protection locked="0"/>
    </xf>
    <xf numFmtId="0" fontId="12" fillId="0" borderId="2" xfId="0" applyFont="1" applyBorder="1" applyAlignment="1" applyProtection="1">
      <alignment horizontal="center"/>
      <protection locked="0"/>
    </xf>
    <xf numFmtId="165" fontId="12" fillId="0" borderId="2" xfId="0" applyNumberFormat="1" applyFont="1" applyBorder="1" applyAlignment="1" applyProtection="1">
      <alignment horizontal="center"/>
      <protection locked="0"/>
    </xf>
    <xf numFmtId="0" fontId="12" fillId="0" borderId="2" xfId="0" applyFont="1" applyBorder="1" applyProtection="1">
      <protection locked="0"/>
    </xf>
    <xf numFmtId="0" fontId="1" fillId="0" borderId="0" xfId="0" applyFont="1" applyAlignment="1">
      <alignment horizontal="left" vertical="top"/>
    </xf>
    <xf numFmtId="0" fontId="14" fillId="0" borderId="0" xfId="0" applyFont="1"/>
    <xf numFmtId="49" fontId="14" fillId="0" borderId="9" xfId="0" applyNumberFormat="1" applyFont="1" applyBorder="1" applyAlignment="1">
      <alignment horizontal="center"/>
    </xf>
    <xf numFmtId="0" fontId="14" fillId="0" borderId="0" xfId="0" applyFont="1" applyAlignment="1">
      <alignment horizontal="center"/>
    </xf>
    <xf numFmtId="0" fontId="14" fillId="0" borderId="9" xfId="0" applyFont="1" applyBorder="1" applyAlignment="1">
      <alignment horizontal="center"/>
    </xf>
    <xf numFmtId="49" fontId="14" fillId="0" borderId="0" xfId="0" applyNumberFormat="1" applyFont="1" applyAlignment="1">
      <alignment horizontal="center"/>
    </xf>
    <xf numFmtId="0" fontId="14" fillId="0" borderId="7" xfId="0" applyFont="1" applyBorder="1"/>
    <xf numFmtId="164" fontId="14" fillId="0" borderId="0" xfId="0" applyNumberFormat="1" applyFont="1" applyAlignment="1">
      <alignment horizontal="center"/>
    </xf>
    <xf numFmtId="0" fontId="14" fillId="0" borderId="0" xfId="0" applyFont="1" applyAlignment="1">
      <alignment horizontal="left"/>
    </xf>
    <xf numFmtId="164" fontId="0" fillId="0" borderId="0" xfId="0" applyNumberFormat="1" applyAlignment="1">
      <alignment horizontal="center"/>
    </xf>
    <xf numFmtId="164" fontId="2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 wrapText="1"/>
    </xf>
    <xf numFmtId="49" fontId="3" fillId="0" borderId="0" xfId="0" applyNumberFormat="1" applyFont="1" applyAlignment="1" applyProtection="1">
      <alignment horizontal="center" vertical="center"/>
      <protection locked="0"/>
    </xf>
    <xf numFmtId="0" fontId="0" fillId="0" borderId="1" xfId="0" applyBorder="1"/>
    <xf numFmtId="0" fontId="1" fillId="0" borderId="0" xfId="0" applyFont="1" applyAlignment="1">
      <alignment wrapText="1"/>
    </xf>
    <xf numFmtId="166" fontId="12" fillId="0" borderId="0" xfId="0" applyNumberFormat="1" applyFont="1" applyAlignment="1" applyProtection="1">
      <alignment horizontal="center"/>
      <protection locked="0"/>
    </xf>
    <xf numFmtId="165" fontId="12" fillId="0" borderId="0" xfId="0" applyNumberFormat="1" applyFont="1" applyAlignment="1" applyProtection="1">
      <alignment horizontal="center"/>
      <protection locked="0"/>
    </xf>
    <xf numFmtId="0" fontId="12" fillId="0" borderId="0" xfId="0" applyFont="1" applyProtection="1">
      <protection locked="0"/>
    </xf>
    <xf numFmtId="0" fontId="13" fillId="0" borderId="0" xfId="0" applyFont="1" applyAlignment="1" applyProtection="1">
      <alignment horizontal="center"/>
      <protection locked="0"/>
    </xf>
    <xf numFmtId="165" fontId="12" fillId="0" borderId="0" xfId="0" applyNumberFormat="1" applyFont="1" applyProtection="1">
      <protection locked="0"/>
    </xf>
    <xf numFmtId="0" fontId="3" fillId="0" borderId="0" xfId="0" applyFont="1" applyAlignment="1" applyProtection="1">
      <alignment horizontal="center"/>
      <protection locked="0"/>
    </xf>
    <xf numFmtId="164" fontId="3" fillId="0" borderId="0" xfId="0" applyNumberFormat="1" applyFont="1" applyAlignment="1" applyProtection="1">
      <alignment horizontal="center"/>
      <protection locked="0"/>
    </xf>
    <xf numFmtId="164" fontId="3" fillId="0" borderId="0" xfId="0" applyNumberFormat="1" applyFont="1" applyAlignment="1">
      <alignment horizontal="center" vertical="center"/>
    </xf>
    <xf numFmtId="0" fontId="15" fillId="0" borderId="0" xfId="0" applyFont="1"/>
    <xf numFmtId="49" fontId="7" fillId="0" borderId="0" xfId="0" applyNumberFormat="1" applyFont="1" applyAlignment="1">
      <alignment horizontal="left"/>
    </xf>
    <xf numFmtId="0" fontId="7" fillId="0" borderId="0" xfId="0" applyFont="1" applyAlignment="1">
      <alignment horizontal="center" vertical="center" wrapText="1"/>
    </xf>
    <xf numFmtId="0" fontId="7" fillId="0" borderId="0" xfId="0" quotePrefix="1" applyFont="1"/>
    <xf numFmtId="0" fontId="7" fillId="0" borderId="0" xfId="0" applyFont="1" applyAlignment="1">
      <alignment horizontal="right"/>
    </xf>
    <xf numFmtId="0" fontId="7" fillId="0" borderId="0" xfId="0" quotePrefix="1" applyFont="1" applyAlignment="1">
      <alignment horizontal="left"/>
    </xf>
    <xf numFmtId="0" fontId="15" fillId="0" borderId="0" xfId="0" applyFont="1" applyAlignment="1">
      <alignment horizontal="center"/>
    </xf>
    <xf numFmtId="0" fontId="15" fillId="0" borderId="0" xfId="0" applyFont="1" applyAlignment="1">
      <alignment vertical="center"/>
    </xf>
    <xf numFmtId="49" fontId="7" fillId="0" borderId="0" xfId="0" applyNumberFormat="1" applyFont="1" applyAlignment="1">
      <alignment horizontal="center"/>
    </xf>
    <xf numFmtId="164" fontId="7" fillId="0" borderId="1" xfId="0" quotePrefix="1" applyNumberFormat="1" applyFont="1" applyBorder="1" applyAlignment="1">
      <alignment horizontal="center"/>
    </xf>
    <xf numFmtId="168" fontId="7" fillId="0" borderId="0" xfId="0" applyNumberFormat="1" applyFont="1" applyAlignment="1">
      <alignment horizontal="center"/>
    </xf>
    <xf numFmtId="0" fontId="7" fillId="0" borderId="0" xfId="0" applyFont="1" applyAlignment="1">
      <alignment vertical="center" wrapText="1"/>
    </xf>
    <xf numFmtId="14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15" fillId="0" borderId="0" xfId="0" applyFont="1" applyAlignment="1">
      <alignment horizontal="left"/>
    </xf>
    <xf numFmtId="0" fontId="7" fillId="0" borderId="0" xfId="0" applyFont="1" applyAlignment="1">
      <alignment horizontal="left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9" xfId="0" applyBorder="1" applyAlignment="1">
      <alignment horizontal="center" wrapText="1"/>
    </xf>
    <xf numFmtId="0" fontId="0" fillId="0" borderId="9" xfId="0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0" fillId="0" borderId="13" xfId="0" applyFont="1" applyBorder="1"/>
    <xf numFmtId="0" fontId="10" fillId="0" borderId="13" xfId="0" applyFont="1" applyBorder="1" applyAlignment="1">
      <alignment horizontal="center"/>
    </xf>
    <xf numFmtId="0" fontId="0" fillId="0" borderId="13" xfId="0" applyBorder="1"/>
    <xf numFmtId="0" fontId="10" fillId="0" borderId="0" xfId="0" quotePrefix="1" applyFont="1" applyAlignment="1">
      <alignment horizontal="center"/>
    </xf>
    <xf numFmtId="49" fontId="1" fillId="0" borderId="13" xfId="0" applyNumberFormat="1" applyFont="1" applyBorder="1" applyAlignment="1">
      <alignment horizontal="center"/>
    </xf>
    <xf numFmtId="167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49" fontId="0" fillId="0" borderId="13" xfId="0" applyNumberFormat="1" applyBorder="1" applyAlignment="1">
      <alignment horizontal="center"/>
    </xf>
    <xf numFmtId="10" fontId="0" fillId="0" borderId="13" xfId="0" applyNumberFormat="1" applyBorder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6" fillId="0" borderId="0" xfId="0" applyNumberFormat="1" applyFont="1" applyAlignment="1">
      <alignment horizontal="center"/>
    </xf>
    <xf numFmtId="164" fontId="6" fillId="0" borderId="17" xfId="0" applyNumberFormat="1" applyFont="1" applyBorder="1" applyAlignment="1" applyProtection="1">
      <alignment horizontal="center"/>
      <protection locked="0"/>
    </xf>
    <xf numFmtId="0" fontId="0" fillId="0" borderId="9" xfId="0" applyBorder="1"/>
    <xf numFmtId="0" fontId="7" fillId="0" borderId="0" xfId="0" applyFont="1" applyAlignment="1">
      <alignment horizontal="right"/>
    </xf>
    <xf numFmtId="0" fontId="0" fillId="0" borderId="3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13" xfId="0" applyNumberFormat="1" applyBorder="1" applyAlignment="1">
      <alignment horizontal="left"/>
    </xf>
    <xf numFmtId="0" fontId="0" fillId="0" borderId="1" xfId="0" applyBorder="1" applyAlignment="1">
      <alignment horizontal="right"/>
    </xf>
    <xf numFmtId="0" fontId="1" fillId="0" borderId="7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0" fillId="0" borderId="1" xfId="0" applyBorder="1"/>
    <xf numFmtId="0" fontId="0" fillId="0" borderId="2" xfId="0" applyBorder="1"/>
    <xf numFmtId="164" fontId="0" fillId="0" borderId="1" xfId="0" applyNumberFormat="1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6" xfId="0" applyBorder="1" applyAlignment="1">
      <alignment horizontal="left"/>
    </xf>
    <xf numFmtId="0" fontId="0" fillId="0" borderId="0" xfId="0" applyAlignment="1">
      <alignment horizontal="right"/>
    </xf>
    <xf numFmtId="0" fontId="16" fillId="0" borderId="10" xfId="0" applyFont="1" applyBorder="1" applyAlignment="1">
      <alignment horizontal="center"/>
    </xf>
    <xf numFmtId="0" fontId="16" fillId="0" borderId="11" xfId="0" applyFont="1" applyBorder="1" applyAlignment="1">
      <alignment horizontal="center"/>
    </xf>
    <xf numFmtId="0" fontId="16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49" fontId="8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/>
    </xf>
    <xf numFmtId="49" fontId="7" fillId="0" borderId="0" xfId="0" applyNumberFormat="1" applyFont="1" applyAlignment="1">
      <alignment horizontal="right"/>
    </xf>
    <xf numFmtId="0" fontId="7" fillId="0" borderId="0" xfId="0" applyFont="1" applyAlignment="1">
      <alignment horizontal="left" vertical="center"/>
    </xf>
    <xf numFmtId="0" fontId="7" fillId="0" borderId="0" xfId="0" applyFont="1"/>
    <xf numFmtId="1" fontId="1" fillId="0" borderId="13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 wrapText="1"/>
    </xf>
    <xf numFmtId="0" fontId="7" fillId="0" borderId="8" xfId="0" applyFont="1" applyBorder="1" applyAlignment="1">
      <alignment horizontal="center"/>
    </xf>
    <xf numFmtId="3" fontId="1" fillId="0" borderId="13" xfId="0" applyNumberFormat="1" applyFont="1" applyBorder="1" applyAlignment="1">
      <alignment horizontal="center" wrapText="1"/>
    </xf>
    <xf numFmtId="0" fontId="0" fillId="0" borderId="0" xfId="0" applyAlignment="1">
      <alignment horizontal="left"/>
    </xf>
    <xf numFmtId="0" fontId="12" fillId="0" borderId="0" xfId="0" applyFont="1" applyAlignment="1" applyProtection="1">
      <alignment horizontal="left"/>
      <protection locked="0"/>
    </xf>
    <xf numFmtId="4" fontId="12" fillId="0" borderId="0" xfId="0" applyNumberFormat="1" applyFont="1" applyAlignment="1" applyProtection="1">
      <alignment horizontal="left"/>
      <protection locked="0"/>
    </xf>
    <xf numFmtId="0" fontId="12" fillId="0" borderId="1" xfId="0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0" fontId="12" fillId="0" borderId="6" xfId="0" applyFont="1" applyBorder="1" applyAlignment="1" applyProtection="1">
      <alignment horizontal="center"/>
      <protection locked="0"/>
    </xf>
    <xf numFmtId="0" fontId="1" fillId="0" borderId="2" xfId="0" applyFont="1" applyBorder="1"/>
    <xf numFmtId="0" fontId="7" fillId="0" borderId="0" xfId="0" applyFont="1" applyAlignment="1">
      <alignment horizontal="left"/>
    </xf>
    <xf numFmtId="167" fontId="0" fillId="0" borderId="0" xfId="0" applyNumberFormat="1"/>
    <xf numFmtId="0" fontId="1" fillId="0" borderId="1" xfId="0" applyFont="1" applyBorder="1"/>
    <xf numFmtId="167" fontId="0" fillId="0" borderId="0" xfId="0" quotePrefix="1" applyNumberFormat="1"/>
    <xf numFmtId="167" fontId="1" fillId="0" borderId="0" xfId="0" applyNumberFormat="1" applyFont="1"/>
    <xf numFmtId="0" fontId="11" fillId="0" borderId="0" xfId="0" applyFont="1" applyAlignment="1">
      <alignment horizontal="center"/>
    </xf>
    <xf numFmtId="0" fontId="14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5</xdr:row>
          <xdr:rowOff>9525</xdr:rowOff>
        </xdr:from>
        <xdr:to>
          <xdr:col>7</xdr:col>
          <xdr:colOff>628650</xdr:colOff>
          <xdr:row>7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Consy Roster Numbers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8</xdr:row>
          <xdr:rowOff>66675</xdr:rowOff>
        </xdr:from>
        <xdr:to>
          <xdr:col>7</xdr:col>
          <xdr:colOff>628650</xdr:colOff>
          <xdr:row>9</xdr:row>
          <xdr:rowOff>257175</xdr:rowOff>
        </xdr:to>
        <xdr:sp macro="" textlink="">
          <xdr:nvSpPr>
            <xdr:cNvPr id="4100" name="MainSummaryFinancialsComplete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Consy Financials Complete?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11</xdr:row>
          <xdr:rowOff>19050</xdr:rowOff>
        </xdr:from>
        <xdr:to>
          <xdr:col>7</xdr:col>
          <xdr:colOff>628650</xdr:colOff>
          <xdr:row>13</xdr:row>
          <xdr:rowOff>57150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5</xdr:row>
          <xdr:rowOff>9525</xdr:rowOff>
        </xdr:from>
        <xdr:to>
          <xdr:col>14</xdr:col>
          <xdr:colOff>247650</xdr:colOff>
          <xdr:row>7</xdr:row>
          <xdr:rowOff>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4</xdr:row>
          <xdr:rowOff>9525</xdr:rowOff>
        </xdr:from>
        <xdr:to>
          <xdr:col>5</xdr:col>
          <xdr:colOff>1247775</xdr:colOff>
          <xdr:row>5</xdr:row>
          <xdr:rowOff>200025</xdr:rowOff>
        </xdr:to>
        <xdr:sp macro="" textlink="">
          <xdr:nvSpPr>
            <xdr:cNvPr id="2049" name="ConsyExpensesFinancialsComplete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Expenses Complete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3514725</xdr:colOff>
          <xdr:row>3</xdr:row>
          <xdr:rowOff>142875</xdr:rowOff>
        </xdr:from>
        <xdr:to>
          <xdr:col>5</xdr:col>
          <xdr:colOff>447675</xdr:colOff>
          <xdr:row>5</xdr:row>
          <xdr:rowOff>114300</xdr:rowOff>
        </xdr:to>
        <xdr:sp macro="" textlink="">
          <xdr:nvSpPr>
            <xdr:cNvPr id="3074" name="ConsBenefitsFinancialsComplet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Benefits  Complete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95"/>
  <sheetViews>
    <sheetView tabSelected="1" topLeftCell="A2" zoomScaleNormal="100" workbookViewId="0">
      <selection activeCell="E31" sqref="E31"/>
    </sheetView>
  </sheetViews>
  <sheetFormatPr defaultRowHeight="15" x14ac:dyDescent="0.25"/>
  <cols>
    <col min="1" max="1" width="11.7109375" customWidth="1"/>
    <col min="2" max="2" width="12.5703125" style="21" customWidth="1"/>
    <col min="3" max="3" width="12" style="21" customWidth="1"/>
    <col min="4" max="4" width="12.28515625" customWidth="1"/>
    <col min="5" max="5" width="14.7109375" customWidth="1"/>
    <col min="6" max="6" width="14.42578125" style="1" customWidth="1"/>
    <col min="7" max="7" width="9.140625" customWidth="1"/>
    <col min="8" max="8" width="9.7109375" customWidth="1"/>
    <col min="9" max="9" width="3.42578125" customWidth="1"/>
    <col min="10" max="10" width="10.42578125" customWidth="1"/>
    <col min="11" max="11" width="16.7109375" style="1" hidden="1" customWidth="1"/>
    <col min="12" max="12" width="9.140625" hidden="1" customWidth="1"/>
    <col min="13" max="13" width="0" hidden="1" customWidth="1"/>
    <col min="14" max="14" width="11.5703125" customWidth="1"/>
    <col min="15" max="15" width="6" customWidth="1"/>
  </cols>
  <sheetData>
    <row r="1" spans="1:15" ht="26.25" customHeight="1" thickBot="1" x14ac:dyDescent="0.35">
      <c r="B1" s="164" t="s">
        <v>141</v>
      </c>
      <c r="C1" s="165"/>
      <c r="D1" s="166"/>
    </row>
    <row r="3" spans="1:15" ht="35.25" customHeight="1" x14ac:dyDescent="0.3">
      <c r="A3" s="23"/>
      <c r="B3" s="168" t="s">
        <v>131</v>
      </c>
      <c r="C3" s="168"/>
      <c r="D3" s="168"/>
      <c r="E3" s="168"/>
      <c r="F3" s="47"/>
      <c r="H3" s="24"/>
      <c r="K3" s="42">
        <v>24</v>
      </c>
      <c r="L3" t="s">
        <v>91</v>
      </c>
    </row>
    <row r="4" spans="1:15" ht="20.25" customHeight="1" x14ac:dyDescent="0.25">
      <c r="A4" s="149" t="s">
        <v>105</v>
      </c>
      <c r="B4" s="149"/>
      <c r="C4" s="169" t="s">
        <v>150</v>
      </c>
      <c r="D4" s="169"/>
      <c r="E4" s="169"/>
      <c r="F4" s="169"/>
      <c r="G4" s="169"/>
      <c r="H4" s="169"/>
      <c r="I4" s="113"/>
      <c r="J4" s="113"/>
      <c r="K4" s="101"/>
      <c r="L4" s="101"/>
      <c r="M4" s="101"/>
      <c r="N4" s="101"/>
      <c r="O4" s="101"/>
    </row>
    <row r="5" spans="1:15" ht="15.75" x14ac:dyDescent="0.25">
      <c r="A5" s="170" t="s">
        <v>114</v>
      </c>
      <c r="B5" s="170"/>
      <c r="C5" s="123">
        <v>46130</v>
      </c>
      <c r="D5" s="114"/>
      <c r="E5" s="114"/>
      <c r="F5" s="114"/>
      <c r="G5" s="114"/>
      <c r="H5" s="114"/>
      <c r="I5" s="113"/>
      <c r="J5" s="115"/>
      <c r="K5" s="101"/>
      <c r="L5" s="101"/>
      <c r="M5" s="101"/>
      <c r="N5" s="101"/>
      <c r="O5" s="101"/>
    </row>
    <row r="6" spans="1:15" ht="18.75" x14ac:dyDescent="0.3">
      <c r="A6" s="149" t="s">
        <v>106</v>
      </c>
      <c r="B6" s="149"/>
      <c r="C6" s="110">
        <v>28</v>
      </c>
      <c r="D6" s="113"/>
      <c r="E6" s="113"/>
      <c r="F6" s="113"/>
      <c r="G6" s="113"/>
      <c r="H6" s="113"/>
      <c r="I6" s="116"/>
      <c r="J6" s="115"/>
      <c r="K6" s="101"/>
      <c r="L6" s="101"/>
      <c r="M6" s="101"/>
      <c r="N6" s="101"/>
      <c r="O6" s="101"/>
    </row>
    <row r="7" spans="1:15" ht="18.75" x14ac:dyDescent="0.3">
      <c r="A7" s="149" t="s">
        <v>107</v>
      </c>
      <c r="B7" s="149"/>
      <c r="C7" s="111">
        <v>30</v>
      </c>
      <c r="D7" s="117"/>
      <c r="E7" s="118"/>
      <c r="F7" s="119"/>
      <c r="G7" s="113"/>
      <c r="H7" s="113"/>
      <c r="I7" s="113"/>
      <c r="J7" s="115"/>
      <c r="K7" s="101"/>
      <c r="L7" s="101"/>
      <c r="M7" s="101"/>
      <c r="N7" s="101"/>
      <c r="O7" s="101"/>
    </row>
    <row r="8" spans="1:15" ht="18.75" x14ac:dyDescent="0.3">
      <c r="A8" s="172" t="s">
        <v>108</v>
      </c>
      <c r="B8" s="172"/>
      <c r="C8" s="111">
        <v>1</v>
      </c>
      <c r="D8" s="113"/>
      <c r="E8" s="113"/>
      <c r="F8" s="119"/>
      <c r="G8" s="113"/>
      <c r="H8" s="113"/>
      <c r="I8" s="113"/>
      <c r="J8" s="115"/>
      <c r="K8" s="101"/>
      <c r="L8" s="101"/>
      <c r="M8" s="101"/>
      <c r="N8" s="101"/>
      <c r="O8" s="101"/>
    </row>
    <row r="9" spans="1:15" ht="21.75" customHeight="1" x14ac:dyDescent="0.25">
      <c r="A9" s="171" t="s">
        <v>121</v>
      </c>
      <c r="B9" s="171"/>
      <c r="C9" s="112">
        <f>FCFSummaryPlayerCount * FCFSummaryPerPlayer</f>
        <v>0</v>
      </c>
      <c r="D9" s="120"/>
      <c r="E9" s="120"/>
      <c r="F9" s="120"/>
      <c r="G9" s="120"/>
      <c r="H9" s="124"/>
      <c r="I9" s="124"/>
      <c r="J9" s="124"/>
      <c r="N9" s="102"/>
      <c r="O9" s="67"/>
    </row>
    <row r="10" spans="1:15" ht="21.75" customHeight="1" x14ac:dyDescent="0.3">
      <c r="A10" s="163" t="s">
        <v>119</v>
      </c>
      <c r="B10" s="163"/>
      <c r="C10" s="163"/>
      <c r="D10" s="111">
        <v>0</v>
      </c>
    </row>
    <row r="11" spans="1:15" ht="18.75" x14ac:dyDescent="0.3">
      <c r="A11" s="163" t="s">
        <v>120</v>
      </c>
      <c r="B11" s="163"/>
      <c r="C11" s="163"/>
      <c r="D11" s="111">
        <v>0</v>
      </c>
      <c r="E11" s="70"/>
      <c r="F11" s="70"/>
      <c r="G11" s="70"/>
      <c r="H11" s="70"/>
      <c r="I11" s="70"/>
      <c r="J11" s="70"/>
      <c r="K11" s="90"/>
    </row>
    <row r="12" spans="1:15" ht="18.75" x14ac:dyDescent="0.3">
      <c r="A12" s="2"/>
      <c r="B12" s="2"/>
      <c r="C12" s="2"/>
      <c r="D12" s="111"/>
      <c r="E12" s="90"/>
      <c r="F12" s="90"/>
      <c r="G12" s="90"/>
      <c r="H12" s="90"/>
      <c r="I12" s="90"/>
      <c r="J12" s="90"/>
      <c r="K12" s="90"/>
    </row>
    <row r="14" spans="1:15" x14ac:dyDescent="0.25">
      <c r="A14" t="s">
        <v>93</v>
      </c>
      <c r="B14" s="25"/>
      <c r="C14" s="25"/>
    </row>
    <row r="15" spans="1:15" ht="18.75" x14ac:dyDescent="0.3">
      <c r="A15" s="51" t="s">
        <v>132</v>
      </c>
      <c r="B15" s="128" t="str">
        <f>FCFSummaryTourneyName</f>
        <v>Napa Wine Country Open</v>
      </c>
      <c r="C15" s="127"/>
      <c r="D15" s="127"/>
      <c r="E15" s="127"/>
      <c r="F15" s="125">
        <f>FCFSummaryTourneyDate</f>
        <v>46130</v>
      </c>
      <c r="H15" s="126"/>
    </row>
    <row r="16" spans="1:15" x14ac:dyDescent="0.25">
      <c r="A16" s="65">
        <f>FCFSummaryPlayerCount</f>
        <v>28</v>
      </c>
      <c r="B16" s="161" t="s">
        <v>118</v>
      </c>
      <c r="C16" s="162"/>
      <c r="E16" s="25"/>
      <c r="G16" s="44"/>
    </row>
    <row r="17" spans="1:14" x14ac:dyDescent="0.25">
      <c r="A17" s="45">
        <f>FCFSummaryPlayerCount*FCFSummaryEntryFee</f>
        <v>840</v>
      </c>
      <c r="B17" s="158" t="s">
        <v>1</v>
      </c>
      <c r="C17" s="158"/>
      <c r="E17" s="28"/>
      <c r="F17" s="68"/>
    </row>
    <row r="18" spans="1:14" x14ac:dyDescent="0.25">
      <c r="A18" s="45">
        <f>-FCFSummaryPlayerCount*FCFSummaryAccFee</f>
        <v>-28</v>
      </c>
      <c r="B18" s="158" t="s">
        <v>95</v>
      </c>
      <c r="C18" s="158"/>
      <c r="E18" s="69"/>
      <c r="F18"/>
    </row>
    <row r="19" spans="1:14" x14ac:dyDescent="0.25">
      <c r="A19" s="45">
        <f>-FCFBenefitsTotal</f>
        <v>-82</v>
      </c>
      <c r="B19" s="159" t="s">
        <v>3</v>
      </c>
      <c r="C19" s="159"/>
      <c r="F19"/>
    </row>
    <row r="20" spans="1:14" ht="15" customHeight="1" x14ac:dyDescent="0.25">
      <c r="A20" s="45">
        <f>(FCFExpensesTotal+FCFSummaryDonation)</f>
        <v>0</v>
      </c>
      <c r="B20" s="160" t="s">
        <v>145</v>
      </c>
      <c r="C20" s="160"/>
      <c r="D20" s="129"/>
      <c r="E20" s="148"/>
      <c r="F20" s="148"/>
      <c r="G20" s="132"/>
      <c r="H20" s="133"/>
      <c r="J20" s="24"/>
    </row>
    <row r="21" spans="1:14" ht="15" customHeight="1" x14ac:dyDescent="0.25">
      <c r="A21" s="134">
        <f>SUM(A17:A20)</f>
        <v>730</v>
      </c>
      <c r="B21" s="154" t="s">
        <v>144</v>
      </c>
      <c r="C21" s="154"/>
      <c r="E21" s="130" t="s">
        <v>110</v>
      </c>
      <c r="F21" s="131"/>
      <c r="G21" s="150" t="s">
        <v>79</v>
      </c>
      <c r="H21" s="152" t="s">
        <v>80</v>
      </c>
      <c r="J21" s="24"/>
    </row>
    <row r="22" spans="1:14" x14ac:dyDescent="0.25">
      <c r="E22" s="11" t="s">
        <v>81</v>
      </c>
      <c r="F22" s="26">
        <f>FCFSummaryEntryFee*0.15</f>
        <v>4.5</v>
      </c>
      <c r="G22" s="151"/>
      <c r="H22" s="153"/>
    </row>
    <row r="23" spans="1:14" x14ac:dyDescent="0.25">
      <c r="B23" s="155" t="s">
        <v>104</v>
      </c>
      <c r="C23" s="155"/>
      <c r="D23" s="45">
        <f>IF(G23&lt;=F23,ROUNDUP(G23,0),ROUNDUP(F23,0))</f>
        <v>0</v>
      </c>
      <c r="E23" s="11" t="s">
        <v>111</v>
      </c>
      <c r="F23" s="26">
        <f>+F22*C6</f>
        <v>126</v>
      </c>
      <c r="G23" s="46">
        <f>+FCFExpensesTotal</f>
        <v>0</v>
      </c>
      <c r="H23" s="26">
        <f>+F23-G23</f>
        <v>126</v>
      </c>
    </row>
    <row r="24" spans="1:14" ht="18.75" x14ac:dyDescent="0.3">
      <c r="B24" s="25"/>
      <c r="C24" s="25"/>
      <c r="D24" s="175" t="str">
        <f>IF(G23&gt;F23,"***Actual Expenses More Than Total Allowed***","")</f>
        <v/>
      </c>
      <c r="E24" s="175"/>
      <c r="F24" s="175"/>
      <c r="G24" s="175"/>
      <c r="H24" s="175"/>
      <c r="I24" s="47"/>
      <c r="J24" s="48"/>
      <c r="K24" s="48"/>
      <c r="L24" s="48"/>
      <c r="M24" s="48"/>
      <c r="N24" s="48"/>
    </row>
    <row r="25" spans="1:14" ht="18.75" x14ac:dyDescent="0.3">
      <c r="A25" s="49">
        <v>7</v>
      </c>
      <c r="B25" s="156" t="s">
        <v>82</v>
      </c>
      <c r="C25" s="157"/>
      <c r="F25" s="50" t="str">
        <f>IF(LEFT($B$3,1)="M","Main Tourney", "Consolation Tourney")</f>
        <v>Consolation Tourney</v>
      </c>
    </row>
    <row r="26" spans="1:14" ht="18.75" x14ac:dyDescent="0.3">
      <c r="B26" s="121" t="s">
        <v>139</v>
      </c>
      <c r="C26" s="24"/>
      <c r="D26" s="48" t="s">
        <v>140</v>
      </c>
      <c r="E26" s="51" t="s">
        <v>83</v>
      </c>
      <c r="H26" s="52"/>
    </row>
    <row r="27" spans="1:14" ht="18.75" x14ac:dyDescent="0.3">
      <c r="B27" s="122">
        <f>FCFSummaryAvailablePool</f>
        <v>730</v>
      </c>
      <c r="C27" s="64" t="s">
        <v>117</v>
      </c>
      <c r="D27" s="53">
        <f>SUM(D31:D207)</f>
        <v>735</v>
      </c>
      <c r="E27" s="53">
        <f>FCFSummaryPrizePool - FCFSummaryRoundedPrizePool-FCFSummaryAdjustments</f>
        <v>-5</v>
      </c>
      <c r="F27" s="54"/>
      <c r="H27" s="55"/>
      <c r="J27" s="55"/>
    </row>
    <row r="28" spans="1:14" ht="18.75" x14ac:dyDescent="0.3">
      <c r="B28"/>
      <c r="C28" s="25"/>
      <c r="E28" s="56">
        <f>SUM(FCFSummaryAdjEntries)</f>
        <v>0</v>
      </c>
      <c r="F28" s="43" t="s">
        <v>84</v>
      </c>
    </row>
    <row r="29" spans="1:14" x14ac:dyDescent="0.25">
      <c r="A29" s="173" t="s">
        <v>92</v>
      </c>
      <c r="B29" s="167" t="s">
        <v>85</v>
      </c>
      <c r="C29" s="174" t="s">
        <v>86</v>
      </c>
      <c r="D29" s="176" t="s">
        <v>87</v>
      </c>
      <c r="E29" s="174" t="s">
        <v>88</v>
      </c>
      <c r="F29" s="174" t="s">
        <v>89</v>
      </c>
      <c r="G29" s="174" t="s">
        <v>90</v>
      </c>
    </row>
    <row r="30" spans="1:14" ht="15.75" thickBot="1" x14ac:dyDescent="0.3">
      <c r="A30" s="173"/>
      <c r="B30" s="167"/>
      <c r="C30" s="174"/>
      <c r="D30" s="176"/>
      <c r="E30" s="174"/>
      <c r="F30" s="174"/>
      <c r="G30" s="174"/>
    </row>
    <row r="31" spans="1:14" ht="15.75" thickBot="1" x14ac:dyDescent="0.3">
      <c r="A31" s="139">
        <v>1</v>
      </c>
      <c r="B31" s="140">
        <v>0.35499999999999998</v>
      </c>
      <c r="C31" s="141">
        <v>259.14999999999998</v>
      </c>
      <c r="D31" s="142">
        <v>260</v>
      </c>
      <c r="E31" s="147"/>
      <c r="F31" s="142">
        <v>260</v>
      </c>
      <c r="G31" s="143">
        <v>1</v>
      </c>
      <c r="H31" s="22"/>
      <c r="J31" s="10"/>
      <c r="N31" s="34"/>
    </row>
    <row r="32" spans="1:14" ht="15.75" thickBot="1" x14ac:dyDescent="0.3">
      <c r="A32" s="139">
        <v>2</v>
      </c>
      <c r="B32" s="140">
        <v>0.23</v>
      </c>
      <c r="C32" s="141">
        <v>167.9</v>
      </c>
      <c r="D32" s="142">
        <v>170</v>
      </c>
      <c r="E32" s="147"/>
      <c r="F32" s="142">
        <v>170</v>
      </c>
      <c r="G32" s="143">
        <v>2</v>
      </c>
      <c r="H32" s="22"/>
      <c r="J32" s="10"/>
    </row>
    <row r="33" spans="1:10" ht="15.75" thickBot="1" x14ac:dyDescent="0.3">
      <c r="A33" s="139">
        <v>3</v>
      </c>
      <c r="B33" s="144">
        <v>0.11749999999999999</v>
      </c>
      <c r="C33" s="141">
        <v>85.774999999999991</v>
      </c>
      <c r="D33" s="142">
        <v>85</v>
      </c>
      <c r="E33" s="147"/>
      <c r="F33" s="142">
        <v>85</v>
      </c>
      <c r="G33" s="143" t="s">
        <v>146</v>
      </c>
      <c r="H33" s="22"/>
      <c r="J33" s="13"/>
    </row>
    <row r="34" spans="1:10" ht="15.75" thickBot="1" x14ac:dyDescent="0.3">
      <c r="A34" s="139">
        <v>4</v>
      </c>
      <c r="B34" s="144">
        <v>0.11749999999999999</v>
      </c>
      <c r="C34" s="141">
        <v>85.774999999999991</v>
      </c>
      <c r="D34" s="142">
        <v>85</v>
      </c>
      <c r="E34" s="147"/>
      <c r="F34" s="142">
        <v>85</v>
      </c>
      <c r="G34" s="143" t="s">
        <v>146</v>
      </c>
      <c r="H34" s="22"/>
      <c r="J34" s="13"/>
    </row>
    <row r="35" spans="1:10" ht="15.75" thickBot="1" x14ac:dyDescent="0.3">
      <c r="A35" s="139">
        <v>5</v>
      </c>
      <c r="B35" s="140">
        <v>0.06</v>
      </c>
      <c r="C35" s="141">
        <v>43.8</v>
      </c>
      <c r="D35" s="142">
        <v>45</v>
      </c>
      <c r="E35" s="147"/>
      <c r="F35" s="142">
        <v>45</v>
      </c>
      <c r="G35" s="143" t="s">
        <v>147</v>
      </c>
      <c r="H35" s="22"/>
      <c r="J35" s="10"/>
    </row>
    <row r="36" spans="1:10" ht="15.75" thickBot="1" x14ac:dyDescent="0.3">
      <c r="A36" s="139">
        <v>6</v>
      </c>
      <c r="B36" s="140">
        <v>0.06</v>
      </c>
      <c r="C36" s="141">
        <v>43.8</v>
      </c>
      <c r="D36" s="142">
        <v>45</v>
      </c>
      <c r="E36" s="147"/>
      <c r="F36" s="142">
        <v>45</v>
      </c>
      <c r="G36" s="143" t="s">
        <v>147</v>
      </c>
      <c r="H36" s="22"/>
      <c r="J36" s="10"/>
    </row>
    <row r="37" spans="1:10" ht="15.75" thickBot="1" x14ac:dyDescent="0.3">
      <c r="A37" s="139">
        <v>7</v>
      </c>
      <c r="B37" s="140">
        <v>0.06</v>
      </c>
      <c r="C37" s="141">
        <v>43.8</v>
      </c>
      <c r="D37" s="142">
        <v>45</v>
      </c>
      <c r="E37" s="147"/>
      <c r="F37" s="142">
        <v>45</v>
      </c>
      <c r="G37" s="143" t="s">
        <v>147</v>
      </c>
      <c r="H37" s="22"/>
      <c r="J37" s="10"/>
    </row>
    <row r="38" spans="1:10" x14ac:dyDescent="0.25">
      <c r="A38" s="21"/>
      <c r="B38" s="10"/>
      <c r="C38" s="29"/>
      <c r="D38" s="99"/>
      <c r="E38" s="145"/>
      <c r="F38" s="99"/>
      <c r="G38" s="22"/>
      <c r="H38" s="22"/>
      <c r="J38" s="10"/>
    </row>
    <row r="39" spans="1:10" x14ac:dyDescent="0.25">
      <c r="A39" s="21"/>
      <c r="B39" s="10"/>
      <c r="C39" s="29"/>
      <c r="D39" s="99"/>
      <c r="E39" s="145"/>
      <c r="F39" s="99"/>
      <c r="G39" s="22"/>
      <c r="H39" s="22"/>
      <c r="J39" s="10"/>
    </row>
    <row r="40" spans="1:10" x14ac:dyDescent="0.25">
      <c r="A40" s="21"/>
      <c r="B40" s="10"/>
      <c r="C40" s="29"/>
      <c r="D40" s="99"/>
      <c r="E40" s="145"/>
      <c r="F40" s="99"/>
      <c r="G40" s="22"/>
      <c r="H40" s="22"/>
      <c r="J40" s="10"/>
    </row>
    <row r="41" spans="1:10" x14ac:dyDescent="0.25">
      <c r="A41" s="21"/>
      <c r="B41" s="10"/>
      <c r="C41" s="29"/>
      <c r="D41" s="99"/>
      <c r="E41" s="145"/>
      <c r="F41" s="99"/>
      <c r="G41" s="22"/>
      <c r="H41" s="22"/>
      <c r="J41" s="10"/>
    </row>
    <row r="42" spans="1:10" x14ac:dyDescent="0.25">
      <c r="A42" s="21"/>
      <c r="B42" s="10"/>
      <c r="C42" s="29"/>
      <c r="D42" s="99"/>
      <c r="E42" s="145"/>
      <c r="F42" s="99"/>
      <c r="G42" s="22"/>
      <c r="H42" s="22"/>
      <c r="J42" s="10"/>
    </row>
    <row r="43" spans="1:10" x14ac:dyDescent="0.25">
      <c r="A43" s="21"/>
      <c r="B43" s="10"/>
      <c r="C43" s="29"/>
      <c r="D43" s="99"/>
      <c r="E43" s="145"/>
      <c r="F43" s="99"/>
      <c r="G43" s="22"/>
      <c r="H43" s="22"/>
      <c r="J43" s="10"/>
    </row>
    <row r="44" spans="1:10" x14ac:dyDescent="0.25">
      <c r="A44" s="21"/>
      <c r="B44" s="10"/>
      <c r="C44" s="29"/>
      <c r="D44" s="99"/>
      <c r="E44" s="145"/>
      <c r="F44" s="99"/>
      <c r="G44" s="22"/>
      <c r="H44" s="22"/>
      <c r="J44" s="10"/>
    </row>
    <row r="45" spans="1:10" x14ac:dyDescent="0.25">
      <c r="A45" s="21"/>
      <c r="B45" s="10"/>
      <c r="C45" s="29"/>
      <c r="D45" s="99"/>
      <c r="E45" s="145"/>
      <c r="F45" s="99"/>
      <c r="G45" s="22"/>
      <c r="H45" s="22"/>
    </row>
    <row r="46" spans="1:10" x14ac:dyDescent="0.25">
      <c r="A46" s="21"/>
      <c r="B46" s="10"/>
      <c r="C46" s="29"/>
      <c r="D46" s="99"/>
      <c r="E46" s="145"/>
      <c r="F46" s="99"/>
      <c r="G46" s="22"/>
      <c r="H46" s="22"/>
    </row>
    <row r="47" spans="1:10" x14ac:dyDescent="0.25">
      <c r="A47" s="21"/>
      <c r="B47" s="10"/>
      <c r="C47" s="29"/>
      <c r="D47" s="99"/>
      <c r="E47" s="145"/>
      <c r="F47" s="99"/>
      <c r="G47" s="22"/>
      <c r="H47" s="22"/>
    </row>
    <row r="48" spans="1:10" x14ac:dyDescent="0.25">
      <c r="A48" s="21"/>
      <c r="B48" s="10"/>
      <c r="C48" s="29"/>
      <c r="D48" s="99"/>
      <c r="E48" s="145"/>
      <c r="F48" s="99"/>
      <c r="G48" s="22"/>
      <c r="H48" s="22"/>
    </row>
    <row r="49" spans="1:8" x14ac:dyDescent="0.25">
      <c r="A49" s="21"/>
      <c r="B49" s="10"/>
      <c r="C49" s="29"/>
      <c r="D49" s="99"/>
      <c r="E49" s="145"/>
      <c r="F49" s="99"/>
      <c r="G49" s="22"/>
      <c r="H49" s="22"/>
    </row>
    <row r="50" spans="1:8" x14ac:dyDescent="0.25">
      <c r="A50" s="21"/>
      <c r="B50" s="10"/>
      <c r="C50" s="29"/>
      <c r="D50" s="99"/>
      <c r="E50" s="145"/>
      <c r="F50" s="99"/>
      <c r="G50" s="22"/>
      <c r="H50" s="22"/>
    </row>
    <row r="51" spans="1:8" x14ac:dyDescent="0.25">
      <c r="A51" s="21"/>
      <c r="B51" s="10"/>
      <c r="C51" s="29"/>
      <c r="D51" s="99"/>
      <c r="E51" s="145"/>
      <c r="F51" s="99"/>
      <c r="G51" s="22"/>
      <c r="H51" s="22"/>
    </row>
    <row r="52" spans="1:8" x14ac:dyDescent="0.25">
      <c r="A52" s="21"/>
      <c r="B52" s="10"/>
      <c r="C52" s="29"/>
      <c r="D52" s="99"/>
      <c r="E52" s="145"/>
      <c r="F52" s="99"/>
      <c r="G52" s="22"/>
      <c r="H52" s="22"/>
    </row>
    <row r="53" spans="1:8" x14ac:dyDescent="0.25">
      <c r="A53" s="21"/>
      <c r="B53" s="10"/>
      <c r="C53" s="29"/>
      <c r="D53" s="99"/>
      <c r="E53" s="145"/>
      <c r="F53" s="99"/>
      <c r="G53" s="22"/>
      <c r="H53" s="22"/>
    </row>
    <row r="54" spans="1:8" x14ac:dyDescent="0.25">
      <c r="A54" s="21"/>
      <c r="B54" s="10"/>
      <c r="C54" s="29"/>
      <c r="D54" s="99"/>
      <c r="E54" s="145"/>
      <c r="F54" s="99"/>
      <c r="G54" s="22"/>
      <c r="H54" s="22"/>
    </row>
    <row r="55" spans="1:8" x14ac:dyDescent="0.25">
      <c r="A55" s="21"/>
      <c r="B55" s="10"/>
      <c r="C55" s="29"/>
      <c r="D55" s="99"/>
      <c r="E55" s="145"/>
      <c r="F55" s="99"/>
      <c r="G55" s="22"/>
      <c r="H55" s="22"/>
    </row>
    <row r="56" spans="1:8" x14ac:dyDescent="0.25">
      <c r="A56" s="21"/>
      <c r="B56" s="10"/>
      <c r="C56" s="29"/>
      <c r="D56" s="99"/>
      <c r="E56" s="145"/>
      <c r="F56" s="99"/>
      <c r="G56" s="22"/>
      <c r="H56" s="22"/>
    </row>
    <row r="57" spans="1:8" x14ac:dyDescent="0.25">
      <c r="A57" s="21"/>
      <c r="B57" s="10"/>
      <c r="C57" s="29"/>
      <c r="D57" s="99"/>
      <c r="E57" s="145"/>
      <c r="F57" s="99"/>
      <c r="G57" s="22"/>
      <c r="H57" s="22"/>
    </row>
    <row r="58" spans="1:8" x14ac:dyDescent="0.25">
      <c r="A58" s="21"/>
      <c r="B58" s="10"/>
      <c r="C58" s="29"/>
      <c r="D58" s="99"/>
      <c r="E58" s="145"/>
      <c r="F58" s="99"/>
      <c r="G58" s="22"/>
      <c r="H58" s="22"/>
    </row>
    <row r="59" spans="1:8" x14ac:dyDescent="0.25">
      <c r="A59" s="21"/>
      <c r="B59" s="10"/>
      <c r="C59" s="29"/>
      <c r="D59" s="99"/>
      <c r="E59" s="145"/>
      <c r="F59" s="99"/>
      <c r="G59" s="22"/>
      <c r="H59" s="22"/>
    </row>
    <row r="60" spans="1:8" x14ac:dyDescent="0.25">
      <c r="A60" s="21"/>
      <c r="B60" s="10"/>
      <c r="C60" s="29"/>
      <c r="D60" s="99"/>
      <c r="E60" s="145"/>
      <c r="F60" s="99"/>
      <c r="G60" s="22"/>
      <c r="H60" s="22"/>
    </row>
    <row r="61" spans="1:8" x14ac:dyDescent="0.25">
      <c r="A61" s="21"/>
      <c r="B61" s="10"/>
      <c r="C61" s="29"/>
      <c r="D61" s="99"/>
      <c r="E61" s="145"/>
      <c r="F61" s="99"/>
      <c r="G61" s="22"/>
      <c r="H61" s="22"/>
    </row>
    <row r="62" spans="1:8" x14ac:dyDescent="0.25">
      <c r="A62" s="21"/>
      <c r="B62" s="10"/>
      <c r="C62" s="29"/>
      <c r="D62" s="99"/>
      <c r="E62" s="146"/>
      <c r="F62" s="99"/>
      <c r="G62" s="22"/>
      <c r="H62" s="22"/>
    </row>
    <row r="63" spans="1:8" x14ac:dyDescent="0.25">
      <c r="A63" s="21"/>
      <c r="B63" s="10"/>
      <c r="C63" s="29"/>
      <c r="D63" s="99"/>
      <c r="E63" s="146"/>
      <c r="F63" s="99"/>
      <c r="G63" s="22"/>
      <c r="H63" s="22"/>
    </row>
    <row r="64" spans="1:8" x14ac:dyDescent="0.25">
      <c r="A64" s="21"/>
      <c r="B64" s="13"/>
      <c r="C64" s="29"/>
      <c r="D64" s="99"/>
      <c r="E64" s="146"/>
      <c r="F64" s="99"/>
      <c r="G64" s="22"/>
      <c r="H64" s="22"/>
    </row>
    <row r="65" spans="1:8" x14ac:dyDescent="0.25">
      <c r="A65" s="21"/>
      <c r="B65" s="13"/>
      <c r="C65" s="29"/>
      <c r="D65" s="99"/>
      <c r="E65" s="146"/>
      <c r="F65" s="99"/>
      <c r="G65" s="22"/>
      <c r="H65" s="22"/>
    </row>
    <row r="66" spans="1:8" x14ac:dyDescent="0.25">
      <c r="A66" s="21"/>
      <c r="B66" s="13"/>
      <c r="C66" s="29"/>
      <c r="D66" s="99"/>
      <c r="E66" s="146"/>
      <c r="F66" s="99"/>
      <c r="G66" s="22"/>
      <c r="H66" s="1"/>
    </row>
    <row r="67" spans="1:8" x14ac:dyDescent="0.25">
      <c r="A67" s="21"/>
      <c r="B67" s="13"/>
      <c r="C67" s="29"/>
      <c r="D67" s="99"/>
      <c r="E67" s="28"/>
      <c r="F67" s="99"/>
      <c r="G67" s="99"/>
      <c r="H67" s="1"/>
    </row>
    <row r="68" spans="1:8" x14ac:dyDescent="0.25">
      <c r="A68" s="21"/>
      <c r="B68" s="13"/>
      <c r="C68" s="29"/>
      <c r="D68" s="99"/>
      <c r="E68" s="28"/>
      <c r="F68" s="99"/>
      <c r="G68" s="99"/>
      <c r="H68" s="1"/>
    </row>
    <row r="69" spans="1:8" x14ac:dyDescent="0.25">
      <c r="A69" s="21"/>
      <c r="B69" s="13"/>
      <c r="C69" s="29"/>
      <c r="D69" s="99"/>
      <c r="E69" s="28"/>
      <c r="F69" s="99"/>
      <c r="G69" s="1"/>
      <c r="H69" s="1"/>
    </row>
    <row r="70" spans="1:8" x14ac:dyDescent="0.25">
      <c r="A70" s="21"/>
      <c r="B70" s="1"/>
      <c r="C70" s="29"/>
      <c r="D70" s="99"/>
      <c r="E70" s="28"/>
      <c r="F70" s="99"/>
      <c r="G70" s="1"/>
      <c r="H70" s="1"/>
    </row>
    <row r="71" spans="1:8" x14ac:dyDescent="0.25">
      <c r="A71" s="21"/>
      <c r="B71" s="1"/>
      <c r="C71" s="29"/>
      <c r="D71" s="99"/>
      <c r="E71" s="28"/>
      <c r="F71" s="99"/>
      <c r="G71" s="1"/>
      <c r="H71" s="1"/>
    </row>
    <row r="72" spans="1:8" x14ac:dyDescent="0.25">
      <c r="A72" s="21"/>
      <c r="B72" s="1"/>
      <c r="C72" s="29"/>
      <c r="D72" s="99"/>
      <c r="E72" s="28"/>
      <c r="F72" s="100"/>
      <c r="G72" s="1"/>
      <c r="H72" s="1"/>
    </row>
    <row r="73" spans="1:8" x14ac:dyDescent="0.25">
      <c r="A73" s="21"/>
      <c r="B73" s="1"/>
      <c r="C73" s="29"/>
      <c r="D73" s="99"/>
      <c r="E73" s="28"/>
      <c r="F73" s="99"/>
      <c r="G73" s="1"/>
      <c r="H73" s="1"/>
    </row>
    <row r="74" spans="1:8" x14ac:dyDescent="0.25">
      <c r="B74" s="1"/>
      <c r="C74" s="14"/>
    </row>
    <row r="75" spans="1:8" x14ac:dyDescent="0.25">
      <c r="C75" s="14"/>
    </row>
    <row r="76" spans="1:8" x14ac:dyDescent="0.25">
      <c r="C76" s="14"/>
    </row>
    <row r="77" spans="1:8" x14ac:dyDescent="0.25">
      <c r="C77" s="14"/>
    </row>
    <row r="78" spans="1:8" x14ac:dyDescent="0.25">
      <c r="C78" s="14"/>
    </row>
    <row r="79" spans="1:8" x14ac:dyDescent="0.25">
      <c r="C79" s="14"/>
    </row>
    <row r="80" spans="1:8" x14ac:dyDescent="0.25">
      <c r="C80" s="14"/>
    </row>
    <row r="81" spans="3:3" x14ac:dyDescent="0.25">
      <c r="C81" s="14"/>
    </row>
    <row r="82" spans="3:3" x14ac:dyDescent="0.25">
      <c r="C82" s="14"/>
    </row>
    <row r="83" spans="3:3" x14ac:dyDescent="0.25">
      <c r="C83" s="14"/>
    </row>
    <row r="84" spans="3:3" x14ac:dyDescent="0.25">
      <c r="C84" s="14"/>
    </row>
    <row r="85" spans="3:3" x14ac:dyDescent="0.25">
      <c r="C85" s="14"/>
    </row>
    <row r="86" spans="3:3" x14ac:dyDescent="0.25">
      <c r="C86" s="14"/>
    </row>
    <row r="87" spans="3:3" x14ac:dyDescent="0.25">
      <c r="C87" s="14"/>
    </row>
    <row r="88" spans="3:3" x14ac:dyDescent="0.25">
      <c r="C88" s="14"/>
    </row>
    <row r="89" spans="3:3" x14ac:dyDescent="0.25">
      <c r="C89" s="14"/>
    </row>
    <row r="90" spans="3:3" x14ac:dyDescent="0.25">
      <c r="C90" s="14"/>
    </row>
    <row r="91" spans="3:3" x14ac:dyDescent="0.25">
      <c r="C91" s="14"/>
    </row>
    <row r="92" spans="3:3" x14ac:dyDescent="0.25">
      <c r="C92" s="14"/>
    </row>
    <row r="93" spans="3:3" x14ac:dyDescent="0.25">
      <c r="C93" s="14"/>
    </row>
    <row r="94" spans="3:3" x14ac:dyDescent="0.25">
      <c r="C94" s="14"/>
    </row>
    <row r="95" spans="3:3" x14ac:dyDescent="0.25">
      <c r="C95" s="14"/>
    </row>
  </sheetData>
  <sheetProtection sheet="1" objects="1" scenarios="1" selectLockedCells="1"/>
  <sortState xmlns:xlrd2="http://schemas.microsoft.com/office/spreadsheetml/2017/richdata2" ref="A3:H70">
    <sortCondition descending="1" ref="A3:A201"/>
    <sortCondition ref="B3:B201"/>
    <sortCondition ref="D3:D201"/>
  </sortState>
  <mergeCells count="30">
    <mergeCell ref="B1:D1"/>
    <mergeCell ref="B29:B30"/>
    <mergeCell ref="B3:E3"/>
    <mergeCell ref="C4:H4"/>
    <mergeCell ref="A5:B5"/>
    <mergeCell ref="A4:B4"/>
    <mergeCell ref="A9:B9"/>
    <mergeCell ref="A8:B8"/>
    <mergeCell ref="A10:C10"/>
    <mergeCell ref="A29:A30"/>
    <mergeCell ref="G29:G30"/>
    <mergeCell ref="E29:E30"/>
    <mergeCell ref="C29:C30"/>
    <mergeCell ref="F29:F30"/>
    <mergeCell ref="D24:H24"/>
    <mergeCell ref="D29:D30"/>
    <mergeCell ref="B23:C23"/>
    <mergeCell ref="B25:C25"/>
    <mergeCell ref="A6:B6"/>
    <mergeCell ref="B17:C17"/>
    <mergeCell ref="B18:C18"/>
    <mergeCell ref="B19:C19"/>
    <mergeCell ref="B20:C20"/>
    <mergeCell ref="B16:C16"/>
    <mergeCell ref="A11:C11"/>
    <mergeCell ref="E20:F20"/>
    <mergeCell ref="A7:B7"/>
    <mergeCell ref="G21:G22"/>
    <mergeCell ref="H21:H22"/>
    <mergeCell ref="B21:C21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pyConsyRosterNumbers_Click">
                <anchor moveWithCells="1" sizeWithCells="1">
                  <from>
                    <xdr:col>6</xdr:col>
                    <xdr:colOff>9525</xdr:colOff>
                    <xdr:row>5</xdr:row>
                    <xdr:rowOff>9525</xdr:rowOff>
                  </from>
                  <to>
                    <xdr:col>7</xdr:col>
                    <xdr:colOff>628650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MainSummaryFinancialsComplete">
              <controlPr defaultSize="0" print="0" autoFill="0" autoPict="0" macro="[0]!consyFinancialsDone_Click">
                <anchor moveWithCells="1" sizeWithCells="1">
                  <from>
                    <xdr:col>6</xdr:col>
                    <xdr:colOff>9525</xdr:colOff>
                    <xdr:row>8</xdr:row>
                    <xdr:rowOff>66675</xdr:rowOff>
                  </from>
                  <to>
                    <xdr:col>7</xdr:col>
                    <xdr:colOff>628650</xdr:colOff>
                    <xdr:row>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FinalizePayoffs">
                <anchor moveWithCells="1" siz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7</xdr:col>
                    <xdr:colOff>628650</xdr:colOff>
                    <xdr:row>13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Button 6">
              <controlPr defaultSize="0" print="0" autoFill="0" autoPict="0" macro="[0]!navigation_Click">
                <anchor moveWithCells="1" sizeWithCells="1">
                  <from>
                    <xdr:col>9</xdr:col>
                    <xdr:colOff>485775</xdr:colOff>
                    <xdr:row>5</xdr:row>
                    <xdr:rowOff>9525</xdr:rowOff>
                  </from>
                  <to>
                    <xdr:col>14</xdr:col>
                    <xdr:colOff>247650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8"/>
  <sheetViews>
    <sheetView workbookViewId="0">
      <selection activeCell="F10" sqref="F10"/>
    </sheetView>
  </sheetViews>
  <sheetFormatPr defaultRowHeight="15" x14ac:dyDescent="0.25"/>
  <cols>
    <col min="1" max="1" width="8.7109375" style="25" customWidth="1"/>
    <col min="2" max="2" width="12.85546875" customWidth="1"/>
    <col min="3" max="3" width="8.42578125" customWidth="1"/>
    <col min="4" max="4" width="31" customWidth="1"/>
    <col min="5" max="5" width="20.7109375" customWidth="1"/>
    <col min="6" max="6" width="30" customWidth="1"/>
    <col min="7" max="7" width="11.5703125" customWidth="1"/>
  </cols>
  <sheetData>
    <row r="1" spans="1:7" x14ac:dyDescent="0.25">
      <c r="A1" s="14">
        <f>SUM(B15:B202)</f>
        <v>0</v>
      </c>
      <c r="B1" t="s">
        <v>75</v>
      </c>
    </row>
    <row r="2" spans="1:7" ht="21" x14ac:dyDescent="0.35">
      <c r="A2" s="14"/>
      <c r="D2" s="37"/>
    </row>
    <row r="3" spans="1:7" x14ac:dyDescent="0.25">
      <c r="A3" t="s">
        <v>136</v>
      </c>
      <c r="B3" s="24"/>
    </row>
    <row r="4" spans="1:7" ht="18.75" x14ac:dyDescent="0.3">
      <c r="A4" t="s">
        <v>137</v>
      </c>
      <c r="B4" s="19"/>
      <c r="C4" s="31"/>
      <c r="D4" s="31"/>
    </row>
    <row r="5" spans="1:7" ht="18.75" x14ac:dyDescent="0.3">
      <c r="A5"/>
      <c r="B5" s="20"/>
      <c r="C5" s="16"/>
      <c r="D5" s="16"/>
    </row>
    <row r="6" spans="1:7" ht="18.75" x14ac:dyDescent="0.3">
      <c r="A6"/>
      <c r="B6" s="32"/>
      <c r="C6" s="31"/>
      <c r="D6" s="31"/>
    </row>
    <row r="7" spans="1:7" x14ac:dyDescent="0.25">
      <c r="A7"/>
      <c r="B7" s="33"/>
    </row>
    <row r="8" spans="1:7" x14ac:dyDescent="0.25">
      <c r="A8"/>
      <c r="B8" s="33"/>
      <c r="C8" s="16"/>
      <c r="D8" s="185"/>
      <c r="E8" s="185"/>
      <c r="F8" s="185"/>
    </row>
    <row r="9" spans="1:7" x14ac:dyDescent="0.25">
      <c r="A9"/>
      <c r="B9" s="33"/>
      <c r="C9" s="16"/>
      <c r="D9" s="16"/>
      <c r="E9" s="16"/>
    </row>
    <row r="10" spans="1:7" ht="15.75" x14ac:dyDescent="0.25">
      <c r="A10" s="184" t="s">
        <v>2</v>
      </c>
      <c r="B10" s="184"/>
      <c r="C10" s="184"/>
    </row>
    <row r="11" spans="1:7" x14ac:dyDescent="0.25">
      <c r="A11"/>
      <c r="C11" s="14"/>
    </row>
    <row r="12" spans="1:7" x14ac:dyDescent="0.25">
      <c r="A12"/>
      <c r="B12" s="26">
        <f>FCFExpensesTotal</f>
        <v>0</v>
      </c>
      <c r="C12" s="186" t="s">
        <v>75</v>
      </c>
      <c r="D12" s="186"/>
    </row>
    <row r="13" spans="1:7" x14ac:dyDescent="0.25">
      <c r="A13"/>
      <c r="C13" s="14"/>
    </row>
    <row r="14" spans="1:7" x14ac:dyDescent="0.25">
      <c r="A14" s="38" t="s">
        <v>76</v>
      </c>
      <c r="B14" s="39" t="s">
        <v>77</v>
      </c>
      <c r="C14" s="183" t="s">
        <v>78</v>
      </c>
      <c r="D14" s="183"/>
      <c r="E14" s="40" t="s">
        <v>94</v>
      </c>
      <c r="F14" s="41" t="s">
        <v>109</v>
      </c>
      <c r="G14" s="103" t="s">
        <v>123</v>
      </c>
    </row>
    <row r="15" spans="1:7" x14ac:dyDescent="0.25">
      <c r="A15" s="78"/>
      <c r="B15" s="79"/>
      <c r="C15" s="181"/>
      <c r="D15" s="182"/>
      <c r="E15" s="80"/>
      <c r="F15" s="80"/>
      <c r="G15" s="103"/>
    </row>
    <row r="16" spans="1:7" x14ac:dyDescent="0.25">
      <c r="A16" s="81"/>
      <c r="B16" s="82"/>
      <c r="C16" s="181"/>
      <c r="D16" s="182"/>
      <c r="E16" s="83"/>
      <c r="F16" s="83"/>
      <c r="G16" s="103"/>
    </row>
    <row r="17" spans="1:7" x14ac:dyDescent="0.25">
      <c r="A17" s="78"/>
      <c r="B17" s="79"/>
      <c r="C17" s="181"/>
      <c r="D17" s="182"/>
      <c r="E17" s="80"/>
      <c r="F17" s="80"/>
      <c r="G17" s="103"/>
    </row>
    <row r="18" spans="1:7" x14ac:dyDescent="0.25">
      <c r="A18" s="78"/>
      <c r="B18" s="79"/>
      <c r="C18" s="181"/>
      <c r="D18" s="182"/>
      <c r="E18" s="80"/>
      <c r="F18" s="80"/>
      <c r="G18" s="103"/>
    </row>
    <row r="19" spans="1:7" x14ac:dyDescent="0.25">
      <c r="A19" s="78"/>
      <c r="B19" s="79"/>
      <c r="C19" s="181"/>
      <c r="D19" s="182"/>
      <c r="E19" s="80"/>
      <c r="F19" s="80"/>
      <c r="G19" s="103"/>
    </row>
    <row r="20" spans="1:7" x14ac:dyDescent="0.25">
      <c r="A20" s="78"/>
      <c r="B20" s="79"/>
      <c r="C20" s="181"/>
      <c r="D20" s="182"/>
      <c r="E20" s="80"/>
      <c r="F20" s="80"/>
      <c r="G20" s="103"/>
    </row>
    <row r="21" spans="1:7" x14ac:dyDescent="0.25">
      <c r="A21" s="78"/>
      <c r="B21" s="79"/>
      <c r="C21" s="181"/>
      <c r="D21" s="182"/>
      <c r="E21" s="80"/>
      <c r="F21" s="80"/>
      <c r="G21" s="103"/>
    </row>
    <row r="22" spans="1:7" x14ac:dyDescent="0.25">
      <c r="A22" s="78"/>
      <c r="B22" s="79"/>
      <c r="C22" s="181"/>
      <c r="D22" s="182"/>
      <c r="E22" s="80"/>
      <c r="F22" s="80"/>
      <c r="G22" s="103"/>
    </row>
    <row r="23" spans="1:7" x14ac:dyDescent="0.25">
      <c r="A23" s="78"/>
      <c r="B23" s="79"/>
      <c r="C23" s="181"/>
      <c r="D23" s="182"/>
      <c r="E23" s="80"/>
      <c r="F23" s="80"/>
      <c r="G23" s="103"/>
    </row>
    <row r="24" spans="1:7" x14ac:dyDescent="0.25">
      <c r="A24" s="78"/>
      <c r="B24" s="79"/>
      <c r="C24" s="181"/>
      <c r="D24" s="182"/>
      <c r="E24" s="80"/>
      <c r="F24" s="80"/>
      <c r="G24" s="103"/>
    </row>
    <row r="25" spans="1:7" x14ac:dyDescent="0.25">
      <c r="A25" s="78"/>
      <c r="B25" s="79"/>
      <c r="C25" s="181"/>
      <c r="D25" s="182"/>
      <c r="E25" s="80"/>
      <c r="F25" s="80"/>
      <c r="G25" s="103"/>
    </row>
    <row r="26" spans="1:7" x14ac:dyDescent="0.25">
      <c r="A26" s="78"/>
      <c r="B26" s="79"/>
      <c r="C26" s="181"/>
      <c r="D26" s="182"/>
      <c r="E26" s="80"/>
      <c r="F26" s="80"/>
      <c r="G26" s="103"/>
    </row>
    <row r="27" spans="1:7" x14ac:dyDescent="0.25">
      <c r="A27" s="78"/>
      <c r="B27" s="79"/>
      <c r="C27" s="181"/>
      <c r="D27" s="182"/>
      <c r="E27" s="80"/>
      <c r="F27" s="80"/>
      <c r="G27" s="103"/>
    </row>
    <row r="28" spans="1:7" x14ac:dyDescent="0.25">
      <c r="A28" s="78"/>
      <c r="B28" s="79"/>
      <c r="C28" s="181"/>
      <c r="D28" s="182"/>
      <c r="E28" s="80"/>
      <c r="F28" s="80"/>
      <c r="G28" s="103"/>
    </row>
    <row r="29" spans="1:7" x14ac:dyDescent="0.25">
      <c r="A29" s="78"/>
      <c r="B29" s="79"/>
      <c r="C29" s="181"/>
      <c r="D29" s="182"/>
      <c r="E29" s="80"/>
      <c r="F29" s="80"/>
      <c r="G29" s="103"/>
    </row>
    <row r="30" spans="1:7" x14ac:dyDescent="0.25">
      <c r="A30" s="81"/>
      <c r="B30" s="82"/>
      <c r="C30" s="181"/>
      <c r="D30" s="182"/>
      <c r="E30" s="83"/>
      <c r="F30" s="83"/>
      <c r="G30" s="103"/>
    </row>
    <row r="31" spans="1:7" x14ac:dyDescent="0.25">
      <c r="A31" s="78"/>
      <c r="B31" s="79"/>
      <c r="C31" s="181"/>
      <c r="D31" s="182"/>
      <c r="E31" s="80"/>
      <c r="F31" s="80"/>
      <c r="G31" s="103"/>
    </row>
    <row r="32" spans="1:7" x14ac:dyDescent="0.25">
      <c r="A32" s="78"/>
      <c r="B32" s="79"/>
      <c r="C32" s="181"/>
      <c r="D32" s="182"/>
      <c r="E32" s="80"/>
      <c r="F32" s="80"/>
      <c r="G32" s="103"/>
    </row>
    <row r="33" spans="1:7" x14ac:dyDescent="0.25">
      <c r="A33" s="78"/>
      <c r="B33" s="79"/>
      <c r="C33" s="181"/>
      <c r="D33" s="182"/>
      <c r="E33" s="80"/>
      <c r="F33" s="80"/>
      <c r="G33" s="103"/>
    </row>
    <row r="34" spans="1:7" x14ac:dyDescent="0.25">
      <c r="A34" s="78"/>
      <c r="B34" s="79"/>
      <c r="C34" s="181"/>
      <c r="D34" s="182"/>
      <c r="E34" s="80"/>
      <c r="F34" s="80"/>
      <c r="G34" s="103"/>
    </row>
    <row r="35" spans="1:7" x14ac:dyDescent="0.25">
      <c r="A35" s="78"/>
      <c r="B35" s="79"/>
      <c r="C35" s="181"/>
      <c r="D35" s="182"/>
      <c r="E35" s="80"/>
      <c r="F35" s="80"/>
      <c r="G35" s="103"/>
    </row>
    <row r="36" spans="1:7" x14ac:dyDescent="0.25">
      <c r="A36" s="78"/>
      <c r="B36" s="79"/>
      <c r="C36" s="181"/>
      <c r="D36" s="182"/>
      <c r="E36" s="80"/>
      <c r="F36" s="80"/>
      <c r="G36" s="103"/>
    </row>
    <row r="37" spans="1:7" x14ac:dyDescent="0.25">
      <c r="A37" s="78"/>
      <c r="B37" s="79"/>
      <c r="C37" s="181"/>
      <c r="D37" s="182"/>
      <c r="E37" s="80"/>
      <c r="F37" s="80"/>
      <c r="G37" s="103"/>
    </row>
    <row r="38" spans="1:7" x14ac:dyDescent="0.25">
      <c r="A38" s="78"/>
      <c r="B38" s="79"/>
      <c r="C38" s="181"/>
      <c r="D38" s="182"/>
      <c r="E38" s="80"/>
      <c r="F38" s="80"/>
      <c r="G38" s="103"/>
    </row>
    <row r="39" spans="1:7" x14ac:dyDescent="0.25">
      <c r="A39" s="78"/>
      <c r="B39" s="79"/>
      <c r="C39" s="181"/>
      <c r="D39" s="182"/>
      <c r="E39" s="80"/>
      <c r="F39" s="80"/>
      <c r="G39" s="103"/>
    </row>
    <row r="40" spans="1:7" x14ac:dyDescent="0.25">
      <c r="A40" s="78"/>
      <c r="B40" s="79"/>
      <c r="C40" s="181"/>
      <c r="D40" s="182"/>
      <c r="E40" s="80"/>
      <c r="F40" s="80"/>
      <c r="G40" s="103"/>
    </row>
    <row r="41" spans="1:7" x14ac:dyDescent="0.25">
      <c r="A41" s="78"/>
      <c r="B41" s="79"/>
      <c r="C41" s="181"/>
      <c r="D41" s="182"/>
      <c r="E41" s="80"/>
      <c r="F41" s="80"/>
      <c r="G41" s="103"/>
    </row>
    <row r="42" spans="1:7" x14ac:dyDescent="0.25">
      <c r="A42" s="78"/>
      <c r="B42" s="79"/>
      <c r="C42" s="181"/>
      <c r="D42" s="182"/>
      <c r="E42" s="80"/>
      <c r="F42" s="80"/>
      <c r="G42" s="103"/>
    </row>
    <row r="43" spans="1:7" x14ac:dyDescent="0.25">
      <c r="A43" s="78"/>
      <c r="B43" s="79"/>
      <c r="C43" s="181"/>
      <c r="D43" s="182"/>
      <c r="E43" s="80"/>
      <c r="F43" s="80"/>
      <c r="G43" s="103"/>
    </row>
    <row r="44" spans="1:7" x14ac:dyDescent="0.25">
      <c r="A44" s="78"/>
      <c r="B44" s="79"/>
      <c r="C44" s="181"/>
      <c r="D44" s="182"/>
      <c r="E44" s="80"/>
      <c r="F44" s="80"/>
      <c r="G44" s="103"/>
    </row>
    <row r="45" spans="1:7" x14ac:dyDescent="0.25">
      <c r="A45" s="78"/>
      <c r="B45" s="79"/>
      <c r="C45" s="181"/>
      <c r="D45" s="182"/>
      <c r="E45" s="80"/>
      <c r="F45" s="80"/>
      <c r="G45" s="103"/>
    </row>
    <row r="46" spans="1:7" x14ac:dyDescent="0.25">
      <c r="A46" s="78"/>
      <c r="B46" s="79"/>
      <c r="C46" s="181"/>
      <c r="D46" s="182"/>
      <c r="E46" s="80"/>
      <c r="F46" s="80"/>
      <c r="G46" s="103"/>
    </row>
    <row r="47" spans="1:7" x14ac:dyDescent="0.25">
      <c r="A47" s="78"/>
      <c r="B47" s="79"/>
      <c r="C47" s="181"/>
      <c r="D47" s="182"/>
      <c r="E47" s="80"/>
      <c r="F47" s="80"/>
      <c r="G47" s="103"/>
    </row>
    <row r="48" spans="1:7" x14ac:dyDescent="0.25">
      <c r="A48" s="78"/>
      <c r="B48" s="79"/>
      <c r="C48" s="181"/>
      <c r="D48" s="182"/>
      <c r="E48" s="80"/>
      <c r="F48" s="80"/>
      <c r="G48" s="103"/>
    </row>
    <row r="49" spans="1:7" x14ac:dyDescent="0.25">
      <c r="A49" s="78"/>
      <c r="B49" s="79"/>
      <c r="C49" s="181"/>
      <c r="D49" s="182"/>
      <c r="E49" s="80"/>
      <c r="F49" s="80"/>
      <c r="G49" s="103"/>
    </row>
    <row r="50" spans="1:7" x14ac:dyDescent="0.25">
      <c r="A50" s="78"/>
      <c r="B50" s="79"/>
      <c r="C50" s="181"/>
      <c r="D50" s="182"/>
      <c r="E50" s="80"/>
      <c r="F50" s="80"/>
      <c r="G50" s="103"/>
    </row>
    <row r="51" spans="1:7" x14ac:dyDescent="0.25">
      <c r="A51" s="78"/>
      <c r="B51" s="79"/>
      <c r="C51" s="181"/>
      <c r="D51" s="182"/>
      <c r="E51" s="80"/>
      <c r="F51" s="80"/>
      <c r="G51" s="103"/>
    </row>
    <row r="52" spans="1:7" x14ac:dyDescent="0.25">
      <c r="A52" s="78"/>
      <c r="B52" s="79"/>
      <c r="C52" s="181"/>
      <c r="D52" s="182"/>
      <c r="E52" s="80"/>
      <c r="F52" s="80"/>
      <c r="G52" s="103"/>
    </row>
    <row r="53" spans="1:7" x14ac:dyDescent="0.25">
      <c r="A53" s="78"/>
      <c r="B53" s="79"/>
      <c r="C53" s="181"/>
      <c r="D53" s="182"/>
      <c r="E53" s="80"/>
      <c r="F53" s="80"/>
      <c r="G53" s="103"/>
    </row>
    <row r="54" spans="1:7" x14ac:dyDescent="0.25">
      <c r="A54" s="78"/>
      <c r="B54" s="79"/>
      <c r="C54" s="181"/>
      <c r="D54" s="182"/>
      <c r="E54" s="80"/>
      <c r="F54" s="80"/>
      <c r="G54" s="103"/>
    </row>
    <row r="55" spans="1:7" x14ac:dyDescent="0.25">
      <c r="A55" s="78"/>
      <c r="B55" s="79"/>
      <c r="C55" s="181"/>
      <c r="D55" s="182"/>
      <c r="E55" s="80"/>
      <c r="F55" s="80"/>
      <c r="G55" s="103"/>
    </row>
    <row r="56" spans="1:7" x14ac:dyDescent="0.25">
      <c r="A56" s="78"/>
      <c r="B56" s="79"/>
      <c r="C56" s="181"/>
      <c r="D56" s="182"/>
      <c r="E56" s="80"/>
      <c r="F56" s="80"/>
      <c r="G56" s="103"/>
    </row>
    <row r="57" spans="1:7" x14ac:dyDescent="0.25">
      <c r="A57" s="78"/>
      <c r="B57" s="79"/>
      <c r="C57" s="181"/>
      <c r="D57" s="182"/>
      <c r="E57" s="80"/>
      <c r="F57" s="80"/>
      <c r="G57" s="103"/>
    </row>
    <row r="58" spans="1:7" x14ac:dyDescent="0.25">
      <c r="A58" s="78"/>
      <c r="B58" s="79"/>
      <c r="C58" s="180"/>
      <c r="D58" s="180"/>
      <c r="E58" s="80"/>
      <c r="F58" s="80"/>
      <c r="G58" s="103"/>
    </row>
    <row r="59" spans="1:7" x14ac:dyDescent="0.25">
      <c r="A59" s="78"/>
      <c r="B59" s="79"/>
      <c r="C59" s="180"/>
      <c r="D59" s="180"/>
      <c r="E59" s="80"/>
      <c r="F59" s="80"/>
      <c r="G59" s="103"/>
    </row>
    <row r="60" spans="1:7" x14ac:dyDescent="0.25">
      <c r="A60" s="105"/>
      <c r="B60" s="106"/>
      <c r="C60" s="179"/>
      <c r="D60" s="179"/>
      <c r="E60" s="107"/>
      <c r="F60" s="107"/>
    </row>
    <row r="61" spans="1:7" x14ac:dyDescent="0.25">
      <c r="A61" s="105"/>
      <c r="B61" s="106"/>
      <c r="C61" s="179"/>
      <c r="D61" s="179"/>
      <c r="E61" s="107"/>
      <c r="F61" s="107"/>
    </row>
    <row r="62" spans="1:7" x14ac:dyDescent="0.25">
      <c r="A62" s="105"/>
      <c r="B62" s="106"/>
      <c r="C62" s="179"/>
      <c r="D62" s="179"/>
      <c r="E62" s="107"/>
      <c r="F62" s="107"/>
    </row>
    <row r="63" spans="1:7" x14ac:dyDescent="0.25">
      <c r="A63" s="105"/>
      <c r="B63" s="106"/>
      <c r="C63" s="179"/>
      <c r="D63" s="179"/>
      <c r="E63" s="107"/>
      <c r="F63" s="107"/>
    </row>
    <row r="64" spans="1:7" x14ac:dyDescent="0.25">
      <c r="A64" s="105"/>
      <c r="B64" s="106"/>
      <c r="C64" s="179"/>
      <c r="D64" s="179"/>
      <c r="E64" s="107"/>
      <c r="F64" s="107"/>
    </row>
    <row r="65" spans="1:6" x14ac:dyDescent="0.25">
      <c r="A65" s="105"/>
      <c r="B65" s="106"/>
      <c r="C65" s="179"/>
      <c r="D65" s="179"/>
      <c r="E65" s="107"/>
      <c r="F65" s="107"/>
    </row>
    <row r="66" spans="1:6" x14ac:dyDescent="0.25">
      <c r="A66" s="105"/>
      <c r="B66" s="106"/>
      <c r="C66" s="179"/>
      <c r="D66" s="179"/>
      <c r="E66" s="107"/>
      <c r="F66" s="107"/>
    </row>
    <row r="67" spans="1:6" x14ac:dyDescent="0.25">
      <c r="A67" s="105"/>
      <c r="B67" s="106"/>
      <c r="C67" s="179"/>
      <c r="D67" s="179"/>
      <c r="E67" s="107"/>
      <c r="F67" s="107"/>
    </row>
    <row r="68" spans="1:6" x14ac:dyDescent="0.25">
      <c r="A68" s="105"/>
      <c r="B68" s="106"/>
      <c r="C68" s="179"/>
      <c r="D68" s="179"/>
      <c r="E68" s="107"/>
      <c r="F68" s="107"/>
    </row>
    <row r="69" spans="1:6" x14ac:dyDescent="0.25">
      <c r="A69" s="105"/>
      <c r="B69" s="106"/>
      <c r="C69" s="179"/>
      <c r="D69" s="179"/>
      <c r="E69" s="107"/>
      <c r="F69" s="107"/>
    </row>
    <row r="70" spans="1:6" x14ac:dyDescent="0.25">
      <c r="A70" s="105"/>
      <c r="B70" s="106"/>
      <c r="C70" s="179"/>
      <c r="D70" s="179"/>
      <c r="E70" s="107"/>
      <c r="F70" s="107"/>
    </row>
    <row r="71" spans="1:6" x14ac:dyDescent="0.25">
      <c r="A71" s="105"/>
      <c r="B71" s="106"/>
      <c r="C71" s="179"/>
      <c r="D71" s="179"/>
      <c r="E71" s="107"/>
      <c r="F71" s="107"/>
    </row>
    <row r="72" spans="1:6" x14ac:dyDescent="0.25">
      <c r="A72" s="105"/>
      <c r="B72" s="106"/>
      <c r="C72" s="179"/>
      <c r="D72" s="179"/>
      <c r="E72" s="107"/>
      <c r="F72" s="107"/>
    </row>
    <row r="73" spans="1:6" x14ac:dyDescent="0.25">
      <c r="A73" s="105"/>
      <c r="B73" s="106"/>
      <c r="C73" s="179"/>
      <c r="D73" s="179"/>
      <c r="E73" s="107"/>
      <c r="F73" s="107"/>
    </row>
    <row r="74" spans="1:6" x14ac:dyDescent="0.25">
      <c r="A74" s="105"/>
      <c r="B74" s="106"/>
      <c r="C74" s="179"/>
      <c r="D74" s="179"/>
      <c r="E74" s="107"/>
      <c r="F74" s="107"/>
    </row>
    <row r="75" spans="1:6" x14ac:dyDescent="0.25">
      <c r="A75" s="105"/>
      <c r="B75" s="106"/>
      <c r="C75" s="179"/>
      <c r="D75" s="179"/>
      <c r="E75" s="107"/>
      <c r="F75" s="107"/>
    </row>
    <row r="76" spans="1:6" x14ac:dyDescent="0.25">
      <c r="A76" s="105"/>
      <c r="B76" s="106"/>
      <c r="C76" s="179"/>
      <c r="D76" s="179"/>
      <c r="E76" s="107"/>
      <c r="F76" s="107"/>
    </row>
    <row r="77" spans="1:6" x14ac:dyDescent="0.25">
      <c r="A77" s="105"/>
      <c r="B77" s="106"/>
      <c r="C77" s="179"/>
      <c r="D77" s="179"/>
      <c r="E77" s="107"/>
      <c r="F77" s="107"/>
    </row>
    <row r="78" spans="1:6" x14ac:dyDescent="0.25">
      <c r="A78" s="105"/>
      <c r="B78" s="106"/>
      <c r="C78" s="179"/>
      <c r="D78" s="179"/>
      <c r="E78" s="107"/>
      <c r="F78" s="107"/>
    </row>
    <row r="79" spans="1:6" x14ac:dyDescent="0.25">
      <c r="A79" s="105"/>
      <c r="B79" s="106"/>
      <c r="C79" s="179"/>
      <c r="D79" s="179"/>
      <c r="E79" s="107"/>
      <c r="F79" s="107"/>
    </row>
    <row r="80" spans="1:6" x14ac:dyDescent="0.25">
      <c r="A80" s="105"/>
      <c r="B80" s="106"/>
      <c r="C80" s="179"/>
      <c r="D80" s="179"/>
      <c r="E80" s="107"/>
      <c r="F80" s="107"/>
    </row>
    <row r="81" spans="1:6" x14ac:dyDescent="0.25">
      <c r="A81" s="105"/>
      <c r="B81" s="106"/>
      <c r="C81" s="179"/>
      <c r="D81" s="179"/>
      <c r="E81" s="107"/>
      <c r="F81" s="107"/>
    </row>
    <row r="82" spans="1:6" x14ac:dyDescent="0.25">
      <c r="A82" s="105"/>
      <c r="B82" s="106"/>
      <c r="C82" s="179"/>
      <c r="D82" s="179"/>
      <c r="E82" s="107"/>
      <c r="F82" s="107"/>
    </row>
    <row r="83" spans="1:6" x14ac:dyDescent="0.25">
      <c r="A83" s="105"/>
      <c r="B83" s="106"/>
      <c r="C83" s="179"/>
      <c r="D83" s="179"/>
      <c r="E83" s="107"/>
      <c r="F83" s="107"/>
    </row>
    <row r="84" spans="1:6" x14ac:dyDescent="0.25">
      <c r="A84" s="105"/>
      <c r="B84" s="106"/>
      <c r="C84" s="179"/>
      <c r="D84" s="179"/>
      <c r="E84" s="107"/>
      <c r="F84" s="107"/>
    </row>
    <row r="85" spans="1:6" x14ac:dyDescent="0.25">
      <c r="A85" s="105"/>
      <c r="B85" s="106"/>
      <c r="C85" s="179"/>
      <c r="D85" s="179"/>
      <c r="E85" s="107"/>
      <c r="F85" s="107"/>
    </row>
    <row r="86" spans="1:6" x14ac:dyDescent="0.25">
      <c r="A86" s="105"/>
      <c r="B86" s="106"/>
      <c r="C86" s="179"/>
      <c r="D86" s="179"/>
      <c r="E86" s="107"/>
      <c r="F86" s="107"/>
    </row>
    <row r="87" spans="1:6" x14ac:dyDescent="0.25">
      <c r="A87" s="105"/>
      <c r="B87" s="106"/>
      <c r="C87" s="179"/>
      <c r="D87" s="179"/>
      <c r="E87" s="107"/>
      <c r="F87" s="107"/>
    </row>
    <row r="88" spans="1:6" x14ac:dyDescent="0.25">
      <c r="A88" s="105"/>
      <c r="B88" s="106"/>
      <c r="C88" s="179"/>
      <c r="D88" s="179"/>
      <c r="E88" s="107"/>
      <c r="F88" s="107"/>
    </row>
    <row r="89" spans="1:6" x14ac:dyDescent="0.25">
      <c r="A89" s="105"/>
      <c r="B89" s="106"/>
      <c r="C89" s="179"/>
      <c r="D89" s="179"/>
      <c r="E89" s="107"/>
      <c r="F89" s="107"/>
    </row>
    <row r="90" spans="1:6" x14ac:dyDescent="0.25">
      <c r="A90" s="105"/>
      <c r="B90" s="106"/>
      <c r="C90" s="179"/>
      <c r="D90" s="179"/>
      <c r="E90" s="107"/>
      <c r="F90" s="107"/>
    </row>
    <row r="91" spans="1:6" x14ac:dyDescent="0.25">
      <c r="A91" s="105"/>
      <c r="B91" s="106"/>
      <c r="C91" s="179"/>
      <c r="D91" s="179"/>
      <c r="E91" s="107"/>
      <c r="F91" s="107"/>
    </row>
    <row r="92" spans="1:6" x14ac:dyDescent="0.25">
      <c r="A92" s="105"/>
      <c r="B92" s="106"/>
      <c r="C92" s="179"/>
      <c r="D92" s="179"/>
      <c r="E92" s="107"/>
      <c r="F92" s="107"/>
    </row>
    <row r="93" spans="1:6" x14ac:dyDescent="0.25">
      <c r="A93" s="105"/>
      <c r="B93" s="106"/>
      <c r="C93" s="179"/>
      <c r="D93" s="179"/>
      <c r="E93" s="107"/>
      <c r="F93" s="107"/>
    </row>
    <row r="94" spans="1:6" x14ac:dyDescent="0.25">
      <c r="A94" s="105"/>
      <c r="B94" s="106"/>
      <c r="C94" s="179"/>
      <c r="D94" s="179"/>
      <c r="E94" s="107"/>
      <c r="F94" s="107"/>
    </row>
    <row r="95" spans="1:6" x14ac:dyDescent="0.25">
      <c r="A95" s="105"/>
      <c r="B95" s="106"/>
      <c r="C95" s="179"/>
      <c r="D95" s="179"/>
      <c r="E95" s="107"/>
      <c r="F95" s="107"/>
    </row>
    <row r="96" spans="1:6" x14ac:dyDescent="0.25">
      <c r="A96" s="105"/>
      <c r="B96" s="106"/>
      <c r="C96" s="179"/>
      <c r="D96" s="179"/>
      <c r="E96" s="107"/>
      <c r="F96" s="107"/>
    </row>
    <row r="97" spans="1:6" x14ac:dyDescent="0.25">
      <c r="A97" s="105"/>
      <c r="B97" s="106"/>
      <c r="C97" s="179"/>
      <c r="D97" s="179"/>
      <c r="E97" s="107"/>
      <c r="F97" s="107"/>
    </row>
    <row r="98" spans="1:6" x14ac:dyDescent="0.25">
      <c r="A98" s="105"/>
      <c r="B98" s="106"/>
      <c r="C98" s="179"/>
      <c r="D98" s="179"/>
      <c r="E98" s="107"/>
      <c r="F98" s="107"/>
    </row>
    <row r="99" spans="1:6" x14ac:dyDescent="0.25">
      <c r="A99" s="105"/>
      <c r="B99" s="106"/>
      <c r="C99" s="179"/>
      <c r="D99" s="179"/>
      <c r="E99" s="107"/>
      <c r="F99" s="107"/>
    </row>
    <row r="100" spans="1:6" x14ac:dyDescent="0.25">
      <c r="A100" s="105"/>
      <c r="B100" s="106"/>
      <c r="C100" s="179"/>
      <c r="D100" s="179"/>
      <c r="E100" s="107"/>
      <c r="F100" s="107"/>
    </row>
    <row r="101" spans="1:6" x14ac:dyDescent="0.25">
      <c r="A101" s="105"/>
      <c r="B101" s="106"/>
      <c r="C101" s="179"/>
      <c r="D101" s="179"/>
      <c r="E101" s="107"/>
      <c r="F101" s="107"/>
    </row>
    <row r="102" spans="1:6" x14ac:dyDescent="0.25">
      <c r="A102" s="105"/>
      <c r="B102" s="106"/>
      <c r="C102" s="179"/>
      <c r="D102" s="179"/>
      <c r="E102" s="107"/>
      <c r="F102" s="107"/>
    </row>
    <row r="103" spans="1:6" x14ac:dyDescent="0.25">
      <c r="A103" s="105"/>
      <c r="B103" s="106"/>
      <c r="C103" s="179"/>
      <c r="D103" s="179"/>
      <c r="E103" s="107"/>
      <c r="F103" s="107"/>
    </row>
    <row r="104" spans="1:6" x14ac:dyDescent="0.25">
      <c r="A104" s="105"/>
      <c r="B104" s="106"/>
      <c r="C104" s="179"/>
      <c r="D104" s="179"/>
      <c r="E104" s="107"/>
      <c r="F104" s="107"/>
    </row>
    <row r="105" spans="1:6" x14ac:dyDescent="0.25">
      <c r="A105" s="105"/>
      <c r="B105" s="106"/>
      <c r="C105" s="179"/>
      <c r="D105" s="179"/>
      <c r="E105" s="107"/>
      <c r="F105" s="107"/>
    </row>
    <row r="106" spans="1:6" x14ac:dyDescent="0.25">
      <c r="A106" s="105"/>
      <c r="B106" s="106"/>
      <c r="C106" s="179"/>
      <c r="D106" s="179"/>
      <c r="E106" s="107"/>
      <c r="F106" s="107"/>
    </row>
    <row r="107" spans="1:6" x14ac:dyDescent="0.25">
      <c r="A107" s="105"/>
      <c r="B107" s="106"/>
      <c r="C107" s="179"/>
      <c r="D107" s="179"/>
      <c r="E107" s="107"/>
      <c r="F107" s="107"/>
    </row>
    <row r="108" spans="1:6" x14ac:dyDescent="0.25">
      <c r="A108" s="105"/>
      <c r="B108" s="106"/>
      <c r="C108" s="179"/>
      <c r="D108" s="179"/>
      <c r="E108" s="107"/>
      <c r="F108" s="107"/>
    </row>
    <row r="109" spans="1:6" x14ac:dyDescent="0.25">
      <c r="A109" s="105"/>
      <c r="B109" s="106"/>
      <c r="C109" s="179"/>
      <c r="D109" s="179"/>
      <c r="E109" s="107"/>
      <c r="F109" s="107"/>
    </row>
    <row r="110" spans="1:6" x14ac:dyDescent="0.25">
      <c r="A110" s="105"/>
      <c r="B110" s="106"/>
      <c r="C110" s="179"/>
      <c r="D110" s="179"/>
      <c r="E110" s="107"/>
      <c r="F110" s="107"/>
    </row>
    <row r="111" spans="1:6" x14ac:dyDescent="0.25">
      <c r="A111" s="105"/>
      <c r="B111" s="106"/>
      <c r="C111" s="179"/>
      <c r="D111" s="179"/>
      <c r="E111" s="107"/>
      <c r="F111" s="107"/>
    </row>
    <row r="112" spans="1:6" x14ac:dyDescent="0.25">
      <c r="A112" s="105"/>
      <c r="B112" s="106"/>
      <c r="C112" s="179"/>
      <c r="D112" s="179"/>
      <c r="E112" s="107"/>
      <c r="F112" s="107"/>
    </row>
    <row r="113" spans="1:6" x14ac:dyDescent="0.25">
      <c r="A113" s="105"/>
      <c r="B113" s="106"/>
      <c r="C113" s="179"/>
      <c r="D113" s="179"/>
      <c r="E113" s="107"/>
      <c r="F113" s="107"/>
    </row>
    <row r="114" spans="1:6" x14ac:dyDescent="0.25">
      <c r="A114" s="105"/>
      <c r="B114" s="106"/>
      <c r="C114" s="179"/>
      <c r="D114" s="179"/>
      <c r="E114" s="107"/>
      <c r="F114" s="107"/>
    </row>
    <row r="115" spans="1:6" x14ac:dyDescent="0.25">
      <c r="A115" s="105"/>
      <c r="B115" s="106"/>
      <c r="C115" s="179"/>
      <c r="D115" s="179"/>
      <c r="E115" s="107"/>
      <c r="F115" s="107"/>
    </row>
    <row r="116" spans="1:6" x14ac:dyDescent="0.25">
      <c r="A116" s="105"/>
      <c r="B116" s="106"/>
      <c r="C116" s="179"/>
      <c r="D116" s="179"/>
      <c r="E116" s="107"/>
      <c r="F116" s="107"/>
    </row>
    <row r="117" spans="1:6" x14ac:dyDescent="0.25">
      <c r="A117" s="105"/>
      <c r="B117" s="106"/>
      <c r="C117" s="179"/>
      <c r="D117" s="179"/>
      <c r="E117" s="107"/>
      <c r="F117" s="107"/>
    </row>
    <row r="118" spans="1:6" x14ac:dyDescent="0.25">
      <c r="A118" s="105"/>
      <c r="B118" s="106"/>
      <c r="C118" s="179"/>
      <c r="D118" s="179"/>
      <c r="E118" s="107"/>
      <c r="F118" s="107"/>
    </row>
    <row r="119" spans="1:6" x14ac:dyDescent="0.25">
      <c r="A119" s="105"/>
      <c r="B119" s="106"/>
      <c r="C119" s="179"/>
      <c r="D119" s="179"/>
      <c r="E119" s="107"/>
      <c r="F119" s="107"/>
    </row>
    <row r="120" spans="1:6" x14ac:dyDescent="0.25">
      <c r="A120" s="105"/>
      <c r="B120" s="106"/>
      <c r="C120" s="179"/>
      <c r="D120" s="179"/>
      <c r="E120" s="107"/>
      <c r="F120" s="107"/>
    </row>
    <row r="121" spans="1:6" x14ac:dyDescent="0.25">
      <c r="A121" s="105"/>
      <c r="B121" s="106"/>
      <c r="C121" s="179"/>
      <c r="D121" s="179"/>
      <c r="E121" s="107"/>
      <c r="F121" s="107"/>
    </row>
    <row r="122" spans="1:6" x14ac:dyDescent="0.25">
      <c r="A122" s="105"/>
      <c r="B122" s="106"/>
      <c r="C122" s="179"/>
      <c r="D122" s="179"/>
      <c r="E122" s="107"/>
      <c r="F122" s="107"/>
    </row>
    <row r="123" spans="1:6" x14ac:dyDescent="0.25">
      <c r="A123" s="105"/>
      <c r="B123" s="106"/>
      <c r="C123" s="179"/>
      <c r="D123" s="179"/>
      <c r="E123" s="107"/>
      <c r="F123" s="107"/>
    </row>
    <row r="124" spans="1:6" x14ac:dyDescent="0.25">
      <c r="A124" s="105"/>
      <c r="B124" s="106"/>
      <c r="C124" s="179"/>
      <c r="D124" s="179"/>
      <c r="E124" s="107"/>
      <c r="F124" s="107"/>
    </row>
    <row r="125" spans="1:6" x14ac:dyDescent="0.25">
      <c r="A125" s="105"/>
      <c r="B125" s="106"/>
      <c r="C125" s="179"/>
      <c r="D125" s="179"/>
      <c r="E125" s="107"/>
      <c r="F125" s="107"/>
    </row>
    <row r="126" spans="1:6" x14ac:dyDescent="0.25">
      <c r="A126" s="105"/>
      <c r="B126" s="106"/>
      <c r="C126" s="179"/>
      <c r="D126" s="179"/>
      <c r="E126" s="107"/>
      <c r="F126" s="107"/>
    </row>
    <row r="127" spans="1:6" x14ac:dyDescent="0.25">
      <c r="A127" s="105"/>
      <c r="B127" s="106"/>
      <c r="C127" s="179"/>
      <c r="D127" s="179"/>
      <c r="E127" s="107"/>
      <c r="F127" s="107"/>
    </row>
    <row r="128" spans="1:6" x14ac:dyDescent="0.25">
      <c r="A128" s="105"/>
      <c r="B128" s="106"/>
      <c r="C128" s="179"/>
      <c r="D128" s="179"/>
      <c r="E128" s="107"/>
      <c r="F128" s="107"/>
    </row>
    <row r="129" spans="1:6" x14ac:dyDescent="0.25">
      <c r="A129" s="105"/>
      <c r="B129" s="106"/>
      <c r="C129" s="179"/>
      <c r="D129" s="179"/>
      <c r="E129" s="107"/>
      <c r="F129" s="107"/>
    </row>
    <row r="130" spans="1:6" x14ac:dyDescent="0.25">
      <c r="A130" s="105"/>
      <c r="B130" s="106"/>
      <c r="C130" s="179"/>
      <c r="D130" s="179"/>
      <c r="E130" s="107"/>
      <c r="F130" s="107"/>
    </row>
    <row r="131" spans="1:6" x14ac:dyDescent="0.25">
      <c r="A131" s="105"/>
      <c r="B131" s="106"/>
      <c r="C131" s="179"/>
      <c r="D131" s="179"/>
      <c r="E131" s="107"/>
      <c r="F131" s="107"/>
    </row>
    <row r="132" spans="1:6" x14ac:dyDescent="0.25">
      <c r="A132" s="105"/>
      <c r="B132" s="106"/>
      <c r="C132" s="179"/>
      <c r="D132" s="179"/>
      <c r="E132" s="107"/>
      <c r="F132" s="107"/>
    </row>
    <row r="133" spans="1:6" x14ac:dyDescent="0.25">
      <c r="A133" s="105"/>
      <c r="B133" s="106"/>
      <c r="C133" s="179"/>
      <c r="D133" s="179"/>
      <c r="E133" s="107"/>
      <c r="F133" s="107"/>
    </row>
    <row r="134" spans="1:6" x14ac:dyDescent="0.25">
      <c r="A134" s="105"/>
      <c r="B134" s="106"/>
      <c r="C134" s="179"/>
      <c r="D134" s="179"/>
      <c r="E134" s="107"/>
      <c r="F134" s="107"/>
    </row>
    <row r="135" spans="1:6" x14ac:dyDescent="0.25">
      <c r="A135" s="105"/>
      <c r="B135" s="106"/>
      <c r="C135" s="179"/>
      <c r="D135" s="179"/>
      <c r="E135" s="107"/>
      <c r="F135" s="107"/>
    </row>
    <row r="136" spans="1:6" x14ac:dyDescent="0.25">
      <c r="A136" s="105"/>
      <c r="B136" s="106"/>
      <c r="C136" s="179"/>
      <c r="D136" s="179"/>
      <c r="E136" s="107"/>
      <c r="F136" s="107"/>
    </row>
    <row r="137" spans="1:6" x14ac:dyDescent="0.25">
      <c r="A137" s="105"/>
      <c r="B137" s="106"/>
      <c r="C137" s="179"/>
      <c r="D137" s="179"/>
      <c r="E137" s="107"/>
      <c r="F137" s="107"/>
    </row>
    <row r="138" spans="1:6" x14ac:dyDescent="0.25">
      <c r="A138" s="105"/>
      <c r="B138" s="106"/>
      <c r="C138" s="179"/>
      <c r="D138" s="179"/>
      <c r="E138" s="107"/>
      <c r="F138" s="107"/>
    </row>
    <row r="139" spans="1:6" x14ac:dyDescent="0.25">
      <c r="A139" s="105"/>
      <c r="B139" s="106"/>
      <c r="C139" s="179"/>
      <c r="D139" s="179"/>
      <c r="E139" s="107"/>
      <c r="F139" s="107"/>
    </row>
    <row r="140" spans="1:6" x14ac:dyDescent="0.25">
      <c r="A140" s="105"/>
      <c r="B140" s="106"/>
      <c r="C140" s="179"/>
      <c r="D140" s="179"/>
      <c r="E140" s="107"/>
      <c r="F140" s="107"/>
    </row>
    <row r="141" spans="1:6" x14ac:dyDescent="0.25">
      <c r="A141" s="105"/>
      <c r="B141" s="106"/>
      <c r="C141" s="179"/>
      <c r="D141" s="179"/>
      <c r="E141" s="107"/>
      <c r="F141" s="107"/>
    </row>
    <row r="142" spans="1:6" x14ac:dyDescent="0.25">
      <c r="A142" s="105"/>
      <c r="B142" s="106"/>
      <c r="C142" s="179"/>
      <c r="D142" s="179"/>
      <c r="E142" s="107"/>
      <c r="F142" s="107"/>
    </row>
    <row r="143" spans="1:6" x14ac:dyDescent="0.25">
      <c r="A143" s="105"/>
      <c r="B143" s="106"/>
      <c r="C143" s="179"/>
      <c r="D143" s="179"/>
      <c r="E143" s="107"/>
      <c r="F143" s="107"/>
    </row>
    <row r="144" spans="1:6" x14ac:dyDescent="0.25">
      <c r="A144" s="105"/>
      <c r="B144" s="106"/>
      <c r="C144" s="179"/>
      <c r="D144" s="179"/>
      <c r="E144" s="107"/>
      <c r="F144" s="107"/>
    </row>
    <row r="145" spans="1:6" x14ac:dyDescent="0.25">
      <c r="A145" s="105"/>
      <c r="B145" s="106"/>
      <c r="C145" s="179"/>
      <c r="D145" s="179"/>
      <c r="E145" s="107"/>
      <c r="F145" s="107"/>
    </row>
    <row r="146" spans="1:6" x14ac:dyDescent="0.25">
      <c r="A146" s="105"/>
      <c r="B146" s="106"/>
      <c r="C146" s="179"/>
      <c r="D146" s="179"/>
      <c r="E146" s="107"/>
      <c r="F146" s="107"/>
    </row>
    <row r="147" spans="1:6" x14ac:dyDescent="0.25">
      <c r="A147" s="105"/>
      <c r="B147" s="106"/>
      <c r="C147" s="179"/>
      <c r="D147" s="179"/>
      <c r="E147" s="107"/>
      <c r="F147" s="107"/>
    </row>
    <row r="148" spans="1:6" x14ac:dyDescent="0.25">
      <c r="A148" s="105"/>
      <c r="B148" s="106"/>
      <c r="C148" s="179"/>
      <c r="D148" s="179"/>
      <c r="E148" s="107"/>
      <c r="F148" s="107"/>
    </row>
    <row r="149" spans="1:6" x14ac:dyDescent="0.25">
      <c r="A149" s="105"/>
      <c r="B149" s="106"/>
      <c r="C149" s="179"/>
      <c r="D149" s="179"/>
      <c r="E149" s="107"/>
      <c r="F149" s="107"/>
    </row>
    <row r="150" spans="1:6" x14ac:dyDescent="0.25">
      <c r="A150" s="105"/>
      <c r="B150" s="106"/>
      <c r="C150" s="179"/>
      <c r="D150" s="179"/>
      <c r="E150" s="107"/>
      <c r="F150" s="107"/>
    </row>
    <row r="151" spans="1:6" x14ac:dyDescent="0.25">
      <c r="A151" s="105"/>
      <c r="B151" s="106"/>
      <c r="C151" s="179"/>
      <c r="D151" s="179"/>
      <c r="E151" s="107"/>
      <c r="F151" s="107"/>
    </row>
    <row r="152" spans="1:6" x14ac:dyDescent="0.25">
      <c r="A152" s="105"/>
      <c r="B152" s="106"/>
      <c r="C152" s="179"/>
      <c r="D152" s="179"/>
      <c r="E152" s="107"/>
      <c r="F152" s="107"/>
    </row>
    <row r="153" spans="1:6" x14ac:dyDescent="0.25">
      <c r="A153" s="105"/>
      <c r="B153" s="106"/>
      <c r="C153" s="179"/>
      <c r="D153" s="179"/>
      <c r="E153" s="107"/>
      <c r="F153" s="107"/>
    </row>
    <row r="154" spans="1:6" x14ac:dyDescent="0.25">
      <c r="A154" s="105"/>
      <c r="B154" s="106"/>
      <c r="C154" s="179"/>
      <c r="D154" s="179"/>
      <c r="E154" s="107"/>
      <c r="F154" s="107"/>
    </row>
    <row r="155" spans="1:6" x14ac:dyDescent="0.25">
      <c r="A155" s="105"/>
      <c r="B155" s="106"/>
      <c r="C155" s="179"/>
      <c r="D155" s="179"/>
      <c r="E155" s="107"/>
      <c r="F155" s="107"/>
    </row>
    <row r="156" spans="1:6" x14ac:dyDescent="0.25">
      <c r="A156" s="105"/>
      <c r="B156" s="106"/>
      <c r="C156" s="179"/>
      <c r="D156" s="179"/>
      <c r="E156" s="107"/>
      <c r="F156" s="107"/>
    </row>
    <row r="157" spans="1:6" x14ac:dyDescent="0.25">
      <c r="A157" s="105"/>
      <c r="B157" s="106"/>
      <c r="C157" s="179"/>
      <c r="D157" s="179"/>
      <c r="E157" s="107"/>
      <c r="F157" s="107"/>
    </row>
    <row r="158" spans="1:6" x14ac:dyDescent="0.25">
      <c r="A158" s="105"/>
      <c r="B158" s="106"/>
      <c r="C158" s="179"/>
      <c r="D158" s="179"/>
      <c r="E158" s="107"/>
      <c r="F158" s="107"/>
    </row>
    <row r="159" spans="1:6" x14ac:dyDescent="0.25">
      <c r="A159" s="105"/>
      <c r="B159" s="106"/>
      <c r="C159" s="179"/>
      <c r="D159" s="179"/>
      <c r="E159" s="107"/>
      <c r="F159" s="107"/>
    </row>
    <row r="160" spans="1:6" x14ac:dyDescent="0.25">
      <c r="A160" s="105"/>
      <c r="B160" s="106"/>
      <c r="C160" s="179"/>
      <c r="D160" s="179"/>
      <c r="E160" s="107"/>
      <c r="F160" s="107"/>
    </row>
    <row r="161" spans="1:6" x14ac:dyDescent="0.25">
      <c r="A161" s="105"/>
      <c r="B161" s="106"/>
      <c r="C161" s="179"/>
      <c r="D161" s="179"/>
      <c r="E161" s="107"/>
      <c r="F161" s="107"/>
    </row>
    <row r="162" spans="1:6" x14ac:dyDescent="0.25">
      <c r="A162" s="105"/>
      <c r="B162" s="106"/>
      <c r="C162" s="179"/>
      <c r="D162" s="179"/>
      <c r="E162" s="107"/>
      <c r="F162" s="107"/>
    </row>
    <row r="163" spans="1:6" x14ac:dyDescent="0.25">
      <c r="A163" s="105"/>
      <c r="B163" s="106"/>
      <c r="C163" s="179"/>
      <c r="D163" s="179"/>
      <c r="E163" s="107"/>
      <c r="F163" s="107"/>
    </row>
    <row r="164" spans="1:6" x14ac:dyDescent="0.25">
      <c r="A164" s="105"/>
      <c r="B164" s="106"/>
      <c r="C164" s="179"/>
      <c r="D164" s="179"/>
      <c r="E164" s="107"/>
      <c r="F164" s="107"/>
    </row>
    <row r="165" spans="1:6" x14ac:dyDescent="0.25">
      <c r="A165" s="105"/>
      <c r="B165" s="106"/>
      <c r="C165" s="179"/>
      <c r="D165" s="179"/>
      <c r="E165" s="107"/>
      <c r="F165" s="107"/>
    </row>
    <row r="166" spans="1:6" x14ac:dyDescent="0.25">
      <c r="A166" s="105"/>
      <c r="B166" s="106"/>
      <c r="C166" s="179"/>
      <c r="D166" s="179"/>
      <c r="E166" s="107"/>
      <c r="F166" s="107"/>
    </row>
    <row r="167" spans="1:6" x14ac:dyDescent="0.25">
      <c r="A167" s="105"/>
      <c r="B167" s="106"/>
      <c r="C167" s="179"/>
      <c r="D167" s="179"/>
      <c r="E167" s="107"/>
      <c r="F167" s="107"/>
    </row>
    <row r="168" spans="1:6" x14ac:dyDescent="0.25">
      <c r="A168" s="105"/>
      <c r="B168" s="106"/>
      <c r="C168" s="179"/>
      <c r="D168" s="179"/>
      <c r="E168" s="107"/>
      <c r="F168" s="107"/>
    </row>
    <row r="169" spans="1:6" x14ac:dyDescent="0.25">
      <c r="A169" s="105"/>
      <c r="B169" s="106"/>
      <c r="C169" s="179"/>
      <c r="D169" s="179"/>
      <c r="E169" s="107"/>
      <c r="F169" s="107"/>
    </row>
    <row r="170" spans="1:6" x14ac:dyDescent="0.25">
      <c r="A170" s="105"/>
      <c r="B170" s="106"/>
      <c r="C170" s="179"/>
      <c r="D170" s="179"/>
      <c r="E170" s="107"/>
      <c r="F170" s="107"/>
    </row>
    <row r="171" spans="1:6" x14ac:dyDescent="0.25">
      <c r="A171" s="105"/>
      <c r="B171" s="106"/>
      <c r="C171" s="179"/>
      <c r="D171" s="179"/>
      <c r="E171" s="107"/>
      <c r="F171" s="107"/>
    </row>
    <row r="172" spans="1:6" x14ac:dyDescent="0.25">
      <c r="A172" s="105"/>
      <c r="B172" s="106"/>
      <c r="C172" s="179"/>
      <c r="D172" s="179"/>
      <c r="E172" s="107"/>
      <c r="F172" s="107"/>
    </row>
    <row r="173" spans="1:6" x14ac:dyDescent="0.25">
      <c r="A173" s="105"/>
      <c r="B173" s="106"/>
      <c r="C173" s="179"/>
      <c r="D173" s="179"/>
      <c r="E173" s="107"/>
      <c r="F173" s="107"/>
    </row>
    <row r="174" spans="1:6" x14ac:dyDescent="0.25">
      <c r="A174" s="105"/>
      <c r="B174" s="106"/>
      <c r="C174" s="179"/>
      <c r="D174" s="179"/>
      <c r="E174" s="107"/>
      <c r="F174" s="107"/>
    </row>
    <row r="175" spans="1:6" x14ac:dyDescent="0.25">
      <c r="A175" s="105"/>
      <c r="B175" s="106"/>
      <c r="C175" s="179"/>
      <c r="D175" s="179"/>
      <c r="E175" s="107"/>
      <c r="F175" s="107"/>
    </row>
    <row r="176" spans="1:6" x14ac:dyDescent="0.25">
      <c r="A176" s="105"/>
      <c r="B176" s="106"/>
      <c r="C176" s="179"/>
      <c r="D176" s="179"/>
      <c r="E176" s="107"/>
      <c r="F176" s="107"/>
    </row>
    <row r="177" spans="1:6" x14ac:dyDescent="0.25">
      <c r="A177" s="105"/>
      <c r="B177" s="106"/>
      <c r="C177" s="179"/>
      <c r="D177" s="179"/>
      <c r="E177" s="107"/>
      <c r="F177" s="107"/>
    </row>
    <row r="178" spans="1:6" x14ac:dyDescent="0.25">
      <c r="A178" s="105"/>
      <c r="B178" s="106"/>
      <c r="C178" s="179"/>
      <c r="D178" s="179"/>
      <c r="E178" s="107"/>
      <c r="F178" s="107"/>
    </row>
    <row r="179" spans="1:6" x14ac:dyDescent="0.25">
      <c r="A179" s="105"/>
      <c r="B179" s="106"/>
      <c r="C179" s="179"/>
      <c r="D179" s="179"/>
      <c r="E179" s="107"/>
      <c r="F179" s="107"/>
    </row>
    <row r="180" spans="1:6" x14ac:dyDescent="0.25">
      <c r="A180" s="105"/>
      <c r="B180" s="106"/>
      <c r="C180" s="179"/>
      <c r="D180" s="179"/>
      <c r="E180" s="107"/>
      <c r="F180" s="107"/>
    </row>
    <row r="181" spans="1:6" x14ac:dyDescent="0.25">
      <c r="A181" s="105"/>
      <c r="B181" s="106"/>
      <c r="C181" s="179"/>
      <c r="D181" s="179"/>
      <c r="E181" s="107"/>
      <c r="F181" s="107"/>
    </row>
    <row r="182" spans="1:6" x14ac:dyDescent="0.25">
      <c r="A182" s="105"/>
      <c r="B182" s="106"/>
      <c r="C182" s="179"/>
      <c r="D182" s="179"/>
      <c r="E182" s="107"/>
      <c r="F182" s="107"/>
    </row>
    <row r="183" spans="1:6" x14ac:dyDescent="0.25">
      <c r="A183" s="105"/>
      <c r="B183" s="106"/>
      <c r="C183" s="179"/>
      <c r="D183" s="179"/>
      <c r="E183" s="107"/>
      <c r="F183" s="107"/>
    </row>
    <row r="184" spans="1:6" x14ac:dyDescent="0.25">
      <c r="A184" s="105"/>
      <c r="B184" s="106"/>
      <c r="C184" s="179"/>
      <c r="D184" s="179"/>
      <c r="E184" s="107"/>
      <c r="F184" s="107"/>
    </row>
    <row r="185" spans="1:6" x14ac:dyDescent="0.25">
      <c r="A185" s="105"/>
      <c r="B185" s="106"/>
      <c r="C185" s="179"/>
      <c r="D185" s="179"/>
      <c r="E185" s="107"/>
      <c r="F185" s="107"/>
    </row>
    <row r="186" spans="1:6" x14ac:dyDescent="0.25">
      <c r="A186" s="105"/>
      <c r="B186" s="106"/>
      <c r="C186" s="179"/>
      <c r="D186" s="179"/>
      <c r="E186" s="107"/>
      <c r="F186" s="107"/>
    </row>
    <row r="187" spans="1:6" x14ac:dyDescent="0.25">
      <c r="A187" s="105"/>
      <c r="B187" s="106"/>
      <c r="C187" s="179"/>
      <c r="D187" s="179"/>
      <c r="E187" s="107"/>
      <c r="F187" s="107"/>
    </row>
    <row r="188" spans="1:6" x14ac:dyDescent="0.25">
      <c r="A188" s="105"/>
      <c r="B188" s="106"/>
      <c r="C188" s="179"/>
      <c r="D188" s="179"/>
      <c r="E188" s="107"/>
      <c r="F188" s="107"/>
    </row>
    <row r="189" spans="1:6" x14ac:dyDescent="0.25">
      <c r="A189" s="105"/>
      <c r="B189" s="106"/>
      <c r="C189" s="179"/>
      <c r="D189" s="179"/>
      <c r="E189" s="107"/>
      <c r="F189" s="107"/>
    </row>
    <row r="190" spans="1:6" x14ac:dyDescent="0.25">
      <c r="A190" s="105"/>
      <c r="B190" s="106"/>
      <c r="C190" s="179"/>
      <c r="D190" s="179"/>
      <c r="E190" s="107"/>
      <c r="F190" s="107"/>
    </row>
    <row r="191" spans="1:6" x14ac:dyDescent="0.25">
      <c r="A191" s="105"/>
      <c r="B191" s="106"/>
      <c r="C191" s="179"/>
      <c r="D191" s="179"/>
      <c r="E191" s="107"/>
      <c r="F191" s="107"/>
    </row>
    <row r="192" spans="1:6" x14ac:dyDescent="0.25">
      <c r="A192" s="105"/>
      <c r="B192" s="106"/>
      <c r="C192" s="179"/>
      <c r="D192" s="179"/>
      <c r="E192" s="107"/>
      <c r="F192" s="107"/>
    </row>
    <row r="193" spans="1:6" x14ac:dyDescent="0.25">
      <c r="A193" s="105"/>
      <c r="B193" s="106"/>
      <c r="C193" s="179"/>
      <c r="D193" s="179"/>
      <c r="E193" s="107"/>
      <c r="F193" s="107"/>
    </row>
    <row r="194" spans="1:6" x14ac:dyDescent="0.25">
      <c r="A194" s="105"/>
      <c r="B194" s="106"/>
      <c r="C194" s="179"/>
      <c r="D194" s="179"/>
      <c r="E194" s="107"/>
      <c r="F194" s="107"/>
    </row>
    <row r="195" spans="1:6" x14ac:dyDescent="0.25">
      <c r="A195" s="105"/>
      <c r="B195" s="106"/>
      <c r="C195" s="179"/>
      <c r="D195" s="179"/>
      <c r="E195" s="107"/>
      <c r="F195" s="107"/>
    </row>
    <row r="196" spans="1:6" x14ac:dyDescent="0.25">
      <c r="A196" s="105"/>
      <c r="B196" s="106"/>
      <c r="C196" s="179"/>
      <c r="D196" s="179"/>
      <c r="E196" s="107"/>
      <c r="F196" s="107"/>
    </row>
    <row r="197" spans="1:6" x14ac:dyDescent="0.25">
      <c r="A197" s="105"/>
      <c r="B197" s="106"/>
      <c r="C197" s="179"/>
      <c r="D197" s="179"/>
      <c r="E197" s="107"/>
      <c r="F197" s="107"/>
    </row>
    <row r="198" spans="1:6" x14ac:dyDescent="0.25">
      <c r="A198" s="105"/>
      <c r="B198" s="106"/>
      <c r="C198" s="179"/>
      <c r="D198" s="179"/>
      <c r="E198" s="107"/>
      <c r="F198" s="107"/>
    </row>
    <row r="199" spans="1:6" x14ac:dyDescent="0.25">
      <c r="A199" s="105"/>
      <c r="B199" s="106"/>
      <c r="C199" s="179"/>
      <c r="D199" s="179"/>
      <c r="E199" s="107"/>
      <c r="F199" s="107"/>
    </row>
    <row r="200" spans="1:6" x14ac:dyDescent="0.25">
      <c r="A200" s="105"/>
      <c r="B200" s="106"/>
      <c r="C200" s="179"/>
      <c r="D200" s="179"/>
      <c r="E200" s="107"/>
      <c r="F200" s="107"/>
    </row>
    <row r="201" spans="1:6" x14ac:dyDescent="0.25">
      <c r="A201" s="108"/>
      <c r="B201" s="109"/>
      <c r="C201" s="178"/>
      <c r="D201" s="178"/>
      <c r="E201" s="107"/>
      <c r="F201" s="107"/>
    </row>
    <row r="202" spans="1:6" x14ac:dyDescent="0.25">
      <c r="A202" s="108"/>
      <c r="B202" s="109"/>
      <c r="C202" s="178"/>
      <c r="D202" s="178"/>
      <c r="E202" s="107"/>
      <c r="F202" s="107"/>
    </row>
    <row r="203" spans="1:6" x14ac:dyDescent="0.25">
      <c r="A203" s="108"/>
      <c r="B203" s="109"/>
      <c r="C203" s="178"/>
      <c r="D203" s="178"/>
      <c r="E203" s="107"/>
      <c r="F203" s="107"/>
    </row>
    <row r="204" spans="1:6" x14ac:dyDescent="0.25">
      <c r="A204" s="108"/>
      <c r="B204" s="109"/>
      <c r="C204" s="178"/>
      <c r="D204" s="178"/>
      <c r="E204" s="107"/>
      <c r="F204" s="107"/>
    </row>
    <row r="205" spans="1:6" x14ac:dyDescent="0.25">
      <c r="A205" s="108"/>
      <c r="B205" s="109"/>
      <c r="C205" s="178"/>
      <c r="D205" s="178"/>
      <c r="E205" s="107"/>
      <c r="F205" s="107"/>
    </row>
    <row r="206" spans="1:6" x14ac:dyDescent="0.25">
      <c r="B206" s="34"/>
      <c r="C206" s="177"/>
      <c r="D206" s="177"/>
    </row>
    <row r="207" spans="1:6" x14ac:dyDescent="0.25">
      <c r="B207" s="34"/>
      <c r="C207" s="177"/>
      <c r="D207" s="177"/>
    </row>
    <row r="208" spans="1:6" x14ac:dyDescent="0.25">
      <c r="B208" s="34"/>
      <c r="C208" s="177"/>
      <c r="D208" s="177"/>
    </row>
    <row r="209" spans="2:4" x14ac:dyDescent="0.25">
      <c r="B209" s="34"/>
      <c r="C209" s="177"/>
      <c r="D209" s="177"/>
    </row>
    <row r="210" spans="2:4" x14ac:dyDescent="0.25">
      <c r="B210" s="34"/>
      <c r="C210" s="177"/>
      <c r="D210" s="177"/>
    </row>
    <row r="211" spans="2:4" x14ac:dyDescent="0.25">
      <c r="B211" s="34"/>
      <c r="C211" s="177"/>
      <c r="D211" s="177"/>
    </row>
    <row r="212" spans="2:4" x14ac:dyDescent="0.25">
      <c r="B212" s="34"/>
      <c r="C212" s="177"/>
      <c r="D212" s="177"/>
    </row>
    <row r="213" spans="2:4" x14ac:dyDescent="0.25">
      <c r="B213" s="34"/>
      <c r="C213" s="177"/>
      <c r="D213" s="177"/>
    </row>
    <row r="214" spans="2:4" x14ac:dyDescent="0.25">
      <c r="B214" s="34"/>
      <c r="C214" s="177"/>
      <c r="D214" s="177"/>
    </row>
    <row r="215" spans="2:4" x14ac:dyDescent="0.25">
      <c r="B215" s="34"/>
      <c r="C215" s="177"/>
      <c r="D215" s="177"/>
    </row>
    <row r="216" spans="2:4" x14ac:dyDescent="0.25">
      <c r="B216" s="34"/>
      <c r="C216" s="177"/>
      <c r="D216" s="177"/>
    </row>
    <row r="217" spans="2:4" x14ac:dyDescent="0.25">
      <c r="B217" s="34"/>
      <c r="C217" s="177"/>
      <c r="D217" s="177"/>
    </row>
    <row r="218" spans="2:4" x14ac:dyDescent="0.25">
      <c r="B218" s="34"/>
      <c r="C218" s="177"/>
      <c r="D218" s="177"/>
    </row>
    <row r="219" spans="2:4" x14ac:dyDescent="0.25">
      <c r="B219" s="34"/>
      <c r="C219" s="177"/>
      <c r="D219" s="177"/>
    </row>
    <row r="220" spans="2:4" x14ac:dyDescent="0.25">
      <c r="B220" s="34"/>
      <c r="C220" s="177"/>
      <c r="D220" s="177"/>
    </row>
    <row r="221" spans="2:4" x14ac:dyDescent="0.25">
      <c r="B221" s="34"/>
      <c r="C221" s="177"/>
      <c r="D221" s="177"/>
    </row>
    <row r="222" spans="2:4" x14ac:dyDescent="0.25">
      <c r="B222" s="34"/>
      <c r="C222" s="177"/>
      <c r="D222" s="177"/>
    </row>
    <row r="223" spans="2:4" x14ac:dyDescent="0.25">
      <c r="B223" s="34"/>
      <c r="C223" s="177"/>
      <c r="D223" s="177"/>
    </row>
    <row r="224" spans="2:4" x14ac:dyDescent="0.25">
      <c r="B224" s="34"/>
      <c r="C224" s="177"/>
      <c r="D224" s="177"/>
    </row>
    <row r="225" spans="2:4" x14ac:dyDescent="0.25">
      <c r="B225" s="34"/>
      <c r="C225" s="177"/>
      <c r="D225" s="177"/>
    </row>
    <row r="226" spans="2:4" x14ac:dyDescent="0.25">
      <c r="B226" s="34"/>
      <c r="C226" s="177"/>
      <c r="D226" s="177"/>
    </row>
    <row r="227" spans="2:4" x14ac:dyDescent="0.25">
      <c r="B227" s="34"/>
      <c r="C227" s="177"/>
      <c r="D227" s="177"/>
    </row>
    <row r="228" spans="2:4" x14ac:dyDescent="0.25">
      <c r="B228" s="34"/>
      <c r="C228" s="177"/>
      <c r="D228" s="177"/>
    </row>
    <row r="229" spans="2:4" x14ac:dyDescent="0.25">
      <c r="B229" s="34"/>
      <c r="C229" s="177"/>
      <c r="D229" s="177"/>
    </row>
    <row r="230" spans="2:4" x14ac:dyDescent="0.25">
      <c r="B230" s="34"/>
      <c r="C230" s="177"/>
      <c r="D230" s="177"/>
    </row>
    <row r="231" spans="2:4" x14ac:dyDescent="0.25">
      <c r="B231" s="34"/>
      <c r="C231" s="177"/>
      <c r="D231" s="177"/>
    </row>
    <row r="232" spans="2:4" x14ac:dyDescent="0.25">
      <c r="B232" s="34"/>
      <c r="C232" s="177"/>
      <c r="D232" s="177"/>
    </row>
    <row r="233" spans="2:4" x14ac:dyDescent="0.25">
      <c r="B233" s="34"/>
      <c r="C233" s="177"/>
      <c r="D233" s="177"/>
    </row>
    <row r="234" spans="2:4" x14ac:dyDescent="0.25">
      <c r="B234" s="34"/>
      <c r="C234" s="177"/>
      <c r="D234" s="177"/>
    </row>
    <row r="235" spans="2:4" x14ac:dyDescent="0.25">
      <c r="B235" s="34"/>
      <c r="C235" s="177"/>
      <c r="D235" s="177"/>
    </row>
    <row r="236" spans="2:4" x14ac:dyDescent="0.25">
      <c r="B236" s="34"/>
      <c r="C236" s="177"/>
      <c r="D236" s="177"/>
    </row>
    <row r="237" spans="2:4" x14ac:dyDescent="0.25">
      <c r="B237" s="34"/>
      <c r="C237" s="177"/>
      <c r="D237" s="177"/>
    </row>
    <row r="238" spans="2:4" x14ac:dyDescent="0.25">
      <c r="B238" s="34"/>
      <c r="C238" s="177"/>
      <c r="D238" s="177"/>
    </row>
    <row r="239" spans="2:4" x14ac:dyDescent="0.25">
      <c r="B239" s="34"/>
      <c r="C239" s="177"/>
      <c r="D239" s="177"/>
    </row>
    <row r="240" spans="2:4" x14ac:dyDescent="0.25">
      <c r="B240" s="34"/>
      <c r="C240" s="177"/>
      <c r="D240" s="177"/>
    </row>
    <row r="241" spans="2:4" x14ac:dyDescent="0.25">
      <c r="B241" s="34"/>
      <c r="C241" s="177"/>
      <c r="D241" s="177"/>
    </row>
    <row r="242" spans="2:4" x14ac:dyDescent="0.25">
      <c r="B242" s="34"/>
      <c r="C242" s="177"/>
      <c r="D242" s="177"/>
    </row>
    <row r="243" spans="2:4" x14ac:dyDescent="0.25">
      <c r="B243" s="34"/>
      <c r="C243" s="177"/>
      <c r="D243" s="177"/>
    </row>
    <row r="244" spans="2:4" x14ac:dyDescent="0.25">
      <c r="B244" s="34"/>
      <c r="C244" s="177"/>
      <c r="D244" s="177"/>
    </row>
    <row r="245" spans="2:4" x14ac:dyDescent="0.25">
      <c r="B245" s="34"/>
      <c r="C245" s="177"/>
      <c r="D245" s="177"/>
    </row>
    <row r="246" spans="2:4" x14ac:dyDescent="0.25">
      <c r="B246" s="34"/>
      <c r="C246" s="177"/>
      <c r="D246" s="177"/>
    </row>
    <row r="247" spans="2:4" x14ac:dyDescent="0.25">
      <c r="B247" s="34"/>
      <c r="C247" s="177"/>
      <c r="D247" s="177"/>
    </row>
    <row r="248" spans="2:4" x14ac:dyDescent="0.25">
      <c r="B248" s="34"/>
      <c r="C248" s="177"/>
      <c r="D248" s="177"/>
    </row>
    <row r="249" spans="2:4" x14ac:dyDescent="0.25">
      <c r="B249" s="34"/>
      <c r="C249" s="177"/>
      <c r="D249" s="177"/>
    </row>
    <row r="250" spans="2:4" x14ac:dyDescent="0.25">
      <c r="B250" s="34"/>
      <c r="C250" s="177"/>
      <c r="D250" s="177"/>
    </row>
    <row r="251" spans="2:4" x14ac:dyDescent="0.25">
      <c r="B251" s="34"/>
      <c r="C251" s="177"/>
      <c r="D251" s="177"/>
    </row>
    <row r="252" spans="2:4" x14ac:dyDescent="0.25">
      <c r="B252" s="34"/>
      <c r="C252" s="177"/>
      <c r="D252" s="177"/>
    </row>
    <row r="253" spans="2:4" x14ac:dyDescent="0.25">
      <c r="B253" s="34"/>
      <c r="C253" s="177"/>
      <c r="D253" s="177"/>
    </row>
    <row r="254" spans="2:4" x14ac:dyDescent="0.25">
      <c r="B254" s="34"/>
      <c r="C254" s="177"/>
      <c r="D254" s="177"/>
    </row>
    <row r="255" spans="2:4" x14ac:dyDescent="0.25">
      <c r="B255" s="34"/>
      <c r="C255" s="177"/>
      <c r="D255" s="177"/>
    </row>
    <row r="256" spans="2:4" x14ac:dyDescent="0.25">
      <c r="B256" s="34"/>
      <c r="C256" s="177"/>
      <c r="D256" s="177"/>
    </row>
    <row r="257" spans="2:4" x14ac:dyDescent="0.25">
      <c r="B257" s="34"/>
      <c r="C257" s="177"/>
      <c r="D257" s="177"/>
    </row>
    <row r="258" spans="2:4" x14ac:dyDescent="0.25">
      <c r="B258" s="34"/>
      <c r="C258" s="177"/>
      <c r="D258" s="177"/>
    </row>
    <row r="259" spans="2:4" x14ac:dyDescent="0.25">
      <c r="B259" s="34"/>
      <c r="C259" s="177"/>
      <c r="D259" s="177"/>
    </row>
    <row r="260" spans="2:4" x14ac:dyDescent="0.25">
      <c r="B260" s="34"/>
      <c r="C260" s="177"/>
      <c r="D260" s="177"/>
    </row>
    <row r="261" spans="2:4" x14ac:dyDescent="0.25">
      <c r="B261" s="34"/>
      <c r="C261" s="177"/>
      <c r="D261" s="177"/>
    </row>
    <row r="262" spans="2:4" x14ac:dyDescent="0.25">
      <c r="B262" s="34"/>
      <c r="C262" s="177"/>
      <c r="D262" s="177"/>
    </row>
    <row r="263" spans="2:4" x14ac:dyDescent="0.25">
      <c r="B263" s="34"/>
      <c r="C263" s="177"/>
      <c r="D263" s="177"/>
    </row>
    <row r="264" spans="2:4" x14ac:dyDescent="0.25">
      <c r="B264" s="34"/>
      <c r="C264" s="177"/>
      <c r="D264" s="177"/>
    </row>
    <row r="265" spans="2:4" x14ac:dyDescent="0.25">
      <c r="B265" s="34"/>
      <c r="C265" s="177"/>
      <c r="D265" s="177"/>
    </row>
    <row r="266" spans="2:4" x14ac:dyDescent="0.25">
      <c r="B266" s="34"/>
      <c r="C266" s="177"/>
      <c r="D266" s="177"/>
    </row>
    <row r="267" spans="2:4" x14ac:dyDescent="0.25">
      <c r="B267" s="34"/>
      <c r="C267" s="177"/>
      <c r="D267" s="177"/>
    </row>
    <row r="268" spans="2:4" x14ac:dyDescent="0.25">
      <c r="B268" s="34"/>
      <c r="C268" s="177"/>
      <c r="D268" s="177"/>
    </row>
    <row r="269" spans="2:4" x14ac:dyDescent="0.25">
      <c r="B269" s="34"/>
      <c r="C269" s="177"/>
      <c r="D269" s="177"/>
    </row>
    <row r="270" spans="2:4" x14ac:dyDescent="0.25">
      <c r="B270" s="34"/>
      <c r="C270" s="177"/>
      <c r="D270" s="177"/>
    </row>
    <row r="271" spans="2:4" x14ac:dyDescent="0.25">
      <c r="B271" s="34"/>
      <c r="C271" s="177"/>
      <c r="D271" s="177"/>
    </row>
    <row r="272" spans="2:4" x14ac:dyDescent="0.25">
      <c r="B272" s="34"/>
      <c r="C272" s="177"/>
      <c r="D272" s="177"/>
    </row>
    <row r="273" spans="2:4" x14ac:dyDescent="0.25">
      <c r="B273" s="34"/>
      <c r="C273" s="177"/>
      <c r="D273" s="177"/>
    </row>
    <row r="274" spans="2:4" x14ac:dyDescent="0.25">
      <c r="B274" s="34"/>
      <c r="C274" s="177"/>
      <c r="D274" s="177"/>
    </row>
    <row r="275" spans="2:4" x14ac:dyDescent="0.25">
      <c r="B275" s="34"/>
      <c r="C275" s="177"/>
      <c r="D275" s="177"/>
    </row>
    <row r="276" spans="2:4" x14ac:dyDescent="0.25">
      <c r="B276" s="34"/>
      <c r="C276" s="177"/>
      <c r="D276" s="177"/>
    </row>
    <row r="277" spans="2:4" x14ac:dyDescent="0.25">
      <c r="B277" s="34"/>
      <c r="C277" s="177"/>
      <c r="D277" s="177"/>
    </row>
    <row r="278" spans="2:4" x14ac:dyDescent="0.25">
      <c r="B278" s="34"/>
      <c r="C278" s="177"/>
      <c r="D278" s="177"/>
    </row>
    <row r="279" spans="2:4" x14ac:dyDescent="0.25">
      <c r="B279" s="34"/>
      <c r="C279" s="177"/>
      <c r="D279" s="177"/>
    </row>
    <row r="280" spans="2:4" x14ac:dyDescent="0.25">
      <c r="B280" s="34"/>
      <c r="C280" s="177"/>
      <c r="D280" s="177"/>
    </row>
    <row r="281" spans="2:4" x14ac:dyDescent="0.25">
      <c r="B281" s="34"/>
      <c r="C281" s="177"/>
      <c r="D281" s="177"/>
    </row>
    <row r="282" spans="2:4" x14ac:dyDescent="0.25">
      <c r="B282" s="34"/>
      <c r="C282" s="177"/>
      <c r="D282" s="177"/>
    </row>
    <row r="283" spans="2:4" x14ac:dyDescent="0.25">
      <c r="B283" s="34"/>
      <c r="C283" s="177"/>
      <c r="D283" s="177"/>
    </row>
    <row r="284" spans="2:4" x14ac:dyDescent="0.25">
      <c r="B284" s="34"/>
      <c r="C284" s="177"/>
      <c r="D284" s="177"/>
    </row>
    <row r="285" spans="2:4" x14ac:dyDescent="0.25">
      <c r="B285" s="34"/>
      <c r="C285" s="177"/>
      <c r="D285" s="177"/>
    </row>
    <row r="286" spans="2:4" x14ac:dyDescent="0.25">
      <c r="B286" s="34"/>
      <c r="C286" s="177"/>
      <c r="D286" s="177"/>
    </row>
    <row r="287" spans="2:4" x14ac:dyDescent="0.25">
      <c r="B287" s="34"/>
      <c r="C287" s="177"/>
      <c r="D287" s="177"/>
    </row>
    <row r="288" spans="2:4" x14ac:dyDescent="0.25">
      <c r="B288" s="34"/>
      <c r="C288" s="177"/>
      <c r="D288" s="177"/>
    </row>
    <row r="289" spans="2:4" x14ac:dyDescent="0.25">
      <c r="B289" s="34"/>
      <c r="C289" s="177"/>
      <c r="D289" s="177"/>
    </row>
    <row r="290" spans="2:4" x14ac:dyDescent="0.25">
      <c r="B290" s="34"/>
      <c r="C290" s="177"/>
      <c r="D290" s="177"/>
    </row>
    <row r="291" spans="2:4" x14ac:dyDescent="0.25">
      <c r="B291" s="34"/>
      <c r="C291" s="177"/>
      <c r="D291" s="177"/>
    </row>
    <row r="292" spans="2:4" x14ac:dyDescent="0.25">
      <c r="B292" s="34"/>
      <c r="C292" s="177"/>
      <c r="D292" s="177"/>
    </row>
    <row r="293" spans="2:4" x14ac:dyDescent="0.25">
      <c r="B293" s="34"/>
      <c r="C293" s="177"/>
      <c r="D293" s="177"/>
    </row>
    <row r="294" spans="2:4" x14ac:dyDescent="0.25">
      <c r="B294" s="34"/>
      <c r="C294" s="177"/>
      <c r="D294" s="177"/>
    </row>
    <row r="295" spans="2:4" x14ac:dyDescent="0.25">
      <c r="B295" s="34"/>
      <c r="C295" s="177"/>
      <c r="D295" s="177"/>
    </row>
    <row r="296" spans="2:4" x14ac:dyDescent="0.25">
      <c r="B296" s="34"/>
      <c r="C296" s="177"/>
      <c r="D296" s="177"/>
    </row>
    <row r="297" spans="2:4" x14ac:dyDescent="0.25">
      <c r="B297" s="34"/>
      <c r="C297" s="177"/>
      <c r="D297" s="177"/>
    </row>
    <row r="298" spans="2:4" x14ac:dyDescent="0.25">
      <c r="B298" s="34"/>
      <c r="C298" s="177"/>
      <c r="D298" s="177"/>
    </row>
    <row r="299" spans="2:4" x14ac:dyDescent="0.25">
      <c r="B299" s="34"/>
      <c r="C299" s="177"/>
      <c r="D299" s="177"/>
    </row>
    <row r="300" spans="2:4" x14ac:dyDescent="0.25">
      <c r="B300" s="34"/>
      <c r="C300" s="177"/>
      <c r="D300" s="177"/>
    </row>
    <row r="301" spans="2:4" x14ac:dyDescent="0.25">
      <c r="B301" s="34"/>
      <c r="C301" s="177"/>
      <c r="D301" s="177"/>
    </row>
    <row r="302" spans="2:4" x14ac:dyDescent="0.25">
      <c r="B302" s="34"/>
      <c r="C302" s="177"/>
      <c r="D302" s="177"/>
    </row>
    <row r="303" spans="2:4" x14ac:dyDescent="0.25">
      <c r="B303" s="34"/>
      <c r="C303" s="177"/>
      <c r="D303" s="177"/>
    </row>
    <row r="304" spans="2:4" x14ac:dyDescent="0.25">
      <c r="B304" s="34"/>
      <c r="C304" s="177"/>
      <c r="D304" s="177"/>
    </row>
    <row r="305" spans="2:4" x14ac:dyDescent="0.25">
      <c r="B305" s="34"/>
      <c r="C305" s="177"/>
      <c r="D305" s="177"/>
    </row>
    <row r="306" spans="2:4" x14ac:dyDescent="0.25">
      <c r="B306" s="34"/>
      <c r="C306" s="177"/>
      <c r="D306" s="177"/>
    </row>
    <row r="307" spans="2:4" x14ac:dyDescent="0.25">
      <c r="B307" s="34"/>
      <c r="C307" s="177"/>
      <c r="D307" s="177"/>
    </row>
    <row r="308" spans="2:4" x14ac:dyDescent="0.25">
      <c r="B308" s="34"/>
      <c r="C308" s="177"/>
      <c r="D308" s="177"/>
    </row>
    <row r="309" spans="2:4" x14ac:dyDescent="0.25">
      <c r="B309" s="34"/>
      <c r="C309" s="177"/>
      <c r="D309" s="177"/>
    </row>
    <row r="310" spans="2:4" x14ac:dyDescent="0.25">
      <c r="B310" s="34"/>
      <c r="C310" s="177"/>
      <c r="D310" s="177"/>
    </row>
    <row r="311" spans="2:4" x14ac:dyDescent="0.25">
      <c r="B311" s="34"/>
      <c r="C311" s="177"/>
      <c r="D311" s="177"/>
    </row>
    <row r="312" spans="2:4" x14ac:dyDescent="0.25">
      <c r="B312" s="34"/>
      <c r="C312" s="177"/>
      <c r="D312" s="177"/>
    </row>
    <row r="313" spans="2:4" x14ac:dyDescent="0.25">
      <c r="B313" s="34"/>
      <c r="C313" s="177"/>
      <c r="D313" s="177"/>
    </row>
    <row r="314" spans="2:4" x14ac:dyDescent="0.25">
      <c r="B314" s="34"/>
      <c r="C314" s="177"/>
      <c r="D314" s="177"/>
    </row>
    <row r="315" spans="2:4" x14ac:dyDescent="0.25">
      <c r="B315" s="34"/>
      <c r="C315" s="177"/>
      <c r="D315" s="177"/>
    </row>
    <row r="316" spans="2:4" x14ac:dyDescent="0.25">
      <c r="B316" s="34"/>
      <c r="C316" s="177"/>
      <c r="D316" s="177"/>
    </row>
    <row r="317" spans="2:4" x14ac:dyDescent="0.25">
      <c r="B317" s="34"/>
      <c r="C317" s="177"/>
      <c r="D317" s="177"/>
    </row>
    <row r="318" spans="2:4" x14ac:dyDescent="0.25">
      <c r="B318" s="34"/>
      <c r="C318" s="177"/>
      <c r="D318" s="177"/>
    </row>
    <row r="319" spans="2:4" x14ac:dyDescent="0.25">
      <c r="B319" s="34"/>
      <c r="C319" s="177"/>
      <c r="D319" s="177"/>
    </row>
    <row r="320" spans="2:4" x14ac:dyDescent="0.25">
      <c r="B320" s="34"/>
      <c r="C320" s="177"/>
      <c r="D320" s="177"/>
    </row>
    <row r="321" spans="2:4" x14ac:dyDescent="0.25">
      <c r="B321" s="34"/>
      <c r="C321" s="177"/>
      <c r="D321" s="177"/>
    </row>
    <row r="322" spans="2:4" x14ac:dyDescent="0.25">
      <c r="B322" s="34"/>
      <c r="C322" s="177"/>
      <c r="D322" s="177"/>
    </row>
    <row r="323" spans="2:4" x14ac:dyDescent="0.25">
      <c r="B323" s="34"/>
      <c r="C323" s="177"/>
      <c r="D323" s="177"/>
    </row>
    <row r="324" spans="2:4" x14ac:dyDescent="0.25">
      <c r="B324" s="34"/>
      <c r="C324" s="177"/>
      <c r="D324" s="177"/>
    </row>
    <row r="325" spans="2:4" x14ac:dyDescent="0.25">
      <c r="B325" s="34"/>
      <c r="C325" s="177"/>
      <c r="D325" s="177"/>
    </row>
    <row r="326" spans="2:4" x14ac:dyDescent="0.25">
      <c r="B326" s="34"/>
      <c r="C326" s="177"/>
      <c r="D326" s="177"/>
    </row>
    <row r="327" spans="2:4" x14ac:dyDescent="0.25">
      <c r="B327" s="34"/>
      <c r="C327" s="177"/>
      <c r="D327" s="177"/>
    </row>
    <row r="328" spans="2:4" x14ac:dyDescent="0.25">
      <c r="B328" s="34"/>
      <c r="C328" s="177"/>
      <c r="D328" s="177"/>
    </row>
    <row r="329" spans="2:4" x14ac:dyDescent="0.25">
      <c r="B329" s="34"/>
      <c r="C329" s="177"/>
      <c r="D329" s="177"/>
    </row>
    <row r="330" spans="2:4" x14ac:dyDescent="0.25">
      <c r="B330" s="34"/>
      <c r="C330" s="35"/>
      <c r="D330" s="35"/>
    </row>
    <row r="331" spans="2:4" x14ac:dyDescent="0.25">
      <c r="B331" s="34"/>
      <c r="C331" s="35"/>
      <c r="D331" s="35"/>
    </row>
    <row r="332" spans="2:4" x14ac:dyDescent="0.25">
      <c r="B332" s="34"/>
      <c r="C332" s="35"/>
      <c r="D332" s="35"/>
    </row>
    <row r="333" spans="2:4" x14ac:dyDescent="0.25">
      <c r="B333" s="34"/>
      <c r="C333" s="35"/>
      <c r="D333" s="35"/>
    </row>
    <row r="334" spans="2:4" x14ac:dyDescent="0.25">
      <c r="B334" s="34"/>
      <c r="C334" s="35"/>
      <c r="D334" s="35"/>
    </row>
    <row r="335" spans="2:4" x14ac:dyDescent="0.25">
      <c r="B335" s="34"/>
      <c r="C335" s="35"/>
      <c r="D335" s="35"/>
    </row>
    <row r="336" spans="2:4" x14ac:dyDescent="0.25">
      <c r="B336" s="34"/>
      <c r="C336" s="35"/>
      <c r="D336" s="35"/>
    </row>
    <row r="337" spans="2:4" x14ac:dyDescent="0.25">
      <c r="B337" s="34"/>
      <c r="C337" s="35"/>
      <c r="D337" s="35"/>
    </row>
    <row r="338" spans="2:4" x14ac:dyDescent="0.25">
      <c r="B338" s="34"/>
      <c r="C338" s="35"/>
      <c r="D338" s="35"/>
    </row>
    <row r="339" spans="2:4" x14ac:dyDescent="0.25">
      <c r="B339" s="34"/>
      <c r="C339" s="35"/>
      <c r="D339" s="35"/>
    </row>
    <row r="340" spans="2:4" x14ac:dyDescent="0.25">
      <c r="B340" s="34"/>
      <c r="C340" s="35"/>
      <c r="D340" s="35"/>
    </row>
    <row r="341" spans="2:4" x14ac:dyDescent="0.25">
      <c r="B341" s="34"/>
      <c r="C341" s="35"/>
      <c r="D341" s="35"/>
    </row>
    <row r="342" spans="2:4" x14ac:dyDescent="0.25">
      <c r="B342" s="34"/>
      <c r="C342" s="35"/>
      <c r="D342" s="35"/>
    </row>
    <row r="343" spans="2:4" x14ac:dyDescent="0.25">
      <c r="B343" s="34"/>
      <c r="C343" s="35"/>
      <c r="D343" s="35"/>
    </row>
    <row r="344" spans="2:4" x14ac:dyDescent="0.25">
      <c r="B344" s="34"/>
      <c r="C344" s="35"/>
      <c r="D344" s="35"/>
    </row>
    <row r="345" spans="2:4" x14ac:dyDescent="0.25">
      <c r="B345" s="34"/>
      <c r="C345" s="35"/>
      <c r="D345" s="35"/>
    </row>
    <row r="346" spans="2:4" x14ac:dyDescent="0.25">
      <c r="B346" s="34"/>
      <c r="C346" s="35"/>
      <c r="D346" s="35"/>
    </row>
    <row r="347" spans="2:4" x14ac:dyDescent="0.25">
      <c r="B347" s="34"/>
      <c r="C347" s="35"/>
      <c r="D347" s="35"/>
    </row>
    <row r="348" spans="2:4" x14ac:dyDescent="0.25">
      <c r="B348" s="34"/>
      <c r="C348" s="35"/>
      <c r="D348" s="35"/>
    </row>
    <row r="349" spans="2:4" x14ac:dyDescent="0.25">
      <c r="B349" s="34"/>
      <c r="C349" s="35"/>
      <c r="D349" s="35"/>
    </row>
    <row r="350" spans="2:4" x14ac:dyDescent="0.25">
      <c r="B350" s="34"/>
      <c r="C350" s="35"/>
      <c r="D350" s="35"/>
    </row>
    <row r="351" spans="2:4" x14ac:dyDescent="0.25">
      <c r="B351" s="34"/>
      <c r="C351" s="35"/>
      <c r="D351" s="35"/>
    </row>
    <row r="352" spans="2:4" x14ac:dyDescent="0.25">
      <c r="B352" s="34"/>
      <c r="C352" s="35"/>
      <c r="D352" s="35"/>
    </row>
    <row r="353" spans="2:4" x14ac:dyDescent="0.25">
      <c r="B353" s="34"/>
      <c r="C353" s="35"/>
      <c r="D353" s="35"/>
    </row>
    <row r="354" spans="2:4" x14ac:dyDescent="0.25">
      <c r="B354" s="34"/>
      <c r="C354" s="35"/>
      <c r="D354" s="35"/>
    </row>
    <row r="355" spans="2:4" x14ac:dyDescent="0.25">
      <c r="B355" s="34"/>
      <c r="C355" s="35"/>
      <c r="D355" s="35"/>
    </row>
    <row r="356" spans="2:4" x14ac:dyDescent="0.25">
      <c r="B356" s="34"/>
      <c r="C356" s="35"/>
      <c r="D356" s="35"/>
    </row>
    <row r="357" spans="2:4" x14ac:dyDescent="0.25">
      <c r="B357" s="34"/>
      <c r="C357" s="35"/>
      <c r="D357" s="35"/>
    </row>
    <row r="358" spans="2:4" x14ac:dyDescent="0.25">
      <c r="B358" s="34"/>
      <c r="C358" s="35"/>
      <c r="D358" s="35"/>
    </row>
    <row r="359" spans="2:4" x14ac:dyDescent="0.25">
      <c r="B359" s="34"/>
      <c r="C359" s="35"/>
      <c r="D359" s="35"/>
    </row>
    <row r="360" spans="2:4" x14ac:dyDescent="0.25">
      <c r="B360" s="34"/>
      <c r="C360" s="35"/>
      <c r="D360" s="35"/>
    </row>
    <row r="361" spans="2:4" x14ac:dyDescent="0.25">
      <c r="B361" s="34"/>
      <c r="C361" s="35"/>
      <c r="D361" s="35"/>
    </row>
    <row r="362" spans="2:4" x14ac:dyDescent="0.25">
      <c r="B362" s="34"/>
      <c r="C362" s="35"/>
      <c r="D362" s="35"/>
    </row>
    <row r="363" spans="2:4" x14ac:dyDescent="0.25">
      <c r="B363" s="34"/>
      <c r="C363" s="35"/>
      <c r="D363" s="35"/>
    </row>
    <row r="364" spans="2:4" x14ac:dyDescent="0.25">
      <c r="B364" s="34"/>
      <c r="C364" s="35"/>
      <c r="D364" s="35"/>
    </row>
    <row r="365" spans="2:4" x14ac:dyDescent="0.25">
      <c r="B365" s="34"/>
      <c r="C365" s="35"/>
      <c r="D365" s="35"/>
    </row>
    <row r="366" spans="2:4" x14ac:dyDescent="0.25">
      <c r="B366" s="34"/>
      <c r="C366" s="35"/>
      <c r="D366" s="35"/>
    </row>
    <row r="367" spans="2:4" x14ac:dyDescent="0.25">
      <c r="B367" s="34"/>
      <c r="C367" s="35"/>
      <c r="D367" s="35"/>
    </row>
    <row r="368" spans="2:4" x14ac:dyDescent="0.25">
      <c r="B368" s="34"/>
      <c r="C368" s="35"/>
      <c r="D368" s="35"/>
    </row>
    <row r="369" spans="2:4" x14ac:dyDescent="0.25">
      <c r="B369" s="34"/>
      <c r="C369" s="35"/>
      <c r="D369" s="35"/>
    </row>
    <row r="370" spans="2:4" x14ac:dyDescent="0.25">
      <c r="B370" s="34"/>
      <c r="C370" s="35"/>
      <c r="D370" s="35"/>
    </row>
    <row r="371" spans="2:4" x14ac:dyDescent="0.25">
      <c r="B371" s="34"/>
      <c r="C371" s="35"/>
      <c r="D371" s="35"/>
    </row>
    <row r="372" spans="2:4" x14ac:dyDescent="0.25">
      <c r="B372" s="34"/>
      <c r="C372" s="35"/>
      <c r="D372" s="35"/>
    </row>
    <row r="373" spans="2:4" x14ac:dyDescent="0.25">
      <c r="B373" s="34"/>
      <c r="C373" s="35"/>
      <c r="D373" s="35"/>
    </row>
    <row r="374" spans="2:4" x14ac:dyDescent="0.25">
      <c r="B374" s="34"/>
      <c r="C374" s="35"/>
      <c r="D374" s="35"/>
    </row>
    <row r="375" spans="2:4" x14ac:dyDescent="0.25">
      <c r="B375" s="34"/>
      <c r="C375" s="35"/>
      <c r="D375" s="35"/>
    </row>
    <row r="376" spans="2:4" x14ac:dyDescent="0.25">
      <c r="B376" s="34"/>
      <c r="C376" s="35"/>
      <c r="D376" s="35"/>
    </row>
    <row r="377" spans="2:4" x14ac:dyDescent="0.25">
      <c r="B377" s="34"/>
      <c r="C377" s="35"/>
      <c r="D377" s="35"/>
    </row>
    <row r="378" spans="2:4" x14ac:dyDescent="0.25">
      <c r="B378" s="34"/>
      <c r="C378" s="35"/>
      <c r="D378" s="35"/>
    </row>
    <row r="379" spans="2:4" x14ac:dyDescent="0.25">
      <c r="B379" s="34"/>
      <c r="C379" s="35"/>
      <c r="D379" s="35"/>
    </row>
    <row r="380" spans="2:4" x14ac:dyDescent="0.25">
      <c r="B380" s="34"/>
      <c r="C380" s="35"/>
      <c r="D380" s="35"/>
    </row>
    <row r="381" spans="2:4" x14ac:dyDescent="0.25">
      <c r="B381" s="34"/>
      <c r="C381" s="35"/>
      <c r="D381" s="35"/>
    </row>
    <row r="382" spans="2:4" x14ac:dyDescent="0.25">
      <c r="B382" s="34"/>
      <c r="C382" s="35"/>
      <c r="D382" s="35"/>
    </row>
    <row r="383" spans="2:4" x14ac:dyDescent="0.25">
      <c r="B383" s="34"/>
      <c r="C383" s="35"/>
      <c r="D383" s="35"/>
    </row>
    <row r="384" spans="2:4" x14ac:dyDescent="0.25">
      <c r="B384" s="34"/>
      <c r="C384" s="35"/>
      <c r="D384" s="35"/>
    </row>
    <row r="385" spans="2:4" x14ac:dyDescent="0.25">
      <c r="B385" s="34"/>
      <c r="C385" s="35"/>
      <c r="D385" s="35"/>
    </row>
    <row r="386" spans="2:4" x14ac:dyDescent="0.25">
      <c r="B386" s="34"/>
      <c r="C386" s="35"/>
      <c r="D386" s="35"/>
    </row>
    <row r="387" spans="2:4" x14ac:dyDescent="0.25">
      <c r="B387" s="34"/>
      <c r="C387" s="35"/>
      <c r="D387" s="35"/>
    </row>
    <row r="388" spans="2:4" x14ac:dyDescent="0.25">
      <c r="B388" s="34"/>
      <c r="C388" s="35"/>
      <c r="D388" s="35"/>
    </row>
    <row r="389" spans="2:4" x14ac:dyDescent="0.25">
      <c r="B389" s="34"/>
      <c r="C389" s="35"/>
      <c r="D389" s="35"/>
    </row>
    <row r="390" spans="2:4" x14ac:dyDescent="0.25">
      <c r="B390" s="34"/>
      <c r="C390" s="35"/>
      <c r="D390" s="35"/>
    </row>
    <row r="391" spans="2:4" x14ac:dyDescent="0.25">
      <c r="B391" s="34"/>
      <c r="C391" s="35"/>
      <c r="D391" s="35"/>
    </row>
    <row r="392" spans="2:4" x14ac:dyDescent="0.25">
      <c r="B392" s="34"/>
      <c r="C392" s="35"/>
      <c r="D392" s="35"/>
    </row>
    <row r="393" spans="2:4" x14ac:dyDescent="0.25">
      <c r="B393" s="34"/>
      <c r="C393" s="35"/>
      <c r="D393" s="35"/>
    </row>
    <row r="394" spans="2:4" x14ac:dyDescent="0.25">
      <c r="B394" s="34"/>
      <c r="C394" s="35"/>
      <c r="D394" s="35"/>
    </row>
    <row r="395" spans="2:4" x14ac:dyDescent="0.25">
      <c r="B395" s="34"/>
      <c r="C395" s="35"/>
      <c r="D395" s="35"/>
    </row>
    <row r="396" spans="2:4" x14ac:dyDescent="0.25">
      <c r="B396" s="34"/>
      <c r="C396" s="35"/>
      <c r="D396" s="35"/>
    </row>
    <row r="397" spans="2:4" x14ac:dyDescent="0.25">
      <c r="B397" s="34"/>
      <c r="C397" s="35"/>
      <c r="D397" s="35"/>
    </row>
    <row r="398" spans="2:4" x14ac:dyDescent="0.25">
      <c r="B398" s="34"/>
      <c r="C398" s="35"/>
      <c r="D398" s="35"/>
    </row>
    <row r="399" spans="2:4" x14ac:dyDescent="0.25">
      <c r="B399" s="34"/>
      <c r="C399" s="35"/>
      <c r="D399" s="35"/>
    </row>
    <row r="400" spans="2:4" x14ac:dyDescent="0.25">
      <c r="B400" s="34"/>
      <c r="C400" s="35"/>
      <c r="D400" s="35"/>
    </row>
    <row r="401" spans="2:4" x14ac:dyDescent="0.25">
      <c r="B401" s="34"/>
      <c r="C401" s="35"/>
      <c r="D401" s="35"/>
    </row>
    <row r="402" spans="2:4" x14ac:dyDescent="0.25">
      <c r="B402" s="34"/>
      <c r="C402" s="35"/>
      <c r="D402" s="35"/>
    </row>
    <row r="403" spans="2:4" x14ac:dyDescent="0.25">
      <c r="B403" s="34"/>
      <c r="C403" s="35"/>
      <c r="D403" s="35"/>
    </row>
    <row r="404" spans="2:4" x14ac:dyDescent="0.25">
      <c r="B404" s="34"/>
      <c r="C404" s="35"/>
      <c r="D404" s="35"/>
    </row>
    <row r="405" spans="2:4" x14ac:dyDescent="0.25">
      <c r="B405" s="34"/>
      <c r="C405" s="35"/>
      <c r="D405" s="35"/>
    </row>
    <row r="406" spans="2:4" x14ac:dyDescent="0.25">
      <c r="B406" s="34"/>
      <c r="C406" s="35"/>
      <c r="D406" s="35"/>
    </row>
    <row r="407" spans="2:4" x14ac:dyDescent="0.25">
      <c r="B407" s="34"/>
      <c r="C407" s="35"/>
      <c r="D407" s="35"/>
    </row>
    <row r="408" spans="2:4" x14ac:dyDescent="0.25">
      <c r="B408" s="34"/>
      <c r="C408" s="35"/>
      <c r="D408" s="35"/>
    </row>
    <row r="409" spans="2:4" x14ac:dyDescent="0.25">
      <c r="B409" s="34"/>
      <c r="C409" s="35"/>
      <c r="D409" s="35"/>
    </row>
    <row r="410" spans="2:4" x14ac:dyDescent="0.25">
      <c r="B410" s="34"/>
      <c r="C410" s="35"/>
      <c r="D410" s="35"/>
    </row>
    <row r="411" spans="2:4" x14ac:dyDescent="0.25">
      <c r="B411" s="34"/>
      <c r="C411" s="35"/>
      <c r="D411" s="35"/>
    </row>
    <row r="412" spans="2:4" x14ac:dyDescent="0.25">
      <c r="B412" s="34"/>
      <c r="C412" s="35"/>
      <c r="D412" s="35"/>
    </row>
    <row r="413" spans="2:4" x14ac:dyDescent="0.25">
      <c r="B413" s="34"/>
      <c r="C413" s="35"/>
      <c r="D413" s="35"/>
    </row>
    <row r="414" spans="2:4" x14ac:dyDescent="0.25">
      <c r="B414" s="34"/>
      <c r="C414" s="35"/>
      <c r="D414" s="35"/>
    </row>
    <row r="415" spans="2:4" x14ac:dyDescent="0.25">
      <c r="B415" s="34"/>
      <c r="C415" s="35"/>
      <c r="D415" s="35"/>
    </row>
    <row r="416" spans="2:4" x14ac:dyDescent="0.25">
      <c r="B416" s="34"/>
      <c r="C416" s="35"/>
      <c r="D416" s="35"/>
    </row>
    <row r="417" spans="2:4" x14ac:dyDescent="0.25">
      <c r="B417" s="34"/>
      <c r="C417" s="35"/>
      <c r="D417" s="35"/>
    </row>
    <row r="418" spans="2:4" x14ac:dyDescent="0.25">
      <c r="B418" s="34"/>
      <c r="C418" s="35"/>
      <c r="D418" s="35"/>
    </row>
    <row r="419" spans="2:4" x14ac:dyDescent="0.25">
      <c r="B419" s="34"/>
      <c r="C419" s="35"/>
      <c r="D419" s="35"/>
    </row>
    <row r="420" spans="2:4" x14ac:dyDescent="0.25">
      <c r="B420" s="34"/>
      <c r="C420" s="35"/>
      <c r="D420" s="35"/>
    </row>
    <row r="421" spans="2:4" x14ac:dyDescent="0.25">
      <c r="B421" s="34"/>
      <c r="C421" s="35"/>
      <c r="D421" s="35"/>
    </row>
    <row r="422" spans="2:4" x14ac:dyDescent="0.25">
      <c r="B422" s="34"/>
      <c r="C422" s="35"/>
      <c r="D422" s="35"/>
    </row>
    <row r="423" spans="2:4" x14ac:dyDescent="0.25">
      <c r="B423" s="34"/>
      <c r="C423" s="35"/>
      <c r="D423" s="35"/>
    </row>
    <row r="424" spans="2:4" x14ac:dyDescent="0.25">
      <c r="B424" s="34"/>
      <c r="C424" s="35"/>
      <c r="D424" s="35"/>
    </row>
    <row r="425" spans="2:4" x14ac:dyDescent="0.25">
      <c r="B425" s="34"/>
      <c r="C425" s="35"/>
      <c r="D425" s="35"/>
    </row>
    <row r="426" spans="2:4" x14ac:dyDescent="0.25">
      <c r="B426" s="34"/>
      <c r="C426" s="35"/>
      <c r="D426" s="35"/>
    </row>
    <row r="427" spans="2:4" x14ac:dyDescent="0.25">
      <c r="B427" s="34"/>
      <c r="C427" s="35"/>
      <c r="D427" s="35"/>
    </row>
    <row r="428" spans="2:4" x14ac:dyDescent="0.25">
      <c r="B428" s="34"/>
      <c r="C428" s="35"/>
      <c r="D428" s="35"/>
    </row>
    <row r="429" spans="2:4" x14ac:dyDescent="0.25">
      <c r="B429" s="34"/>
      <c r="C429" s="35"/>
      <c r="D429" s="35"/>
    </row>
    <row r="430" spans="2:4" x14ac:dyDescent="0.25">
      <c r="B430" s="34"/>
      <c r="C430" s="35"/>
      <c r="D430" s="35"/>
    </row>
    <row r="431" spans="2:4" x14ac:dyDescent="0.25">
      <c r="B431" s="34"/>
      <c r="C431" s="35"/>
      <c r="D431" s="35"/>
    </row>
    <row r="432" spans="2:4" x14ac:dyDescent="0.25">
      <c r="B432" s="34"/>
      <c r="C432" s="35"/>
      <c r="D432" s="35"/>
    </row>
    <row r="433" spans="2:4" x14ac:dyDescent="0.25">
      <c r="B433" s="34"/>
      <c r="C433" s="35"/>
      <c r="D433" s="35"/>
    </row>
    <row r="434" spans="2:4" x14ac:dyDescent="0.25">
      <c r="B434" s="34"/>
      <c r="C434" s="35"/>
      <c r="D434" s="35"/>
    </row>
    <row r="435" spans="2:4" x14ac:dyDescent="0.25">
      <c r="B435" s="34"/>
      <c r="C435" s="35"/>
      <c r="D435" s="35"/>
    </row>
    <row r="436" spans="2:4" x14ac:dyDescent="0.25">
      <c r="C436" s="35"/>
      <c r="D436" s="35"/>
    </row>
    <row r="437" spans="2:4" x14ac:dyDescent="0.25">
      <c r="C437" s="35"/>
      <c r="D437" s="35"/>
    </row>
    <row r="438" spans="2:4" x14ac:dyDescent="0.25">
      <c r="C438" s="35"/>
      <c r="D438" s="35"/>
    </row>
    <row r="439" spans="2:4" x14ac:dyDescent="0.25">
      <c r="C439" s="35"/>
      <c r="D439" s="35"/>
    </row>
    <row r="440" spans="2:4" x14ac:dyDescent="0.25">
      <c r="C440" s="35"/>
      <c r="D440" s="35"/>
    </row>
    <row r="441" spans="2:4" x14ac:dyDescent="0.25">
      <c r="C441" s="35"/>
      <c r="D441" s="35"/>
    </row>
    <row r="442" spans="2:4" x14ac:dyDescent="0.25">
      <c r="C442" s="35"/>
      <c r="D442" s="35"/>
    </row>
    <row r="443" spans="2:4" x14ac:dyDescent="0.25">
      <c r="C443" s="35"/>
      <c r="D443" s="35"/>
    </row>
    <row r="444" spans="2:4" x14ac:dyDescent="0.25">
      <c r="C444" s="35"/>
      <c r="D444" s="35"/>
    </row>
    <row r="445" spans="2:4" x14ac:dyDescent="0.25">
      <c r="C445" s="35"/>
      <c r="D445" s="35"/>
    </row>
    <row r="446" spans="2:4" x14ac:dyDescent="0.25">
      <c r="C446" s="35"/>
      <c r="D446" s="35"/>
    </row>
    <row r="447" spans="2:4" x14ac:dyDescent="0.25">
      <c r="C447" s="35"/>
      <c r="D447" s="35"/>
    </row>
    <row r="448" spans="2:4" x14ac:dyDescent="0.25">
      <c r="C448" s="35"/>
      <c r="D448" s="35"/>
    </row>
    <row r="449" spans="3:4" x14ac:dyDescent="0.25">
      <c r="C449" s="35"/>
      <c r="D449" s="35"/>
    </row>
    <row r="450" spans="3:4" x14ac:dyDescent="0.25">
      <c r="C450" s="35"/>
      <c r="D450" s="35"/>
    </row>
    <row r="451" spans="3:4" x14ac:dyDescent="0.25">
      <c r="C451" s="35"/>
      <c r="D451" s="35"/>
    </row>
    <row r="452" spans="3:4" x14ac:dyDescent="0.25">
      <c r="C452" s="35"/>
      <c r="D452" s="35"/>
    </row>
    <row r="453" spans="3:4" x14ac:dyDescent="0.25">
      <c r="C453" s="35"/>
      <c r="D453" s="35"/>
    </row>
    <row r="454" spans="3:4" x14ac:dyDescent="0.25">
      <c r="C454" s="35"/>
      <c r="D454" s="35"/>
    </row>
    <row r="455" spans="3:4" x14ac:dyDescent="0.25">
      <c r="C455" s="35"/>
      <c r="D455" s="35"/>
    </row>
    <row r="456" spans="3:4" x14ac:dyDescent="0.25">
      <c r="C456" s="35"/>
      <c r="D456" s="35"/>
    </row>
    <row r="457" spans="3:4" x14ac:dyDescent="0.25">
      <c r="C457" s="35"/>
      <c r="D457" s="35"/>
    </row>
    <row r="458" spans="3:4" x14ac:dyDescent="0.25">
      <c r="C458" s="35"/>
      <c r="D458" s="35"/>
    </row>
    <row r="459" spans="3:4" x14ac:dyDescent="0.25">
      <c r="C459" s="35"/>
      <c r="D459" s="35"/>
    </row>
    <row r="460" spans="3:4" x14ac:dyDescent="0.25">
      <c r="C460" s="35"/>
      <c r="D460" s="35"/>
    </row>
    <row r="461" spans="3:4" x14ac:dyDescent="0.25">
      <c r="C461" s="35"/>
      <c r="D461" s="35"/>
    </row>
    <row r="462" spans="3:4" x14ac:dyDescent="0.25">
      <c r="C462" s="35"/>
      <c r="D462" s="35"/>
    </row>
    <row r="463" spans="3:4" x14ac:dyDescent="0.25">
      <c r="C463" s="35"/>
      <c r="D463" s="35"/>
    </row>
    <row r="464" spans="3:4" x14ac:dyDescent="0.25">
      <c r="C464" s="35"/>
      <c r="D464" s="35"/>
    </row>
    <row r="465" spans="3:4" x14ac:dyDescent="0.25">
      <c r="C465" s="35"/>
      <c r="D465" s="35"/>
    </row>
    <row r="466" spans="3:4" x14ac:dyDescent="0.25">
      <c r="C466" s="35"/>
      <c r="D466" s="35"/>
    </row>
    <row r="467" spans="3:4" x14ac:dyDescent="0.25">
      <c r="C467" s="35"/>
      <c r="D467" s="35"/>
    </row>
    <row r="468" spans="3:4" x14ac:dyDescent="0.25">
      <c r="C468" s="35"/>
      <c r="D468" s="35"/>
    </row>
    <row r="469" spans="3:4" x14ac:dyDescent="0.25">
      <c r="C469" s="35"/>
      <c r="D469" s="35"/>
    </row>
    <row r="470" spans="3:4" x14ac:dyDescent="0.25">
      <c r="C470" s="35"/>
      <c r="D470" s="35"/>
    </row>
    <row r="471" spans="3:4" x14ac:dyDescent="0.25">
      <c r="C471" s="35"/>
      <c r="D471" s="35"/>
    </row>
    <row r="472" spans="3:4" x14ac:dyDescent="0.25">
      <c r="C472" s="35"/>
      <c r="D472" s="35"/>
    </row>
    <row r="473" spans="3:4" x14ac:dyDescent="0.25">
      <c r="C473" s="35"/>
      <c r="D473" s="35"/>
    </row>
    <row r="474" spans="3:4" x14ac:dyDescent="0.25">
      <c r="C474" s="35"/>
      <c r="D474" s="35"/>
    </row>
    <row r="475" spans="3:4" x14ac:dyDescent="0.25">
      <c r="C475" s="35"/>
      <c r="D475" s="35"/>
    </row>
    <row r="476" spans="3:4" x14ac:dyDescent="0.25">
      <c r="C476" s="35"/>
      <c r="D476" s="35"/>
    </row>
    <row r="477" spans="3:4" x14ac:dyDescent="0.25">
      <c r="C477" s="35"/>
      <c r="D477" s="35"/>
    </row>
    <row r="478" spans="3:4" x14ac:dyDescent="0.25">
      <c r="C478" s="35"/>
      <c r="D478" s="35"/>
    </row>
  </sheetData>
  <sheetProtection selectLockedCells="1"/>
  <mergeCells count="319"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  <mergeCell ref="C15:D15"/>
    <mergeCell ref="C16:D16"/>
    <mergeCell ref="C17:D17"/>
    <mergeCell ref="C18:D18"/>
    <mergeCell ref="C19:D19"/>
    <mergeCell ref="C20:D20"/>
    <mergeCell ref="C21:D21"/>
    <mergeCell ref="C22:D22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</mergeCells>
  <dataValidations count="1">
    <dataValidation type="list" allowBlank="1" showInputMessage="1" showErrorMessage="1" sqref="G15:G59" xr:uid="{00000000-0002-0000-0100-000000000000}">
      <formula1>"Hall Rental, Supplies, Cards, Printing, Phone"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nsyExpensesFinancialsComplete">
              <controlPr defaultSize="0" print="0" autoFill="0" autoPict="0" macro="[0]!nonBeneFinancialsDone_Click">
                <anchor moveWithCells="1" sizeWithCells="1">
                  <from>
                    <xdr:col>5</xdr:col>
                    <xdr:colOff>19050</xdr:colOff>
                    <xdr:row>4</xdr:row>
                    <xdr:rowOff>9525</xdr:rowOff>
                  </from>
                  <to>
                    <xdr:col>5</xdr:col>
                    <xdr:colOff>1247775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T70"/>
  <sheetViews>
    <sheetView workbookViewId="0">
      <selection activeCell="C5" sqref="C5"/>
    </sheetView>
  </sheetViews>
  <sheetFormatPr defaultRowHeight="15" x14ac:dyDescent="0.25"/>
  <cols>
    <col min="1" max="1" width="10.28515625" style="1" customWidth="1"/>
    <col min="2" max="2" width="12.28515625" customWidth="1"/>
    <col min="3" max="3" width="18.42578125" customWidth="1"/>
    <col min="4" max="4" width="41.140625" customWidth="1"/>
    <col min="5" max="5" width="11.5703125" style="42" customWidth="1"/>
    <col min="6" max="8" width="9.140625" customWidth="1"/>
    <col min="9" max="9" width="4" customWidth="1"/>
    <col min="18" max="19" width="0" style="1" hidden="1" customWidth="1"/>
  </cols>
  <sheetData>
    <row r="1" spans="1:20" x14ac:dyDescent="0.25">
      <c r="A1" s="14">
        <f>SUM(C11:C112)</f>
        <v>82</v>
      </c>
      <c r="B1" s="30" t="s">
        <v>138</v>
      </c>
      <c r="Q1" s="2" t="s">
        <v>125</v>
      </c>
      <c r="R1" s="1">
        <f>ROUNDUP(SUM(R11:R58),0)</f>
        <v>0</v>
      </c>
      <c r="S1" s="1">
        <f>ROUNDUP(SUM(S11:S58),0)</f>
        <v>0</v>
      </c>
      <c r="T1" s="30" t="s">
        <v>126</v>
      </c>
    </row>
    <row r="2" spans="1:20" x14ac:dyDescent="0.25">
      <c r="A2"/>
      <c r="D2" s="187"/>
      <c r="E2" s="185"/>
    </row>
    <row r="3" spans="1:20" x14ac:dyDescent="0.25">
      <c r="A3"/>
      <c r="B3" s="33"/>
    </row>
    <row r="4" spans="1:20" x14ac:dyDescent="0.25">
      <c r="A4" s="25">
        <f>FCFSummaryPlayerCount</f>
        <v>28</v>
      </c>
      <c r="B4" s="188" t="s">
        <v>142</v>
      </c>
      <c r="C4" s="188"/>
      <c r="E4" s="71"/>
    </row>
    <row r="5" spans="1:20" ht="21" x14ac:dyDescent="0.35">
      <c r="A5"/>
      <c r="B5" s="70"/>
      <c r="D5" s="37"/>
    </row>
    <row r="6" spans="1:20" x14ac:dyDescent="0.25">
      <c r="A6" s="27" t="s">
        <v>115</v>
      </c>
      <c r="B6" s="15"/>
      <c r="C6" s="15"/>
    </row>
    <row r="7" spans="1:20" x14ac:dyDescent="0.25">
      <c r="A7" s="27"/>
      <c r="B7" s="15"/>
      <c r="C7" s="15"/>
      <c r="J7" s="104"/>
      <c r="K7" s="104"/>
      <c r="L7" s="104"/>
      <c r="M7" s="104"/>
      <c r="N7" s="104"/>
      <c r="O7" s="104"/>
    </row>
    <row r="8" spans="1:20" x14ac:dyDescent="0.25">
      <c r="A8" s="14">
        <f>FCFBenefitsTotal</f>
        <v>82</v>
      </c>
      <c r="B8" s="36" t="s">
        <v>127</v>
      </c>
      <c r="E8"/>
      <c r="J8" s="104"/>
      <c r="K8" s="104"/>
      <c r="L8" s="104"/>
      <c r="M8" s="104"/>
      <c r="N8" s="104"/>
      <c r="O8" s="104"/>
    </row>
    <row r="9" spans="1:20" x14ac:dyDescent="0.25">
      <c r="A9" s="27"/>
      <c r="B9" s="15"/>
      <c r="C9" s="15"/>
      <c r="E9" s="2" t="s">
        <v>124</v>
      </c>
      <c r="J9" s="104"/>
      <c r="K9" s="104"/>
      <c r="L9" s="104"/>
      <c r="M9" s="104"/>
      <c r="N9" s="104"/>
      <c r="O9" s="104"/>
      <c r="R9"/>
      <c r="S9"/>
    </row>
    <row r="10" spans="1:20" x14ac:dyDescent="0.25">
      <c r="A10" s="65" t="s">
        <v>73</v>
      </c>
      <c r="B10" s="26" t="s">
        <v>74</v>
      </c>
      <c r="C10" s="65" t="s">
        <v>122</v>
      </c>
      <c r="D10" s="66" t="s">
        <v>78</v>
      </c>
      <c r="E10" s="73" t="s">
        <v>123</v>
      </c>
    </row>
    <row r="11" spans="1:20" x14ac:dyDescent="0.25">
      <c r="A11" s="84"/>
      <c r="B11" s="79"/>
      <c r="C11" s="79">
        <v>82</v>
      </c>
      <c r="D11" s="80" t="s">
        <v>149</v>
      </c>
      <c r="E11" s="85" t="s">
        <v>148</v>
      </c>
      <c r="F11" s="72"/>
      <c r="R11" s="1">
        <f>IF($E11=1,+$C11,0)</f>
        <v>0</v>
      </c>
      <c r="S11" s="1">
        <f>IF($E11=2,+$C11,0)</f>
        <v>0</v>
      </c>
    </row>
    <row r="12" spans="1:20" x14ac:dyDescent="0.25">
      <c r="A12" s="86"/>
      <c r="B12" s="82"/>
      <c r="C12" s="82"/>
      <c r="D12" s="83"/>
      <c r="E12" s="85"/>
      <c r="F12" s="72"/>
      <c r="R12" s="1">
        <f t="shared" ref="R12:R56" si="0">IF($E12=1,+$C12,0)</f>
        <v>0</v>
      </c>
      <c r="S12" s="1">
        <f t="shared" ref="S12:S56" si="1">IF($E12=2,+$C12,0)</f>
        <v>0</v>
      </c>
    </row>
    <row r="13" spans="1:20" x14ac:dyDescent="0.25">
      <c r="A13" s="86"/>
      <c r="B13" s="82"/>
      <c r="C13" s="82"/>
      <c r="D13" s="83"/>
      <c r="E13" s="85"/>
      <c r="F13" s="72"/>
      <c r="R13" s="1">
        <f t="shared" si="0"/>
        <v>0</v>
      </c>
      <c r="S13" s="1">
        <f t="shared" si="1"/>
        <v>0</v>
      </c>
    </row>
    <row r="14" spans="1:20" x14ac:dyDescent="0.25">
      <c r="A14" s="84"/>
      <c r="B14" s="79"/>
      <c r="C14" s="79"/>
      <c r="D14" s="80"/>
      <c r="E14" s="85"/>
      <c r="R14" s="1">
        <f t="shared" si="0"/>
        <v>0</v>
      </c>
      <c r="S14" s="1">
        <f t="shared" si="1"/>
        <v>0</v>
      </c>
    </row>
    <row r="15" spans="1:20" x14ac:dyDescent="0.25">
      <c r="A15" s="84"/>
      <c r="B15" s="79"/>
      <c r="C15" s="79"/>
      <c r="D15" s="80"/>
      <c r="E15" s="85"/>
      <c r="R15" s="1">
        <f t="shared" si="0"/>
        <v>0</v>
      </c>
      <c r="S15" s="1">
        <f t="shared" si="1"/>
        <v>0</v>
      </c>
    </row>
    <row r="16" spans="1:20" x14ac:dyDescent="0.25">
      <c r="A16" s="86"/>
      <c r="B16" s="82"/>
      <c r="C16" s="79"/>
      <c r="D16" s="83"/>
      <c r="E16" s="85"/>
      <c r="R16" s="1">
        <f t="shared" si="0"/>
        <v>0</v>
      </c>
      <c r="S16" s="1">
        <f t="shared" si="1"/>
        <v>0</v>
      </c>
    </row>
    <row r="17" spans="1:19" x14ac:dyDescent="0.25">
      <c r="A17" s="84"/>
      <c r="B17" s="79"/>
      <c r="C17" s="79"/>
      <c r="D17" s="80"/>
      <c r="E17" s="85"/>
      <c r="R17" s="1">
        <f t="shared" si="0"/>
        <v>0</v>
      </c>
      <c r="S17" s="1">
        <f t="shared" si="1"/>
        <v>0</v>
      </c>
    </row>
    <row r="18" spans="1:19" x14ac:dyDescent="0.25">
      <c r="A18" s="86"/>
      <c r="B18" s="82"/>
      <c r="C18" s="79"/>
      <c r="D18" s="83"/>
      <c r="E18" s="85"/>
      <c r="R18" s="1">
        <f t="shared" si="0"/>
        <v>0</v>
      </c>
      <c r="S18" s="1">
        <f t="shared" si="1"/>
        <v>0</v>
      </c>
    </row>
    <row r="19" spans="1:19" x14ac:dyDescent="0.25">
      <c r="A19" s="84"/>
      <c r="B19" s="79"/>
      <c r="C19" s="79"/>
      <c r="D19" s="80"/>
      <c r="E19" s="85"/>
      <c r="R19" s="1">
        <f t="shared" si="0"/>
        <v>0</v>
      </c>
      <c r="S19" s="1">
        <f t="shared" si="1"/>
        <v>0</v>
      </c>
    </row>
    <row r="20" spans="1:19" x14ac:dyDescent="0.25">
      <c r="A20" s="84"/>
      <c r="B20" s="79"/>
      <c r="C20" s="79"/>
      <c r="D20" s="80"/>
      <c r="E20" s="85"/>
      <c r="R20" s="1">
        <f t="shared" si="0"/>
        <v>0</v>
      </c>
      <c r="S20" s="1">
        <f t="shared" si="1"/>
        <v>0</v>
      </c>
    </row>
    <row r="21" spans="1:19" x14ac:dyDescent="0.25">
      <c r="A21" s="84"/>
      <c r="B21" s="79"/>
      <c r="C21" s="79"/>
      <c r="D21" s="80"/>
      <c r="E21" s="85"/>
      <c r="R21" s="1">
        <f t="shared" si="0"/>
        <v>0</v>
      </c>
      <c r="S21" s="1">
        <f t="shared" si="1"/>
        <v>0</v>
      </c>
    </row>
    <row r="22" spans="1:19" x14ac:dyDescent="0.25">
      <c r="A22" s="84"/>
      <c r="B22" s="79"/>
      <c r="C22" s="79"/>
      <c r="D22" s="80"/>
      <c r="E22" s="85"/>
      <c r="R22" s="1">
        <f t="shared" si="0"/>
        <v>0</v>
      </c>
      <c r="S22" s="1">
        <f t="shared" si="1"/>
        <v>0</v>
      </c>
    </row>
    <row r="23" spans="1:19" x14ac:dyDescent="0.25">
      <c r="A23" s="84"/>
      <c r="B23" s="79"/>
      <c r="C23" s="79"/>
      <c r="D23" s="80"/>
      <c r="E23" s="85"/>
      <c r="R23" s="1">
        <f t="shared" si="0"/>
        <v>0</v>
      </c>
      <c r="S23" s="1">
        <f t="shared" si="1"/>
        <v>0</v>
      </c>
    </row>
    <row r="24" spans="1:19" x14ac:dyDescent="0.25">
      <c r="A24" s="84"/>
      <c r="B24" s="79"/>
      <c r="C24" s="79"/>
      <c r="D24" s="80"/>
      <c r="E24" s="85"/>
      <c r="R24" s="1">
        <f t="shared" si="0"/>
        <v>0</v>
      </c>
      <c r="S24" s="1">
        <f t="shared" si="1"/>
        <v>0</v>
      </c>
    </row>
    <row r="25" spans="1:19" x14ac:dyDescent="0.25">
      <c r="A25" s="84"/>
      <c r="B25" s="79"/>
      <c r="C25" s="79"/>
      <c r="D25" s="80"/>
      <c r="E25" s="85"/>
      <c r="R25" s="1">
        <f t="shared" si="0"/>
        <v>0</v>
      </c>
      <c r="S25" s="1">
        <f t="shared" si="1"/>
        <v>0</v>
      </c>
    </row>
    <row r="26" spans="1:19" x14ac:dyDescent="0.25">
      <c r="A26" s="84"/>
      <c r="B26" s="79"/>
      <c r="C26" s="79"/>
      <c r="D26" s="80"/>
      <c r="E26" s="85"/>
      <c r="R26" s="1">
        <f t="shared" si="0"/>
        <v>0</v>
      </c>
      <c r="S26" s="1">
        <f t="shared" si="1"/>
        <v>0</v>
      </c>
    </row>
    <row r="27" spans="1:19" x14ac:dyDescent="0.25">
      <c r="A27" s="84"/>
      <c r="B27" s="79"/>
      <c r="C27" s="79"/>
      <c r="D27" s="80"/>
      <c r="E27" s="85"/>
      <c r="R27" s="1">
        <f t="shared" si="0"/>
        <v>0</v>
      </c>
      <c r="S27" s="1">
        <f t="shared" si="1"/>
        <v>0</v>
      </c>
    </row>
    <row r="28" spans="1:19" x14ac:dyDescent="0.25">
      <c r="A28" s="84"/>
      <c r="B28" s="79"/>
      <c r="C28" s="79"/>
      <c r="D28" s="80"/>
      <c r="E28" s="85"/>
      <c r="R28" s="1">
        <f t="shared" si="0"/>
        <v>0</v>
      </c>
      <c r="S28" s="1">
        <f t="shared" si="1"/>
        <v>0</v>
      </c>
    </row>
    <row r="29" spans="1:19" x14ac:dyDescent="0.25">
      <c r="A29" s="84"/>
      <c r="B29" s="79"/>
      <c r="C29" s="79"/>
      <c r="D29" s="80"/>
      <c r="E29" s="85"/>
      <c r="R29" s="1">
        <f t="shared" si="0"/>
        <v>0</v>
      </c>
      <c r="S29" s="1">
        <f t="shared" si="1"/>
        <v>0</v>
      </c>
    </row>
    <row r="30" spans="1:19" x14ac:dyDescent="0.25">
      <c r="A30" s="84"/>
      <c r="B30" s="79"/>
      <c r="C30" s="79"/>
      <c r="D30" s="80"/>
      <c r="E30" s="85"/>
      <c r="R30" s="1">
        <f t="shared" si="0"/>
        <v>0</v>
      </c>
      <c r="S30" s="1">
        <f t="shared" si="1"/>
        <v>0</v>
      </c>
    </row>
    <row r="31" spans="1:19" x14ac:dyDescent="0.25">
      <c r="A31" s="84"/>
      <c r="B31" s="79"/>
      <c r="C31" s="79"/>
      <c r="D31" s="80"/>
      <c r="E31" s="85"/>
      <c r="R31" s="1">
        <f t="shared" si="0"/>
        <v>0</v>
      </c>
      <c r="S31" s="1">
        <f t="shared" si="1"/>
        <v>0</v>
      </c>
    </row>
    <row r="32" spans="1:19" x14ac:dyDescent="0.25">
      <c r="A32" s="87"/>
      <c r="B32" s="88"/>
      <c r="C32" s="88"/>
      <c r="D32" s="89"/>
      <c r="E32" s="85"/>
      <c r="R32" s="1">
        <f t="shared" si="0"/>
        <v>0</v>
      </c>
      <c r="S32" s="1">
        <f t="shared" si="1"/>
        <v>0</v>
      </c>
    </row>
    <row r="33" spans="1:19" x14ac:dyDescent="0.25">
      <c r="A33" s="84"/>
      <c r="B33" s="79"/>
      <c r="C33" s="79"/>
      <c r="D33" s="80"/>
      <c r="E33" s="85"/>
      <c r="R33" s="1">
        <f t="shared" si="0"/>
        <v>0</v>
      </c>
      <c r="S33" s="1">
        <f t="shared" si="1"/>
        <v>0</v>
      </c>
    </row>
    <row r="34" spans="1:19" x14ac:dyDescent="0.25">
      <c r="A34" s="84"/>
      <c r="B34" s="79"/>
      <c r="C34" s="79"/>
      <c r="D34" s="80"/>
      <c r="E34" s="85"/>
      <c r="R34" s="1">
        <f t="shared" si="0"/>
        <v>0</v>
      </c>
      <c r="S34" s="1">
        <f t="shared" si="1"/>
        <v>0</v>
      </c>
    </row>
    <row r="35" spans="1:19" x14ac:dyDescent="0.25">
      <c r="A35" s="84"/>
      <c r="B35" s="79"/>
      <c r="C35" s="79"/>
      <c r="D35" s="80"/>
      <c r="E35" s="85"/>
      <c r="R35" s="1">
        <f t="shared" si="0"/>
        <v>0</v>
      </c>
      <c r="S35" s="1">
        <f t="shared" si="1"/>
        <v>0</v>
      </c>
    </row>
    <row r="36" spans="1:19" x14ac:dyDescent="0.25">
      <c r="A36" s="84"/>
      <c r="B36" s="79"/>
      <c r="C36" s="79"/>
      <c r="D36" s="80"/>
      <c r="E36" s="85"/>
      <c r="R36" s="1">
        <f t="shared" si="0"/>
        <v>0</v>
      </c>
      <c r="S36" s="1">
        <f t="shared" si="1"/>
        <v>0</v>
      </c>
    </row>
    <row r="37" spans="1:19" x14ac:dyDescent="0.25">
      <c r="A37" s="84"/>
      <c r="B37" s="79"/>
      <c r="C37" s="79"/>
      <c r="D37" s="80"/>
      <c r="E37" s="85"/>
      <c r="R37" s="1">
        <f t="shared" si="0"/>
        <v>0</v>
      </c>
      <c r="S37" s="1">
        <f t="shared" si="1"/>
        <v>0</v>
      </c>
    </row>
    <row r="38" spans="1:19" x14ac:dyDescent="0.25">
      <c r="A38" s="84"/>
      <c r="B38" s="79"/>
      <c r="C38" s="79"/>
      <c r="D38" s="80"/>
      <c r="E38" s="85"/>
      <c r="R38" s="1">
        <f t="shared" si="0"/>
        <v>0</v>
      </c>
      <c r="S38" s="1">
        <f t="shared" si="1"/>
        <v>0</v>
      </c>
    </row>
    <row r="39" spans="1:19" x14ac:dyDescent="0.25">
      <c r="A39" s="84"/>
      <c r="B39" s="79"/>
      <c r="C39" s="79"/>
      <c r="D39" s="80"/>
      <c r="E39" s="85"/>
      <c r="R39" s="1">
        <f t="shared" si="0"/>
        <v>0</v>
      </c>
      <c r="S39" s="1">
        <f t="shared" si="1"/>
        <v>0</v>
      </c>
    </row>
    <row r="40" spans="1:19" x14ac:dyDescent="0.25">
      <c r="A40" s="84"/>
      <c r="B40" s="79"/>
      <c r="C40" s="79"/>
      <c r="D40" s="80"/>
      <c r="E40" s="85"/>
      <c r="R40" s="1">
        <f t="shared" si="0"/>
        <v>0</v>
      </c>
      <c r="S40" s="1">
        <f t="shared" si="1"/>
        <v>0</v>
      </c>
    </row>
    <row r="41" spans="1:19" x14ac:dyDescent="0.25">
      <c r="A41" s="84"/>
      <c r="B41" s="79"/>
      <c r="C41" s="79"/>
      <c r="D41" s="80"/>
      <c r="E41" s="85"/>
      <c r="R41" s="1">
        <f t="shared" si="0"/>
        <v>0</v>
      </c>
      <c r="S41" s="1">
        <f t="shared" si="1"/>
        <v>0</v>
      </c>
    </row>
    <row r="42" spans="1:19" x14ac:dyDescent="0.25">
      <c r="A42" s="84"/>
      <c r="B42" s="79"/>
      <c r="C42" s="79"/>
      <c r="D42" s="80"/>
      <c r="E42" s="85"/>
      <c r="R42" s="1">
        <f t="shared" si="0"/>
        <v>0</v>
      </c>
      <c r="S42" s="1">
        <f t="shared" si="1"/>
        <v>0</v>
      </c>
    </row>
    <row r="43" spans="1:19" x14ac:dyDescent="0.25">
      <c r="A43" s="84"/>
      <c r="B43" s="79"/>
      <c r="C43" s="79"/>
      <c r="D43" s="80"/>
      <c r="E43" s="85"/>
      <c r="R43" s="1">
        <f t="shared" si="0"/>
        <v>0</v>
      </c>
      <c r="S43" s="1">
        <f t="shared" si="1"/>
        <v>0</v>
      </c>
    </row>
    <row r="44" spans="1:19" x14ac:dyDescent="0.25">
      <c r="A44" s="84"/>
      <c r="B44" s="79"/>
      <c r="C44" s="79"/>
      <c r="D44" s="80"/>
      <c r="E44" s="85"/>
      <c r="R44" s="1">
        <f t="shared" si="0"/>
        <v>0</v>
      </c>
      <c r="S44" s="1">
        <f t="shared" si="1"/>
        <v>0</v>
      </c>
    </row>
    <row r="45" spans="1:19" x14ac:dyDescent="0.25">
      <c r="A45" s="84"/>
      <c r="B45" s="79"/>
      <c r="C45" s="79"/>
      <c r="D45" s="80"/>
      <c r="E45" s="85"/>
      <c r="R45" s="1">
        <f t="shared" si="0"/>
        <v>0</v>
      </c>
      <c r="S45" s="1">
        <f t="shared" si="1"/>
        <v>0</v>
      </c>
    </row>
    <row r="46" spans="1:19" x14ac:dyDescent="0.25">
      <c r="A46" s="84"/>
      <c r="B46" s="79"/>
      <c r="C46" s="79"/>
      <c r="D46" s="80"/>
      <c r="E46" s="85"/>
      <c r="R46" s="1">
        <f t="shared" si="0"/>
        <v>0</v>
      </c>
      <c r="S46" s="1">
        <f t="shared" si="1"/>
        <v>0</v>
      </c>
    </row>
    <row r="47" spans="1:19" x14ac:dyDescent="0.25">
      <c r="A47" s="84"/>
      <c r="B47" s="79"/>
      <c r="C47" s="79"/>
      <c r="D47" s="80"/>
      <c r="E47" s="85"/>
      <c r="R47" s="1">
        <f t="shared" si="0"/>
        <v>0</v>
      </c>
      <c r="S47" s="1">
        <f t="shared" si="1"/>
        <v>0</v>
      </c>
    </row>
    <row r="48" spans="1:19" x14ac:dyDescent="0.25">
      <c r="A48" s="84"/>
      <c r="B48" s="79"/>
      <c r="C48" s="79"/>
      <c r="D48" s="80"/>
      <c r="E48" s="85"/>
      <c r="R48" s="1">
        <f t="shared" si="0"/>
        <v>0</v>
      </c>
      <c r="S48" s="1">
        <f t="shared" si="1"/>
        <v>0</v>
      </c>
    </row>
    <row r="49" spans="1:19" x14ac:dyDescent="0.25">
      <c r="A49" s="84"/>
      <c r="B49" s="79"/>
      <c r="C49" s="79"/>
      <c r="D49" s="80"/>
      <c r="E49" s="85"/>
      <c r="R49" s="1">
        <f t="shared" si="0"/>
        <v>0</v>
      </c>
      <c r="S49" s="1">
        <f t="shared" si="1"/>
        <v>0</v>
      </c>
    </row>
    <row r="50" spans="1:19" x14ac:dyDescent="0.25">
      <c r="A50" s="86"/>
      <c r="B50" s="82"/>
      <c r="C50" s="82"/>
      <c r="D50" s="83"/>
      <c r="E50" s="85"/>
      <c r="R50" s="1">
        <f t="shared" si="0"/>
        <v>0</v>
      </c>
      <c r="S50" s="1">
        <f t="shared" si="1"/>
        <v>0</v>
      </c>
    </row>
    <row r="51" spans="1:19" x14ac:dyDescent="0.25">
      <c r="A51" s="84"/>
      <c r="B51" s="79"/>
      <c r="C51" s="79"/>
      <c r="D51" s="80"/>
      <c r="E51" s="85"/>
      <c r="R51" s="1">
        <f t="shared" si="0"/>
        <v>0</v>
      </c>
      <c r="S51" s="1">
        <f t="shared" si="1"/>
        <v>0</v>
      </c>
    </row>
    <row r="52" spans="1:19" x14ac:dyDescent="0.25">
      <c r="A52" s="84"/>
      <c r="B52" s="79"/>
      <c r="C52" s="79"/>
      <c r="D52" s="80"/>
      <c r="E52" s="85"/>
      <c r="R52" s="1">
        <f t="shared" si="0"/>
        <v>0</v>
      </c>
      <c r="S52" s="1">
        <f t="shared" si="1"/>
        <v>0</v>
      </c>
    </row>
    <row r="53" spans="1:19" x14ac:dyDescent="0.25">
      <c r="A53" s="84"/>
      <c r="B53" s="79"/>
      <c r="C53" s="79"/>
      <c r="D53" s="80"/>
      <c r="E53" s="85"/>
      <c r="R53" s="1">
        <f t="shared" si="0"/>
        <v>0</v>
      </c>
      <c r="S53" s="1">
        <f t="shared" si="1"/>
        <v>0</v>
      </c>
    </row>
    <row r="54" spans="1:19" x14ac:dyDescent="0.25">
      <c r="A54" s="84"/>
      <c r="B54" s="79"/>
      <c r="C54" s="79"/>
      <c r="D54" s="80"/>
      <c r="E54" s="85"/>
      <c r="R54" s="1">
        <f t="shared" si="0"/>
        <v>0</v>
      </c>
      <c r="S54" s="1">
        <f t="shared" si="1"/>
        <v>0</v>
      </c>
    </row>
    <row r="55" spans="1:19" x14ac:dyDescent="0.25">
      <c r="A55" s="84"/>
      <c r="B55" s="79"/>
      <c r="C55" s="79"/>
      <c r="D55" s="80"/>
      <c r="E55" s="85"/>
      <c r="R55" s="1">
        <f t="shared" si="0"/>
        <v>0</v>
      </c>
      <c r="S55" s="1">
        <f t="shared" si="1"/>
        <v>0</v>
      </c>
    </row>
    <row r="56" spans="1:19" x14ac:dyDescent="0.25">
      <c r="A56" s="84"/>
      <c r="B56" s="79"/>
      <c r="C56" s="79"/>
      <c r="D56" s="80"/>
      <c r="E56" s="85"/>
      <c r="R56" s="1">
        <f t="shared" si="0"/>
        <v>0</v>
      </c>
      <c r="S56" s="1">
        <f t="shared" si="1"/>
        <v>0</v>
      </c>
    </row>
    <row r="57" spans="1:19" x14ac:dyDescent="0.25">
      <c r="A57" s="74"/>
      <c r="B57" s="75"/>
      <c r="C57" s="75"/>
      <c r="D57" s="76"/>
      <c r="E57" s="77"/>
      <c r="R57" s="1">
        <f t="shared" ref="R57:R58" si="2">IF($E57=1,+$C57,0)</f>
        <v>0</v>
      </c>
      <c r="S57" s="1">
        <f t="shared" ref="S57:S58" si="3">IF($E57=2,+$C57,0)</f>
        <v>0</v>
      </c>
    </row>
    <row r="58" spans="1:19" x14ac:dyDescent="0.25">
      <c r="B58" s="29"/>
      <c r="C58" s="29"/>
      <c r="R58" s="1">
        <f t="shared" si="2"/>
        <v>0</v>
      </c>
      <c r="S58" s="1">
        <f t="shared" si="3"/>
        <v>0</v>
      </c>
    </row>
    <row r="59" spans="1:19" x14ac:dyDescent="0.25">
      <c r="C59" s="29"/>
    </row>
    <row r="60" spans="1:19" x14ac:dyDescent="0.25">
      <c r="C60" s="29"/>
    </row>
    <row r="61" spans="1:19" x14ac:dyDescent="0.25">
      <c r="C61" s="29"/>
    </row>
    <row r="62" spans="1:19" x14ac:dyDescent="0.25">
      <c r="C62" s="29"/>
    </row>
    <row r="63" spans="1:19" x14ac:dyDescent="0.25">
      <c r="C63" s="29"/>
    </row>
    <row r="64" spans="1:19" x14ac:dyDescent="0.25">
      <c r="C64" s="29"/>
    </row>
    <row r="65" spans="3:3" x14ac:dyDescent="0.25">
      <c r="C65" s="29"/>
    </row>
    <row r="66" spans="3:3" x14ac:dyDescent="0.25">
      <c r="C66" s="29"/>
    </row>
    <row r="67" spans="3:3" x14ac:dyDescent="0.25">
      <c r="C67" s="29"/>
    </row>
    <row r="68" spans="3:3" x14ac:dyDescent="0.25">
      <c r="C68" s="29"/>
    </row>
    <row r="69" spans="3:3" x14ac:dyDescent="0.25">
      <c r="C69" s="29"/>
    </row>
    <row r="70" spans="3:3" x14ac:dyDescent="0.25">
      <c r="C70" s="29"/>
    </row>
  </sheetData>
  <sheetProtection selectLockedCells="1"/>
  <mergeCells count="2">
    <mergeCell ref="D2:E2"/>
    <mergeCell ref="B4:C4"/>
  </mergeCells>
  <dataValidations count="1">
    <dataValidation type="list" allowBlank="1" showInputMessage="1" showErrorMessage="1" sqref="E11:E56" xr:uid="{00000000-0002-0000-0200-000000000000}">
      <formula1>"Prizes, Trophies,Meals,Drinks,Charity"</formula1>
    </dataValidation>
  </dataValidation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ConsBenefitsFinancialsComplete">
              <controlPr defaultSize="0" print="0" autoFill="0" autoPict="0" macro="[0]!beneFinancialsDone_Click">
                <anchor moveWithCells="1" sizeWithCells="1">
                  <from>
                    <xdr:col>3</xdr:col>
                    <xdr:colOff>3514725</xdr:colOff>
                    <xdr:row>3</xdr:row>
                    <xdr:rowOff>142875</xdr:rowOff>
                  </from>
                  <to>
                    <xdr:col>5</xdr:col>
                    <xdr:colOff>447675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39"/>
  <sheetViews>
    <sheetView topLeftCell="A5" zoomScaleNormal="100" workbookViewId="0">
      <selection activeCell="E5" sqref="E5"/>
    </sheetView>
  </sheetViews>
  <sheetFormatPr defaultColWidth="24.140625" defaultRowHeight="31.5" x14ac:dyDescent="0.5"/>
  <cols>
    <col min="1" max="1" width="38.140625" style="57" customWidth="1"/>
    <col min="2" max="2" width="3.85546875" style="57" customWidth="1"/>
    <col min="3" max="3" width="42.85546875" style="58" customWidth="1"/>
    <col min="5" max="5" width="24.140625" style="58"/>
    <col min="6" max="16384" width="24.140625" style="57"/>
  </cols>
  <sheetData>
    <row r="1" spans="1:3" ht="54.75" customHeight="1" x14ac:dyDescent="0.9">
      <c r="A1" s="189" t="s">
        <v>133</v>
      </c>
      <c r="B1" s="189"/>
      <c r="C1" s="189"/>
    </row>
    <row r="2" spans="1:3" ht="36" customHeight="1" x14ac:dyDescent="0.9">
      <c r="A2" s="59"/>
      <c r="B2" s="59"/>
      <c r="C2" s="60"/>
    </row>
    <row r="3" spans="1:3" ht="61.5" x14ac:dyDescent="0.9">
      <c r="A3" s="189"/>
      <c r="B3" s="189"/>
      <c r="C3" s="189"/>
    </row>
    <row r="4" spans="1:3" ht="36" customHeight="1" x14ac:dyDescent="0.9">
      <c r="A4" s="59"/>
      <c r="B4" s="59"/>
      <c r="C4" s="60"/>
    </row>
    <row r="5" spans="1:3" ht="61.5" x14ac:dyDescent="0.9">
      <c r="A5" s="60" t="s">
        <v>116</v>
      </c>
      <c r="B5" s="60"/>
      <c r="C5" s="60" t="s">
        <v>143</v>
      </c>
    </row>
    <row r="6" spans="1:3" ht="61.5" x14ac:dyDescent="0.9">
      <c r="A6" s="63" t="s">
        <v>152</v>
      </c>
      <c r="B6" s="63" t="s">
        <v>117</v>
      </c>
      <c r="C6" s="61">
        <v>260</v>
      </c>
    </row>
    <row r="7" spans="1:3" ht="61.5" x14ac:dyDescent="0.9">
      <c r="A7" s="63" t="s">
        <v>153</v>
      </c>
      <c r="B7" s="63" t="s">
        <v>117</v>
      </c>
      <c r="C7" s="61">
        <v>170</v>
      </c>
    </row>
    <row r="8" spans="1:3" ht="61.5" x14ac:dyDescent="0.9">
      <c r="A8" s="63" t="s">
        <v>146</v>
      </c>
      <c r="B8" s="63" t="s">
        <v>117</v>
      </c>
      <c r="C8" s="61">
        <v>85</v>
      </c>
    </row>
    <row r="9" spans="1:3" ht="61.5" x14ac:dyDescent="0.9">
      <c r="A9" s="63" t="s">
        <v>147</v>
      </c>
      <c r="B9" s="63" t="s">
        <v>117</v>
      </c>
      <c r="C9" s="61">
        <v>45</v>
      </c>
    </row>
    <row r="10" spans="1:3" ht="61.5" x14ac:dyDescent="0.9">
      <c r="A10" s="63"/>
      <c r="B10" s="63" t="s">
        <v>117</v>
      </c>
      <c r="C10" s="61" t="s">
        <v>151</v>
      </c>
    </row>
    <row r="11" spans="1:3" ht="61.5" x14ac:dyDescent="0.9">
      <c r="A11" s="62"/>
      <c r="B11" s="63" t="s">
        <v>117</v>
      </c>
      <c r="C11" s="61" t="s">
        <v>151</v>
      </c>
    </row>
    <row r="12" spans="1:3" x14ac:dyDescent="0.5">
      <c r="A12" s="58"/>
      <c r="B12" s="58"/>
    </row>
    <row r="13" spans="1:3" x14ac:dyDescent="0.5">
      <c r="A13" s="58"/>
      <c r="B13" s="58"/>
    </row>
    <row r="14" spans="1:3" x14ac:dyDescent="0.5">
      <c r="A14" s="58"/>
      <c r="B14" s="58"/>
    </row>
    <row r="15" spans="1:3" x14ac:dyDescent="0.5">
      <c r="A15" s="58"/>
      <c r="B15" s="58"/>
    </row>
    <row r="16" spans="1:3" x14ac:dyDescent="0.5">
      <c r="A16" s="58"/>
      <c r="B16" s="58"/>
    </row>
    <row r="17" spans="1:7" x14ac:dyDescent="0.5">
      <c r="A17" s="58"/>
      <c r="B17" s="58"/>
    </row>
    <row r="18" spans="1:7" x14ac:dyDescent="0.5">
      <c r="A18" s="138"/>
      <c r="B18" s="58"/>
    </row>
    <row r="19" spans="1:7" x14ac:dyDescent="0.5">
      <c r="A19" s="58"/>
      <c r="B19" s="58"/>
    </row>
    <row r="20" spans="1:7" x14ac:dyDescent="0.5">
      <c r="A20" s="58"/>
      <c r="B20" s="58"/>
    </row>
    <row r="21" spans="1:7" x14ac:dyDescent="0.5">
      <c r="A21" s="58"/>
      <c r="B21" s="58"/>
    </row>
    <row r="22" spans="1:7" x14ac:dyDescent="0.5">
      <c r="A22" s="58"/>
      <c r="B22" s="58"/>
    </row>
    <row r="29" spans="1:7" x14ac:dyDescent="0.5">
      <c r="A29" s="135"/>
      <c r="B29" s="135"/>
      <c r="C29" s="136"/>
      <c r="D29" s="137"/>
      <c r="E29" s="136"/>
      <c r="F29" s="135"/>
      <c r="G29" s="135"/>
    </row>
    <row r="30" spans="1:7" x14ac:dyDescent="0.5">
      <c r="A30" s="135"/>
      <c r="B30" s="135"/>
      <c r="C30" s="136"/>
      <c r="D30" s="137"/>
      <c r="E30" s="136"/>
      <c r="F30" s="135"/>
      <c r="G30" s="135"/>
    </row>
    <row r="31" spans="1:7" x14ac:dyDescent="0.5">
      <c r="A31" s="135"/>
      <c r="B31" s="135"/>
      <c r="C31" s="136"/>
      <c r="D31" s="137"/>
      <c r="E31" s="136"/>
      <c r="F31" s="135"/>
      <c r="G31" s="135"/>
    </row>
    <row r="32" spans="1:7" x14ac:dyDescent="0.5">
      <c r="A32" s="135"/>
      <c r="B32" s="135"/>
      <c r="C32" s="136"/>
      <c r="D32" s="137"/>
      <c r="E32" s="136"/>
      <c r="F32" s="135"/>
      <c r="G32" s="135"/>
    </row>
    <row r="33" spans="1:7" x14ac:dyDescent="0.5">
      <c r="A33" s="135"/>
      <c r="B33" s="135"/>
      <c r="C33" s="136"/>
      <c r="D33" s="137"/>
      <c r="E33" s="136"/>
      <c r="F33" s="135"/>
      <c r="G33" s="135"/>
    </row>
    <row r="34" spans="1:7" x14ac:dyDescent="0.5">
      <c r="A34" s="135"/>
      <c r="B34" s="135"/>
      <c r="C34" s="136"/>
      <c r="D34" s="137"/>
      <c r="E34" s="136"/>
      <c r="F34" s="135"/>
      <c r="G34" s="135"/>
    </row>
    <row r="35" spans="1:7" x14ac:dyDescent="0.5">
      <c r="A35" s="135"/>
      <c r="B35" s="135"/>
      <c r="C35" s="136"/>
      <c r="D35" s="137"/>
      <c r="E35" s="136"/>
      <c r="F35" s="135"/>
      <c r="G35" s="135"/>
    </row>
    <row r="36" spans="1:7" x14ac:dyDescent="0.5">
      <c r="A36" s="135"/>
      <c r="B36" s="135"/>
      <c r="C36" s="136"/>
      <c r="D36" s="137"/>
      <c r="E36" s="136"/>
      <c r="F36" s="135"/>
      <c r="G36" s="135"/>
    </row>
    <row r="37" spans="1:7" x14ac:dyDescent="0.5">
      <c r="A37" s="135"/>
      <c r="B37" s="135"/>
      <c r="C37" s="136"/>
      <c r="D37" s="137"/>
      <c r="E37" s="136"/>
      <c r="F37" s="135"/>
      <c r="G37" s="135"/>
    </row>
    <row r="38" spans="1:7" x14ac:dyDescent="0.5">
      <c r="A38" s="135"/>
      <c r="B38" s="135"/>
      <c r="C38" s="136"/>
      <c r="D38" s="137"/>
      <c r="E38" s="136"/>
      <c r="F38" s="135"/>
      <c r="G38" s="135"/>
    </row>
    <row r="39" spans="1:7" x14ac:dyDescent="0.5">
      <c r="A39" s="135"/>
      <c r="B39" s="135"/>
      <c r="C39" s="136"/>
      <c r="D39" s="137"/>
      <c r="E39" s="136"/>
      <c r="F39" s="135"/>
      <c r="G39" s="135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32"/>
  <sheetViews>
    <sheetView workbookViewId="0">
      <selection activeCell="C4" sqref="C4"/>
    </sheetView>
  </sheetViews>
  <sheetFormatPr defaultRowHeight="28.5" x14ac:dyDescent="0.45"/>
  <cols>
    <col min="1" max="1" width="13.85546875" style="95" bestFit="1" customWidth="1"/>
    <col min="2" max="2" width="4.140625" style="93" customWidth="1"/>
    <col min="3" max="3" width="14.5703125" style="93" bestFit="1" customWidth="1"/>
    <col min="4" max="4" width="5" style="93" customWidth="1"/>
    <col min="5" max="5" width="61.140625" style="91" customWidth="1"/>
    <col min="6" max="7" width="10.85546875" style="93" customWidth="1"/>
    <col min="8" max="16384" width="9.140625" style="91"/>
  </cols>
  <sheetData>
    <row r="1" spans="1:5" x14ac:dyDescent="0.45">
      <c r="A1" s="190" t="s">
        <v>128</v>
      </c>
      <c r="B1" s="190"/>
      <c r="C1" s="190"/>
      <c r="D1" s="98"/>
      <c r="E1" s="93" t="s">
        <v>133</v>
      </c>
    </row>
    <row r="3" spans="1:5" x14ac:dyDescent="0.45">
      <c r="A3" s="92" t="s">
        <v>116</v>
      </c>
      <c r="C3" s="94" t="s">
        <v>129</v>
      </c>
      <c r="E3" s="93" t="s">
        <v>130</v>
      </c>
    </row>
    <row r="4" spans="1:5" x14ac:dyDescent="0.45">
      <c r="A4" s="93" t="str">
        <f>IF(C4&lt;&gt;"","1","")</f>
        <v>1</v>
      </c>
      <c r="B4" s="93" t="str">
        <f>IF(C4&lt;&gt;"","-","")</f>
        <v>-</v>
      </c>
      <c r="C4" s="97">
        <f>IF(ConsySummary!F31&gt;0,ConsySummary!F31,"")</f>
        <v>260</v>
      </c>
      <c r="E4" s="96"/>
    </row>
    <row r="5" spans="1:5" x14ac:dyDescent="0.45">
      <c r="A5" s="93" t="str">
        <f>IF(C5&lt;&gt;"","2","")</f>
        <v>2</v>
      </c>
      <c r="B5" s="93" t="str">
        <f t="shared" ref="B5:B32" si="0">IF(C5&lt;&gt;"","-","")</f>
        <v>-</v>
      </c>
      <c r="C5" s="97">
        <f>IF(ConsySummary!F32&gt;0,ConsySummary!F32,"")</f>
        <v>170</v>
      </c>
      <c r="E5" s="96"/>
    </row>
    <row r="6" spans="1:5" x14ac:dyDescent="0.45">
      <c r="A6" s="93" t="str">
        <f>IF(C6&lt;&gt;"","3-4","")</f>
        <v>3-4</v>
      </c>
      <c r="B6" s="93" t="str">
        <f t="shared" si="0"/>
        <v>-</v>
      </c>
      <c r="C6" s="97">
        <f>IF(ConsySummary!F33&gt;0,ConsySummary!F33,"")</f>
        <v>85</v>
      </c>
      <c r="E6" s="96"/>
    </row>
    <row r="7" spans="1:5" x14ac:dyDescent="0.45">
      <c r="A7" s="93" t="str">
        <f>IF(C7&lt;&gt;"","3-4","")</f>
        <v>3-4</v>
      </c>
      <c r="B7" s="93" t="str">
        <f t="shared" si="0"/>
        <v>-</v>
      </c>
      <c r="C7" s="97">
        <f>IF(ConsySummary!F34&gt;0,ConsySummary!F34,"")</f>
        <v>85</v>
      </c>
      <c r="E7" s="96"/>
    </row>
    <row r="8" spans="1:5" x14ac:dyDescent="0.45">
      <c r="A8" s="93" t="str">
        <f>IF(C8&lt;&gt;"","5-8","")</f>
        <v>5-8</v>
      </c>
      <c r="B8" s="93" t="str">
        <f t="shared" si="0"/>
        <v>-</v>
      </c>
      <c r="C8" s="97">
        <f>IF(ConsySummary!F35&gt;0,ConsySummary!F35,"")</f>
        <v>45</v>
      </c>
      <c r="E8" s="96"/>
    </row>
    <row r="9" spans="1:5" x14ac:dyDescent="0.45">
      <c r="A9" s="93" t="str">
        <f t="shared" ref="A9:A11" si="1">IF(C9&lt;&gt;"","5-8","")</f>
        <v>5-8</v>
      </c>
      <c r="B9" s="93" t="str">
        <f t="shared" si="0"/>
        <v>-</v>
      </c>
      <c r="C9" s="97">
        <f>IF(ConsySummary!F36&gt;0,ConsySummary!F36,"")</f>
        <v>45</v>
      </c>
      <c r="E9" s="96"/>
    </row>
    <row r="10" spans="1:5" x14ac:dyDescent="0.45">
      <c r="A10" s="93" t="str">
        <f t="shared" si="1"/>
        <v>5-8</v>
      </c>
      <c r="B10" s="93" t="str">
        <f t="shared" si="0"/>
        <v>-</v>
      </c>
      <c r="C10" s="97">
        <f>IF(ConsySummary!F37&gt;0,ConsySummary!F37,"")</f>
        <v>45</v>
      </c>
      <c r="E10" s="96"/>
    </row>
    <row r="11" spans="1:5" x14ac:dyDescent="0.45">
      <c r="A11" s="93" t="str">
        <f t="shared" si="1"/>
        <v/>
      </c>
      <c r="B11" s="93" t="str">
        <f t="shared" si="0"/>
        <v/>
      </c>
      <c r="C11" s="97" t="str">
        <f>IF(ConsySummary!F38&gt;0,ConsySummary!F38,"")</f>
        <v/>
      </c>
      <c r="E11" s="96"/>
    </row>
    <row r="12" spans="1:5" x14ac:dyDescent="0.45">
      <c r="A12" s="93" t="str">
        <f>IF(C12&lt;&gt;"","9-16","")</f>
        <v/>
      </c>
      <c r="B12" s="93" t="str">
        <f t="shared" si="0"/>
        <v/>
      </c>
      <c r="C12" s="97" t="str">
        <f>IF(ConsySummary!F39&gt;0,ConsySummary!F39,"")</f>
        <v/>
      </c>
      <c r="E12" s="96"/>
    </row>
    <row r="13" spans="1:5" x14ac:dyDescent="0.45">
      <c r="A13" s="93" t="str">
        <f t="shared" ref="A13:A20" si="2">IF(C13&lt;&gt;"","9-16","")</f>
        <v/>
      </c>
      <c r="B13" s="93" t="str">
        <f t="shared" si="0"/>
        <v/>
      </c>
      <c r="C13" s="97" t="str">
        <f>IF(ConsySummary!F40&gt;0,ConsySummary!F40,"")</f>
        <v/>
      </c>
      <c r="E13" s="96"/>
    </row>
    <row r="14" spans="1:5" x14ac:dyDescent="0.45">
      <c r="A14" s="93" t="str">
        <f t="shared" si="2"/>
        <v/>
      </c>
      <c r="B14" s="93" t="str">
        <f t="shared" si="0"/>
        <v/>
      </c>
      <c r="C14" s="97" t="str">
        <f>IF(ConsySummary!F41&gt;0,ConsySummary!F41,"")</f>
        <v/>
      </c>
      <c r="E14" s="96"/>
    </row>
    <row r="15" spans="1:5" x14ac:dyDescent="0.45">
      <c r="A15" s="93" t="str">
        <f t="shared" si="2"/>
        <v/>
      </c>
      <c r="B15" s="93" t="str">
        <f t="shared" si="0"/>
        <v/>
      </c>
      <c r="C15" s="97" t="str">
        <f>IF(ConsySummary!F42&gt;0,ConsySummary!F42,"")</f>
        <v/>
      </c>
      <c r="E15" s="96"/>
    </row>
    <row r="16" spans="1:5" x14ac:dyDescent="0.45">
      <c r="A16" s="93" t="str">
        <f t="shared" si="2"/>
        <v/>
      </c>
      <c r="B16" s="93" t="str">
        <f t="shared" si="0"/>
        <v/>
      </c>
      <c r="C16" s="97" t="str">
        <f>IF(ConsySummary!F43&gt;0,ConsySummary!F43,"")</f>
        <v/>
      </c>
      <c r="E16" s="96"/>
    </row>
    <row r="17" spans="1:5" x14ac:dyDescent="0.45">
      <c r="A17" s="93" t="str">
        <f t="shared" si="2"/>
        <v/>
      </c>
      <c r="B17" s="93" t="str">
        <f t="shared" si="0"/>
        <v/>
      </c>
      <c r="C17" s="97" t="str">
        <f>IF(ConsySummary!F44&gt;0,ConsySummary!F44,"")</f>
        <v/>
      </c>
      <c r="E17" s="96"/>
    </row>
    <row r="18" spans="1:5" x14ac:dyDescent="0.45">
      <c r="A18" s="93" t="str">
        <f t="shared" si="2"/>
        <v/>
      </c>
      <c r="B18" s="93" t="str">
        <f t="shared" si="0"/>
        <v/>
      </c>
      <c r="C18" s="97" t="str">
        <f>IF(ConsySummary!F45&gt;0,ConsySummary!F45,"")</f>
        <v/>
      </c>
      <c r="E18" s="96"/>
    </row>
    <row r="19" spans="1:5" x14ac:dyDescent="0.45">
      <c r="A19" s="93" t="str">
        <f t="shared" si="2"/>
        <v/>
      </c>
      <c r="B19" s="93" t="str">
        <f t="shared" si="0"/>
        <v/>
      </c>
      <c r="C19" s="97" t="str">
        <f>IF(ConsySummary!F46&gt;0,ConsySummary!F46,"")</f>
        <v/>
      </c>
      <c r="E19" s="96"/>
    </row>
    <row r="20" spans="1:5" x14ac:dyDescent="0.45">
      <c r="A20" s="93" t="str">
        <f t="shared" si="2"/>
        <v/>
      </c>
      <c r="B20" s="93" t="str">
        <f t="shared" si="0"/>
        <v/>
      </c>
      <c r="C20" s="97"/>
      <c r="E20" s="96"/>
    </row>
    <row r="21" spans="1:5" x14ac:dyDescent="0.45">
      <c r="A21" s="93" t="str">
        <f>IF(C21&lt;&gt;"","17-32","")</f>
        <v/>
      </c>
      <c r="B21" s="93" t="str">
        <f t="shared" si="0"/>
        <v/>
      </c>
      <c r="C21" s="97"/>
      <c r="E21" s="96"/>
    </row>
    <row r="22" spans="1:5" x14ac:dyDescent="0.45">
      <c r="A22" s="93" t="str">
        <f t="shared" ref="A22:A32" si="3">IF(C22&lt;&gt;"","17-32","")</f>
        <v/>
      </c>
      <c r="B22" s="93" t="str">
        <f t="shared" si="0"/>
        <v/>
      </c>
      <c r="C22" s="97"/>
      <c r="E22" s="96"/>
    </row>
    <row r="23" spans="1:5" x14ac:dyDescent="0.45">
      <c r="A23" s="93" t="str">
        <f t="shared" si="3"/>
        <v/>
      </c>
      <c r="B23" s="93" t="str">
        <f t="shared" si="0"/>
        <v/>
      </c>
      <c r="C23" s="97"/>
      <c r="E23" s="96"/>
    </row>
    <row r="24" spans="1:5" x14ac:dyDescent="0.45">
      <c r="A24" s="93" t="str">
        <f t="shared" si="3"/>
        <v/>
      </c>
      <c r="B24" s="93" t="str">
        <f t="shared" si="0"/>
        <v/>
      </c>
      <c r="C24" s="97"/>
      <c r="E24" s="96"/>
    </row>
    <row r="25" spans="1:5" x14ac:dyDescent="0.45">
      <c r="A25" s="93" t="str">
        <f t="shared" si="3"/>
        <v/>
      </c>
      <c r="B25" s="93" t="str">
        <f t="shared" si="0"/>
        <v/>
      </c>
      <c r="C25" s="97"/>
      <c r="E25" s="96"/>
    </row>
    <row r="26" spans="1:5" x14ac:dyDescent="0.45">
      <c r="A26" s="93" t="str">
        <f t="shared" si="3"/>
        <v/>
      </c>
      <c r="B26" s="93" t="str">
        <f t="shared" si="0"/>
        <v/>
      </c>
      <c r="C26" s="97"/>
      <c r="E26" s="96"/>
    </row>
    <row r="27" spans="1:5" x14ac:dyDescent="0.45">
      <c r="A27" s="93" t="str">
        <f t="shared" si="3"/>
        <v/>
      </c>
      <c r="B27" s="93" t="str">
        <f t="shared" si="0"/>
        <v/>
      </c>
      <c r="C27" s="97"/>
      <c r="E27" s="96"/>
    </row>
    <row r="28" spans="1:5" x14ac:dyDescent="0.45">
      <c r="A28" s="93" t="str">
        <f t="shared" si="3"/>
        <v/>
      </c>
      <c r="B28" s="93" t="str">
        <f t="shared" si="0"/>
        <v/>
      </c>
    </row>
    <row r="29" spans="1:5" x14ac:dyDescent="0.45">
      <c r="A29" s="93" t="str">
        <f t="shared" si="3"/>
        <v/>
      </c>
      <c r="B29" s="93" t="str">
        <f t="shared" si="0"/>
        <v/>
      </c>
    </row>
    <row r="30" spans="1:5" x14ac:dyDescent="0.45">
      <c r="A30" s="93" t="str">
        <f t="shared" si="3"/>
        <v/>
      </c>
      <c r="B30" s="93" t="str">
        <f t="shared" si="0"/>
        <v/>
      </c>
    </row>
    <row r="31" spans="1:5" x14ac:dyDescent="0.45">
      <c r="A31" s="93" t="str">
        <f t="shared" si="3"/>
        <v/>
      </c>
      <c r="B31" s="93" t="str">
        <f t="shared" si="0"/>
        <v/>
      </c>
    </row>
    <row r="32" spans="1:5" x14ac:dyDescent="0.45">
      <c r="A32" s="93" t="str">
        <f t="shared" si="3"/>
        <v/>
      </c>
      <c r="B32" s="93" t="str">
        <f t="shared" si="0"/>
        <v/>
      </c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F9" sqref="F9:F15"/>
    </sheetView>
  </sheetViews>
  <sheetFormatPr defaultRowHeight="15" x14ac:dyDescent="0.25"/>
  <cols>
    <col min="1" max="1" width="14.28515625" bestFit="1" customWidth="1"/>
    <col min="2" max="5" width="8" customWidth="1"/>
    <col min="6" max="37" width="8" bestFit="1" customWidth="1"/>
  </cols>
  <sheetData>
    <row r="1" spans="1:37" x14ac:dyDescent="0.25">
      <c r="A1" s="3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x14ac:dyDescent="0.25">
      <c r="A2" s="4"/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x14ac:dyDescent="0.25">
      <c r="A3" s="4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x14ac:dyDescent="0.25">
      <c r="A4" s="5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x14ac:dyDescent="0.25">
      <c r="A6" s="3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x14ac:dyDescent="0.25">
      <c r="A7" s="5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A8" s="9"/>
      <c r="B8" s="1"/>
      <c r="C8" s="1"/>
      <c r="D8" s="1"/>
      <c r="E8" s="1"/>
    </row>
    <row r="9" spans="1:37" x14ac:dyDescent="0.25">
      <c r="A9" s="6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0">
        <v>0.35499999999999998</v>
      </c>
      <c r="G9" s="10">
        <v>0.33900000000000002</v>
      </c>
      <c r="H9" s="10">
        <v>0.29499999999999998</v>
      </c>
      <c r="I9" s="10">
        <v>0.28299999999999997</v>
      </c>
      <c r="J9" s="10">
        <v>0.26500000000000001</v>
      </c>
      <c r="K9" s="10">
        <v>0.25900000000000001</v>
      </c>
      <c r="L9" s="10">
        <v>0.25800000000000001</v>
      </c>
      <c r="M9" s="10">
        <v>0.25800000000000001</v>
      </c>
      <c r="N9" s="10">
        <v>0.252</v>
      </c>
      <c r="O9" s="10">
        <v>0.247</v>
      </c>
      <c r="P9" s="10">
        <v>0.22600000000000001</v>
      </c>
      <c r="Q9" s="10">
        <v>0.216</v>
      </c>
      <c r="R9" s="10">
        <v>0.20499999999999999</v>
      </c>
      <c r="S9" s="10">
        <v>0.192</v>
      </c>
      <c r="T9" s="10">
        <v>0.185</v>
      </c>
      <c r="U9" s="10">
        <v>0.185</v>
      </c>
      <c r="V9" s="10">
        <v>0.185</v>
      </c>
      <c r="W9" s="10">
        <v>0.186</v>
      </c>
      <c r="X9" s="10">
        <v>0.185</v>
      </c>
      <c r="Y9" s="10">
        <v>0.182</v>
      </c>
      <c r="Z9" s="10">
        <v>0.18099999999999999</v>
      </c>
      <c r="AA9" s="10">
        <v>0.17799999999999999</v>
      </c>
      <c r="AB9" s="10">
        <v>0.17599999999999999</v>
      </c>
      <c r="AC9" s="10">
        <v>0.17499999999999999</v>
      </c>
      <c r="AD9" s="10">
        <v>0.17799999999999999</v>
      </c>
      <c r="AE9" s="10">
        <v>0.18</v>
      </c>
      <c r="AF9" s="10">
        <v>0.156</v>
      </c>
      <c r="AG9" s="10">
        <v>0.153</v>
      </c>
      <c r="AH9" s="13">
        <v>0.14399999999999999</v>
      </c>
      <c r="AI9" s="13">
        <v>0.14099999999999999</v>
      </c>
      <c r="AJ9" s="13">
        <v>0.13600000000000001</v>
      </c>
      <c r="AK9" s="13">
        <v>0.13300000000000001</v>
      </c>
    </row>
    <row r="10" spans="1:37" x14ac:dyDescent="0.25">
      <c r="A10" s="7">
        <v>2</v>
      </c>
      <c r="B10" s="13">
        <v>0.3</v>
      </c>
      <c r="C10" s="13">
        <v>0.26</v>
      </c>
      <c r="D10" s="13">
        <v>0.25</v>
      </c>
      <c r="E10" s="13">
        <v>0.24199999999999999</v>
      </c>
      <c r="F10" s="10">
        <v>0.23</v>
      </c>
      <c r="G10" s="10">
        <v>0.221</v>
      </c>
      <c r="H10" s="10">
        <v>0.20200000000000001</v>
      </c>
      <c r="I10" s="10">
        <v>0.193</v>
      </c>
      <c r="J10" s="10">
        <v>0.186</v>
      </c>
      <c r="K10" s="10">
        <v>0.18</v>
      </c>
      <c r="L10" s="10">
        <v>0.17799999999999999</v>
      </c>
      <c r="M10" s="10">
        <v>0.17299999999999999</v>
      </c>
      <c r="N10" s="10">
        <v>0.17499999999999999</v>
      </c>
      <c r="O10" s="10">
        <v>0.17199999999999999</v>
      </c>
      <c r="P10" s="10">
        <v>0.157</v>
      </c>
      <c r="Q10" s="10">
        <v>0.151</v>
      </c>
      <c r="R10" s="10">
        <v>0.14299999999999999</v>
      </c>
      <c r="S10" s="10">
        <v>0.13300000000000001</v>
      </c>
      <c r="T10" s="10">
        <v>0.13100000000000001</v>
      </c>
      <c r="U10" s="10">
        <v>0.13100000000000001</v>
      </c>
      <c r="V10" s="10">
        <v>0.13200000000000001</v>
      </c>
      <c r="W10" s="10">
        <v>0.13200000000000001</v>
      </c>
      <c r="X10" s="10">
        <v>0.13200000000000001</v>
      </c>
      <c r="Y10" s="10">
        <v>0.13200000000000001</v>
      </c>
      <c r="Z10" s="10">
        <v>0.13300000000000001</v>
      </c>
      <c r="AA10" s="10">
        <v>0.129</v>
      </c>
      <c r="AB10" s="10">
        <v>0.129</v>
      </c>
      <c r="AC10" s="10">
        <v>0.129</v>
      </c>
      <c r="AD10" s="10">
        <v>0.13100000000000001</v>
      </c>
      <c r="AE10" s="10">
        <v>0.13100000000000001</v>
      </c>
      <c r="AF10" s="10">
        <v>0.113</v>
      </c>
      <c r="AG10" s="10">
        <v>0.111</v>
      </c>
      <c r="AH10" s="13">
        <v>0.1045</v>
      </c>
      <c r="AI10" s="13">
        <v>0.10199999999999999</v>
      </c>
      <c r="AJ10" s="13">
        <v>9.9000000000000005E-2</v>
      </c>
      <c r="AK10" s="13">
        <v>9.6000000000000002E-2</v>
      </c>
    </row>
    <row r="11" spans="1:37" x14ac:dyDescent="0.25">
      <c r="A11" s="7">
        <v>3</v>
      </c>
      <c r="B11" s="13">
        <v>0.2</v>
      </c>
      <c r="C11" s="13">
        <v>0.155</v>
      </c>
      <c r="D11" s="13">
        <v>0.14399999999999999</v>
      </c>
      <c r="E11" s="13">
        <v>0.1285</v>
      </c>
      <c r="F11" s="13">
        <v>0.11749999999999999</v>
      </c>
      <c r="G11" s="13">
        <v>0.114</v>
      </c>
      <c r="H11" s="13">
        <v>0.112</v>
      </c>
      <c r="I11" s="13">
        <v>0.108</v>
      </c>
      <c r="J11" s="13">
        <v>0.10550000000000001</v>
      </c>
      <c r="K11" s="13">
        <v>0.10450000000000001</v>
      </c>
      <c r="L11" s="13">
        <v>0.1</v>
      </c>
      <c r="M11" s="13">
        <v>9.6500000000000002E-2</v>
      </c>
      <c r="N11" s="13">
        <v>9.8000000000000004E-2</v>
      </c>
      <c r="O11" s="13">
        <v>9.6500000000000002E-2</v>
      </c>
      <c r="P11" s="13">
        <v>8.8499999999999995E-2</v>
      </c>
      <c r="Q11" s="13">
        <v>8.5499999999999993E-2</v>
      </c>
      <c r="R11" s="13">
        <v>8.1000000000000003E-2</v>
      </c>
      <c r="S11" s="13">
        <v>7.7499999999999999E-2</v>
      </c>
      <c r="T11" s="13">
        <v>7.8E-2</v>
      </c>
      <c r="U11" s="13">
        <v>7.6999999999999999E-2</v>
      </c>
      <c r="V11" s="13">
        <v>7.6499999999999999E-2</v>
      </c>
      <c r="W11" s="13">
        <v>7.6999999999999999E-2</v>
      </c>
      <c r="X11" s="13">
        <v>7.7499999999999999E-2</v>
      </c>
      <c r="Y11" s="13">
        <v>7.6999999999999999E-2</v>
      </c>
      <c r="Z11" s="13">
        <v>7.85E-2</v>
      </c>
      <c r="AA11" s="13">
        <v>7.6499999999999999E-2</v>
      </c>
      <c r="AB11" s="13">
        <v>7.6499999999999999E-2</v>
      </c>
      <c r="AC11" s="13">
        <v>7.5999999999999998E-2</v>
      </c>
      <c r="AD11" s="13">
        <v>7.8E-2</v>
      </c>
      <c r="AE11" s="13">
        <v>7.6499999999999999E-2</v>
      </c>
      <c r="AF11" s="13">
        <v>6.7250000000000004E-2</v>
      </c>
      <c r="AG11" s="13">
        <v>6.6000000000000003E-2</v>
      </c>
      <c r="AH11" s="13">
        <v>6.25E-2</v>
      </c>
      <c r="AI11" s="13">
        <v>6.0499999999999998E-2</v>
      </c>
      <c r="AJ11" s="13">
        <v>0.06</v>
      </c>
      <c r="AK11" s="13">
        <v>5.8500000000000003E-2</v>
      </c>
    </row>
    <row r="12" spans="1:37" x14ac:dyDescent="0.25">
      <c r="A12" s="8">
        <v>4</v>
      </c>
      <c r="B12" s="13"/>
      <c r="C12" s="13">
        <v>0.155</v>
      </c>
      <c r="D12" s="13">
        <v>0.14399999999999999</v>
      </c>
      <c r="E12" s="13">
        <v>0.1285</v>
      </c>
      <c r="F12" s="13">
        <v>0.11749999999999999</v>
      </c>
      <c r="G12" s="13">
        <v>0.114</v>
      </c>
      <c r="H12" s="13">
        <v>0.112</v>
      </c>
      <c r="I12" s="13">
        <v>0.108</v>
      </c>
      <c r="J12" s="13">
        <v>0.10550000000000001</v>
      </c>
      <c r="K12" s="13">
        <v>0.10450000000000001</v>
      </c>
      <c r="L12" s="13">
        <v>0.1</v>
      </c>
      <c r="M12" s="13">
        <v>9.6500000000000002E-2</v>
      </c>
      <c r="N12" s="13">
        <v>9.8000000000000004E-2</v>
      </c>
      <c r="O12" s="13">
        <v>9.6500000000000002E-2</v>
      </c>
      <c r="P12" s="13">
        <v>8.8499999999999995E-2</v>
      </c>
      <c r="Q12" s="13">
        <v>8.5499999999999993E-2</v>
      </c>
      <c r="R12" s="13">
        <v>8.1000000000000003E-2</v>
      </c>
      <c r="S12" s="13">
        <v>7.7499999999999999E-2</v>
      </c>
      <c r="T12" s="13">
        <v>7.8E-2</v>
      </c>
      <c r="U12" s="13">
        <v>7.6999999999999999E-2</v>
      </c>
      <c r="V12" s="13">
        <v>7.6499999999999999E-2</v>
      </c>
      <c r="W12" s="13">
        <v>7.6999999999999999E-2</v>
      </c>
      <c r="X12" s="13">
        <v>7.7499999999999999E-2</v>
      </c>
      <c r="Y12" s="13">
        <v>7.6999999999999999E-2</v>
      </c>
      <c r="Z12" s="13">
        <v>7.85E-2</v>
      </c>
      <c r="AA12" s="13">
        <v>7.6499999999999999E-2</v>
      </c>
      <c r="AB12" s="13">
        <v>7.6499999999999999E-2</v>
      </c>
      <c r="AC12" s="13">
        <v>7.5999999999999998E-2</v>
      </c>
      <c r="AD12" s="13">
        <v>7.8E-2</v>
      </c>
      <c r="AE12" s="13">
        <v>7.6499999999999999E-2</v>
      </c>
      <c r="AF12" s="13">
        <v>6.7250000000000004E-2</v>
      </c>
      <c r="AG12" s="13">
        <v>6.6000000000000003E-2</v>
      </c>
      <c r="AH12" s="13">
        <v>6.25E-2</v>
      </c>
      <c r="AI12" s="13">
        <v>6.0499999999999998E-2</v>
      </c>
      <c r="AJ12" s="13">
        <v>0.06</v>
      </c>
      <c r="AK12" s="13">
        <v>5.8500000000000003E-2</v>
      </c>
    </row>
    <row r="13" spans="1:37" x14ac:dyDescent="0.25">
      <c r="A13" s="6">
        <v>5</v>
      </c>
      <c r="B13" s="13"/>
      <c r="C13" s="13"/>
      <c r="D13" s="13">
        <v>7.1999999999999995E-2</v>
      </c>
      <c r="E13" s="13">
        <v>6.6000000000000003E-2</v>
      </c>
      <c r="F13" s="10">
        <v>0.06</v>
      </c>
      <c r="G13" s="10">
        <v>5.2999999999999999E-2</v>
      </c>
      <c r="H13" s="10">
        <v>5.8000000000000003E-2</v>
      </c>
      <c r="I13" s="10">
        <v>5.6000000000000001E-2</v>
      </c>
      <c r="J13" s="10">
        <v>5.6000000000000001E-2</v>
      </c>
      <c r="K13" s="10">
        <v>5.2999999999999999E-2</v>
      </c>
      <c r="L13" s="10">
        <v>5.0999999999999997E-2</v>
      </c>
      <c r="M13" s="10">
        <v>4.9000000000000002E-2</v>
      </c>
      <c r="N13" s="10">
        <v>4.7E-2</v>
      </c>
      <c r="O13" s="10">
        <v>4.4999999999999998E-2</v>
      </c>
      <c r="P13" s="10">
        <v>4.3999999999999997E-2</v>
      </c>
      <c r="Q13" s="10">
        <v>4.3999999999999997E-2</v>
      </c>
      <c r="R13" s="10">
        <v>4.3999999999999997E-2</v>
      </c>
      <c r="S13" s="10">
        <v>4.4999999999999998E-2</v>
      </c>
      <c r="T13" s="10">
        <v>4.4999999999999998E-2</v>
      </c>
      <c r="U13" s="10">
        <v>4.3999999999999997E-2</v>
      </c>
      <c r="V13" s="10">
        <v>4.2999999999999997E-2</v>
      </c>
      <c r="W13" s="10">
        <v>4.2000000000000003E-2</v>
      </c>
      <c r="X13" s="10">
        <v>4.2000000000000003E-2</v>
      </c>
      <c r="Y13" s="10">
        <v>4.1000000000000002E-2</v>
      </c>
      <c r="Z13" s="10">
        <v>4.1000000000000002E-2</v>
      </c>
      <c r="AA13" s="10">
        <v>0.04</v>
      </c>
      <c r="AB13" s="10">
        <v>0.04</v>
      </c>
      <c r="AC13" s="10">
        <v>3.9E-2</v>
      </c>
      <c r="AD13" s="10">
        <v>3.9E-2</v>
      </c>
      <c r="AE13" s="10">
        <v>3.7999999999999999E-2</v>
      </c>
      <c r="AF13" s="10">
        <v>3.5999999999999997E-2</v>
      </c>
      <c r="AG13" s="10">
        <v>3.5000000000000003E-2</v>
      </c>
      <c r="AH13" s="13">
        <v>3.4000000000000002E-2</v>
      </c>
      <c r="AI13" s="13">
        <v>3.3500000000000002E-2</v>
      </c>
      <c r="AJ13" s="13">
        <v>3.3500000000000002E-2</v>
      </c>
      <c r="AK13" s="13">
        <v>3.3000000000000002E-2</v>
      </c>
    </row>
    <row r="14" spans="1:37" x14ac:dyDescent="0.25">
      <c r="A14" s="7">
        <v>6</v>
      </c>
      <c r="B14" s="13"/>
      <c r="C14" s="13"/>
      <c r="D14" s="13"/>
      <c r="E14" s="13">
        <v>6.6000000000000003E-2</v>
      </c>
      <c r="F14" s="10">
        <v>0.06</v>
      </c>
      <c r="G14" s="10">
        <v>5.2999999999999999E-2</v>
      </c>
      <c r="H14" s="10">
        <v>5.8000000000000003E-2</v>
      </c>
      <c r="I14" s="10">
        <v>5.6000000000000001E-2</v>
      </c>
      <c r="J14" s="10">
        <v>5.6000000000000001E-2</v>
      </c>
      <c r="K14" s="10">
        <v>5.2999999999999999E-2</v>
      </c>
      <c r="L14" s="10">
        <v>5.0999999999999997E-2</v>
      </c>
      <c r="M14" s="10">
        <v>4.9000000000000002E-2</v>
      </c>
      <c r="N14" s="10">
        <v>4.7E-2</v>
      </c>
      <c r="O14" s="10">
        <v>4.4999999999999998E-2</v>
      </c>
      <c r="P14" s="10">
        <v>4.3999999999999997E-2</v>
      </c>
      <c r="Q14" s="10">
        <v>4.3999999999999997E-2</v>
      </c>
      <c r="R14" s="10">
        <v>4.3999999999999997E-2</v>
      </c>
      <c r="S14" s="10">
        <v>4.4999999999999998E-2</v>
      </c>
      <c r="T14" s="10">
        <v>4.4999999999999998E-2</v>
      </c>
      <c r="U14" s="10">
        <v>4.3999999999999997E-2</v>
      </c>
      <c r="V14" s="10">
        <v>4.2999999999999997E-2</v>
      </c>
      <c r="W14" s="10">
        <v>4.2000000000000003E-2</v>
      </c>
      <c r="X14" s="10">
        <v>4.2000000000000003E-2</v>
      </c>
      <c r="Y14" s="10">
        <v>4.1000000000000002E-2</v>
      </c>
      <c r="Z14" s="10">
        <v>4.1000000000000002E-2</v>
      </c>
      <c r="AA14" s="10">
        <v>0.04</v>
      </c>
      <c r="AB14" s="10">
        <v>0.04</v>
      </c>
      <c r="AC14" s="10">
        <v>3.9E-2</v>
      </c>
      <c r="AD14" s="10">
        <v>3.9E-2</v>
      </c>
      <c r="AE14" s="10">
        <v>3.7999999999999999E-2</v>
      </c>
      <c r="AF14" s="10">
        <v>3.5999999999999997E-2</v>
      </c>
      <c r="AG14" s="10">
        <v>3.5000000000000003E-2</v>
      </c>
      <c r="AH14" s="13">
        <v>3.4000000000000002E-2</v>
      </c>
      <c r="AI14" s="13">
        <v>3.3500000000000002E-2</v>
      </c>
      <c r="AJ14" s="13">
        <v>3.3500000000000002E-2</v>
      </c>
      <c r="AK14" s="13">
        <v>3.3000000000000002E-2</v>
      </c>
    </row>
    <row r="15" spans="1:37" x14ac:dyDescent="0.25">
      <c r="A15" s="7">
        <v>7</v>
      </c>
      <c r="B15" s="13"/>
      <c r="C15" s="13"/>
      <c r="D15" s="13"/>
      <c r="E15" s="13"/>
      <c r="F15" s="10">
        <v>0.06</v>
      </c>
      <c r="G15" s="10">
        <v>5.2999999999999999E-2</v>
      </c>
      <c r="H15" s="10">
        <v>5.8000000000000003E-2</v>
      </c>
      <c r="I15" s="10">
        <v>5.6000000000000001E-2</v>
      </c>
      <c r="J15" s="10">
        <v>5.6000000000000001E-2</v>
      </c>
      <c r="K15" s="10">
        <v>5.2999999999999999E-2</v>
      </c>
      <c r="L15" s="10">
        <v>5.0999999999999997E-2</v>
      </c>
      <c r="M15" s="10">
        <v>4.9000000000000002E-2</v>
      </c>
      <c r="N15" s="10">
        <v>4.7E-2</v>
      </c>
      <c r="O15" s="10">
        <v>4.4999999999999998E-2</v>
      </c>
      <c r="P15" s="10">
        <v>4.3999999999999997E-2</v>
      </c>
      <c r="Q15" s="10">
        <v>4.3999999999999997E-2</v>
      </c>
      <c r="R15" s="10">
        <v>4.3999999999999997E-2</v>
      </c>
      <c r="S15" s="10">
        <v>4.4999999999999998E-2</v>
      </c>
      <c r="T15" s="10">
        <v>4.4999999999999998E-2</v>
      </c>
      <c r="U15" s="10">
        <v>4.3999999999999997E-2</v>
      </c>
      <c r="V15" s="10">
        <v>4.2999999999999997E-2</v>
      </c>
      <c r="W15" s="10">
        <v>4.2000000000000003E-2</v>
      </c>
      <c r="X15" s="10">
        <v>4.2000000000000003E-2</v>
      </c>
      <c r="Y15" s="10">
        <v>4.1000000000000002E-2</v>
      </c>
      <c r="Z15" s="10">
        <v>4.1000000000000002E-2</v>
      </c>
      <c r="AA15" s="10">
        <v>0.04</v>
      </c>
      <c r="AB15" s="10">
        <v>0.04</v>
      </c>
      <c r="AC15" s="10">
        <v>3.9E-2</v>
      </c>
      <c r="AD15" s="10">
        <v>3.9E-2</v>
      </c>
      <c r="AE15" s="10">
        <v>3.7999999999999999E-2</v>
      </c>
      <c r="AF15" s="10">
        <v>3.5999999999999997E-2</v>
      </c>
      <c r="AG15" s="10">
        <v>3.5000000000000003E-2</v>
      </c>
      <c r="AH15" s="13">
        <v>3.4000000000000002E-2</v>
      </c>
      <c r="AI15" s="13">
        <v>3.3500000000000002E-2</v>
      </c>
      <c r="AJ15" s="13">
        <v>3.3500000000000002E-2</v>
      </c>
      <c r="AK15" s="13">
        <v>3.3000000000000002E-2</v>
      </c>
    </row>
    <row r="16" spans="1:37" x14ac:dyDescent="0.25">
      <c r="A16" s="8">
        <v>8</v>
      </c>
      <c r="B16" s="13"/>
      <c r="C16" s="13"/>
      <c r="D16" s="13"/>
      <c r="E16" s="13"/>
      <c r="F16" s="10"/>
      <c r="G16" s="10">
        <v>5.2999999999999999E-2</v>
      </c>
      <c r="H16" s="10">
        <v>5.8000000000000003E-2</v>
      </c>
      <c r="I16" s="10">
        <v>5.6000000000000001E-2</v>
      </c>
      <c r="J16" s="10">
        <v>5.6000000000000001E-2</v>
      </c>
      <c r="K16" s="10">
        <v>5.2999999999999999E-2</v>
      </c>
      <c r="L16" s="10">
        <v>5.0999999999999997E-2</v>
      </c>
      <c r="M16" s="10">
        <v>4.9000000000000002E-2</v>
      </c>
      <c r="N16" s="10">
        <v>4.7E-2</v>
      </c>
      <c r="O16" s="10">
        <v>4.4999999999999998E-2</v>
      </c>
      <c r="P16" s="10">
        <v>4.3999999999999997E-2</v>
      </c>
      <c r="Q16" s="10">
        <v>4.3999999999999997E-2</v>
      </c>
      <c r="R16" s="10">
        <v>4.3999999999999997E-2</v>
      </c>
      <c r="S16" s="10">
        <v>4.4999999999999998E-2</v>
      </c>
      <c r="T16" s="10">
        <v>4.4999999999999998E-2</v>
      </c>
      <c r="U16" s="10">
        <v>4.3999999999999997E-2</v>
      </c>
      <c r="V16" s="10">
        <v>4.2999999999999997E-2</v>
      </c>
      <c r="W16" s="10">
        <v>4.2000000000000003E-2</v>
      </c>
      <c r="X16" s="10">
        <v>4.2000000000000003E-2</v>
      </c>
      <c r="Y16" s="10">
        <v>4.1000000000000002E-2</v>
      </c>
      <c r="Z16" s="10">
        <v>4.1000000000000002E-2</v>
      </c>
      <c r="AA16" s="10">
        <v>0.04</v>
      </c>
      <c r="AB16" s="10">
        <v>0.04</v>
      </c>
      <c r="AC16" s="10">
        <v>3.9E-2</v>
      </c>
      <c r="AD16" s="10">
        <v>3.9E-2</v>
      </c>
      <c r="AE16" s="10">
        <v>3.7999999999999999E-2</v>
      </c>
      <c r="AF16" s="10">
        <v>3.5999999999999997E-2</v>
      </c>
      <c r="AG16" s="10">
        <v>3.5000000000000003E-2</v>
      </c>
      <c r="AH16" s="13">
        <v>3.4000000000000002E-2</v>
      </c>
      <c r="AI16" s="13">
        <v>3.3500000000000002E-2</v>
      </c>
      <c r="AJ16" s="13">
        <v>3.3500000000000002E-2</v>
      </c>
      <c r="AK16" s="13">
        <v>3.3000000000000002E-2</v>
      </c>
    </row>
    <row r="17" spans="1:37" x14ac:dyDescent="0.25">
      <c r="A17" s="6">
        <v>9</v>
      </c>
      <c r="B17" s="13"/>
      <c r="C17" s="13"/>
      <c r="D17" s="13"/>
      <c r="E17" s="13"/>
      <c r="F17" s="10"/>
      <c r="G17" s="10"/>
      <c r="H17" s="10">
        <v>4.7E-2</v>
      </c>
      <c r="I17" s="10">
        <v>4.2000000000000003E-2</v>
      </c>
      <c r="J17" s="10">
        <v>3.7999999999999999E-2</v>
      </c>
      <c r="K17" s="10">
        <v>3.5000000000000003E-2</v>
      </c>
      <c r="L17" s="10">
        <v>3.2000000000000001E-2</v>
      </c>
      <c r="M17" s="10">
        <v>0.03</v>
      </c>
      <c r="N17" s="10">
        <v>2.7E-2</v>
      </c>
      <c r="O17" s="10">
        <v>2.5999999999999999E-2</v>
      </c>
      <c r="P17" s="10">
        <v>0.03</v>
      </c>
      <c r="Q17" s="10">
        <v>0.03</v>
      </c>
      <c r="R17" s="10">
        <v>3.1E-2</v>
      </c>
      <c r="S17" s="10">
        <v>3.2000000000000001E-2</v>
      </c>
      <c r="T17" s="10">
        <v>3.1E-2</v>
      </c>
      <c r="U17" s="10">
        <v>0.03</v>
      </c>
      <c r="V17" s="10">
        <v>2.9000000000000001E-2</v>
      </c>
      <c r="W17" s="10">
        <v>2.8000000000000001E-2</v>
      </c>
      <c r="X17" s="10">
        <v>2.7E-2</v>
      </c>
      <c r="Y17" s="10">
        <v>2.5999999999999999E-2</v>
      </c>
      <c r="Z17" s="10">
        <v>2.5000000000000001E-2</v>
      </c>
      <c r="AA17" s="10">
        <v>2.5000000000000001E-2</v>
      </c>
      <c r="AB17" s="10">
        <v>2.5000000000000001E-2</v>
      </c>
      <c r="AC17" s="10">
        <v>2.4E-2</v>
      </c>
      <c r="AD17" s="10">
        <v>2.3E-2</v>
      </c>
      <c r="AE17" s="10">
        <v>2.1999999999999999E-2</v>
      </c>
      <c r="AF17" s="10">
        <v>2.3E-2</v>
      </c>
      <c r="AG17" s="10">
        <v>2.3E-2</v>
      </c>
      <c r="AH17" s="13">
        <v>2.3E-2</v>
      </c>
      <c r="AI17" s="13">
        <v>2.3E-2</v>
      </c>
      <c r="AJ17" s="13">
        <v>2.3E-2</v>
      </c>
      <c r="AK17" s="13">
        <v>2.3E-2</v>
      </c>
    </row>
    <row r="18" spans="1:37" x14ac:dyDescent="0.25">
      <c r="A18" s="7">
        <v>10</v>
      </c>
      <c r="B18" s="13"/>
      <c r="C18" t="s">
        <v>113</v>
      </c>
      <c r="D18" s="13"/>
      <c r="E18" s="13"/>
      <c r="F18" s="10"/>
      <c r="G18" s="10"/>
      <c r="H18" s="10"/>
      <c r="I18" s="10">
        <v>4.2000000000000003E-2</v>
      </c>
      <c r="J18" s="10">
        <v>3.7999999999999999E-2</v>
      </c>
      <c r="K18" s="10">
        <v>3.5000000000000003E-2</v>
      </c>
      <c r="L18" s="10">
        <v>3.2000000000000001E-2</v>
      </c>
      <c r="M18" s="10">
        <v>0.03</v>
      </c>
      <c r="N18" s="10">
        <v>2.7E-2</v>
      </c>
      <c r="O18" s="10">
        <v>2.5999999999999999E-2</v>
      </c>
      <c r="P18" s="10">
        <v>0.03</v>
      </c>
      <c r="Q18" s="10">
        <v>0.03</v>
      </c>
      <c r="R18" s="10">
        <v>3.1E-2</v>
      </c>
      <c r="S18" s="10">
        <v>3.2000000000000001E-2</v>
      </c>
      <c r="T18" s="10">
        <v>3.1E-2</v>
      </c>
      <c r="U18" s="10">
        <v>0.03</v>
      </c>
      <c r="V18" s="10">
        <v>2.9000000000000001E-2</v>
      </c>
      <c r="W18" s="10">
        <v>2.8000000000000001E-2</v>
      </c>
      <c r="X18" s="10">
        <v>2.7E-2</v>
      </c>
      <c r="Y18" s="10">
        <v>2.5999999999999999E-2</v>
      </c>
      <c r="Z18" s="10">
        <v>2.5000000000000001E-2</v>
      </c>
      <c r="AA18" s="10">
        <v>2.5000000000000001E-2</v>
      </c>
      <c r="AB18" s="10">
        <v>2.5000000000000001E-2</v>
      </c>
      <c r="AC18" s="10">
        <v>2.4E-2</v>
      </c>
      <c r="AD18" s="10">
        <v>2.3E-2</v>
      </c>
      <c r="AE18" s="10">
        <v>2.1999999999999999E-2</v>
      </c>
      <c r="AF18" s="10">
        <v>2.3E-2</v>
      </c>
      <c r="AG18" s="10">
        <v>2.3E-2</v>
      </c>
      <c r="AH18" s="13">
        <v>2.3E-2</v>
      </c>
      <c r="AI18" s="13">
        <v>2.3E-2</v>
      </c>
      <c r="AJ18" s="13">
        <v>2.3E-2</v>
      </c>
      <c r="AK18" s="13">
        <v>2.3E-2</v>
      </c>
    </row>
    <row r="19" spans="1:37" x14ac:dyDescent="0.25">
      <c r="A19" s="7">
        <v>11</v>
      </c>
      <c r="B19" s="1"/>
      <c r="C19" t="s">
        <v>112</v>
      </c>
      <c r="D19" s="1"/>
      <c r="E19" s="1"/>
      <c r="F19" s="10"/>
      <c r="G19" s="10"/>
      <c r="H19" s="10"/>
      <c r="I19" s="10"/>
      <c r="J19" s="10">
        <v>3.7999999999999999E-2</v>
      </c>
      <c r="K19" s="10">
        <v>3.5000000000000003E-2</v>
      </c>
      <c r="L19" s="10">
        <v>3.2000000000000001E-2</v>
      </c>
      <c r="M19" s="10">
        <v>0.03</v>
      </c>
      <c r="N19" s="10">
        <v>2.7E-2</v>
      </c>
      <c r="O19" s="10">
        <v>2.5999999999999999E-2</v>
      </c>
      <c r="P19" s="10">
        <v>0.03</v>
      </c>
      <c r="Q19" s="10">
        <v>0.03</v>
      </c>
      <c r="R19" s="10">
        <v>3.1E-2</v>
      </c>
      <c r="S19" s="10">
        <v>3.2000000000000001E-2</v>
      </c>
      <c r="T19" s="10">
        <v>3.1E-2</v>
      </c>
      <c r="U19" s="10">
        <v>0.03</v>
      </c>
      <c r="V19" s="10">
        <v>2.9000000000000001E-2</v>
      </c>
      <c r="W19" s="10">
        <v>2.8000000000000001E-2</v>
      </c>
      <c r="X19" s="10">
        <v>2.7E-2</v>
      </c>
      <c r="Y19" s="10">
        <v>2.5999999999999999E-2</v>
      </c>
      <c r="Z19" s="10">
        <v>2.5000000000000001E-2</v>
      </c>
      <c r="AA19" s="10">
        <v>2.5000000000000001E-2</v>
      </c>
      <c r="AB19" s="10">
        <v>2.5000000000000001E-2</v>
      </c>
      <c r="AC19" s="10">
        <v>2.4E-2</v>
      </c>
      <c r="AD19" s="10">
        <v>2.3E-2</v>
      </c>
      <c r="AE19" s="10">
        <v>2.1999999999999999E-2</v>
      </c>
      <c r="AF19" s="10">
        <v>2.3E-2</v>
      </c>
      <c r="AG19" s="10">
        <v>2.3E-2</v>
      </c>
      <c r="AH19" s="13">
        <v>2.3E-2</v>
      </c>
      <c r="AI19" s="13">
        <v>2.3E-2</v>
      </c>
      <c r="AJ19" s="13">
        <v>2.3E-2</v>
      </c>
      <c r="AK19" s="13">
        <v>2.3E-2</v>
      </c>
    </row>
    <row r="20" spans="1:37" x14ac:dyDescent="0.25">
      <c r="A20" s="8">
        <v>12</v>
      </c>
      <c r="B20" s="1"/>
      <c r="C20" s="1"/>
      <c r="D20" s="1"/>
      <c r="E20" s="1"/>
      <c r="F20" s="10"/>
      <c r="G20" s="10"/>
      <c r="H20" s="10"/>
      <c r="I20" s="10"/>
      <c r="J20" s="10"/>
      <c r="K20" s="10">
        <v>3.5000000000000003E-2</v>
      </c>
      <c r="L20" s="10">
        <v>3.2000000000000001E-2</v>
      </c>
      <c r="M20" s="10">
        <v>0.03</v>
      </c>
      <c r="N20" s="10">
        <v>2.7E-2</v>
      </c>
      <c r="O20" s="10">
        <v>2.5999999999999999E-2</v>
      </c>
      <c r="P20" s="10">
        <v>0.03</v>
      </c>
      <c r="Q20" s="10">
        <v>0.03</v>
      </c>
      <c r="R20" s="10">
        <v>3.1E-2</v>
      </c>
      <c r="S20" s="10">
        <v>3.2000000000000001E-2</v>
      </c>
      <c r="T20" s="10">
        <v>3.1E-2</v>
      </c>
      <c r="U20" s="10">
        <v>0.03</v>
      </c>
      <c r="V20" s="10">
        <v>2.9000000000000001E-2</v>
      </c>
      <c r="W20" s="10">
        <v>2.8000000000000001E-2</v>
      </c>
      <c r="X20" s="10">
        <v>2.7E-2</v>
      </c>
      <c r="Y20" s="10">
        <v>2.5999999999999999E-2</v>
      </c>
      <c r="Z20" s="10">
        <v>2.5000000000000001E-2</v>
      </c>
      <c r="AA20" s="10">
        <v>2.5000000000000001E-2</v>
      </c>
      <c r="AB20" s="10">
        <v>2.5000000000000001E-2</v>
      </c>
      <c r="AC20" s="10">
        <v>2.4E-2</v>
      </c>
      <c r="AD20" s="10">
        <v>2.3E-2</v>
      </c>
      <c r="AE20" s="10">
        <v>2.1999999999999999E-2</v>
      </c>
      <c r="AF20" s="10">
        <v>2.3E-2</v>
      </c>
      <c r="AG20" s="10">
        <v>2.3E-2</v>
      </c>
      <c r="AH20" s="13">
        <v>2.3E-2</v>
      </c>
      <c r="AI20" s="13">
        <v>2.3E-2</v>
      </c>
      <c r="AJ20" s="13">
        <v>2.3E-2</v>
      </c>
      <c r="AK20" s="13">
        <v>2.3E-2</v>
      </c>
    </row>
    <row r="21" spans="1:37" x14ac:dyDescent="0.25">
      <c r="A21" s="6">
        <v>13</v>
      </c>
      <c r="B21" s="1"/>
      <c r="C21" s="1"/>
      <c r="D21" s="1"/>
      <c r="E21" s="1"/>
      <c r="F21" s="10"/>
      <c r="G21" s="10"/>
      <c r="H21" s="10"/>
      <c r="I21" s="10"/>
      <c r="J21" s="10"/>
      <c r="K21" s="10"/>
      <c r="L21" s="10">
        <v>3.2000000000000001E-2</v>
      </c>
      <c r="M21" s="10">
        <v>0.03</v>
      </c>
      <c r="N21" s="10">
        <v>2.7E-2</v>
      </c>
      <c r="O21" s="10">
        <v>2.5999999999999999E-2</v>
      </c>
      <c r="P21" s="10">
        <v>0.03</v>
      </c>
      <c r="Q21" s="10">
        <v>0.03</v>
      </c>
      <c r="R21" s="10">
        <v>3.1E-2</v>
      </c>
      <c r="S21" s="10">
        <v>3.2000000000000001E-2</v>
      </c>
      <c r="T21" s="10">
        <v>3.1E-2</v>
      </c>
      <c r="U21" s="10">
        <v>0.03</v>
      </c>
      <c r="V21" s="10">
        <v>2.9000000000000001E-2</v>
      </c>
      <c r="W21" s="10">
        <v>2.8000000000000001E-2</v>
      </c>
      <c r="X21" s="10">
        <v>2.7E-2</v>
      </c>
      <c r="Y21" s="10">
        <v>2.5999999999999999E-2</v>
      </c>
      <c r="Z21" s="10">
        <v>2.5000000000000001E-2</v>
      </c>
      <c r="AA21" s="10">
        <v>2.5000000000000001E-2</v>
      </c>
      <c r="AB21" s="10">
        <v>2.5000000000000001E-2</v>
      </c>
      <c r="AC21" s="10">
        <v>2.4E-2</v>
      </c>
      <c r="AD21" s="10">
        <v>2.3E-2</v>
      </c>
      <c r="AE21" s="10">
        <v>2.1999999999999999E-2</v>
      </c>
      <c r="AF21" s="10">
        <v>2.3E-2</v>
      </c>
      <c r="AG21" s="10">
        <v>2.3E-2</v>
      </c>
      <c r="AH21" s="13">
        <v>2.3E-2</v>
      </c>
      <c r="AI21" s="13">
        <v>2.3E-2</v>
      </c>
      <c r="AJ21" s="13">
        <v>2.3E-2</v>
      </c>
      <c r="AK21" s="13">
        <v>2.3E-2</v>
      </c>
    </row>
    <row r="22" spans="1:37" x14ac:dyDescent="0.25">
      <c r="A22" s="7">
        <v>14</v>
      </c>
      <c r="B22" s="1"/>
      <c r="C22" s="1"/>
      <c r="D22" s="1"/>
      <c r="E22" s="1"/>
      <c r="F22" s="10"/>
      <c r="G22" s="10"/>
      <c r="H22" s="10"/>
      <c r="I22" s="10"/>
      <c r="J22" s="10"/>
      <c r="K22" s="10"/>
      <c r="L22" s="10"/>
      <c r="M22" s="10">
        <v>0.03</v>
      </c>
      <c r="N22" s="10">
        <v>2.7E-2</v>
      </c>
      <c r="O22" s="10">
        <v>2.5999999999999999E-2</v>
      </c>
      <c r="P22" s="10">
        <v>0.03</v>
      </c>
      <c r="Q22" s="10">
        <v>0.03</v>
      </c>
      <c r="R22" s="10">
        <v>3.1E-2</v>
      </c>
      <c r="S22" s="10">
        <v>3.2000000000000001E-2</v>
      </c>
      <c r="T22" s="10">
        <v>3.1E-2</v>
      </c>
      <c r="U22" s="10">
        <v>0.03</v>
      </c>
      <c r="V22" s="10">
        <v>2.9000000000000001E-2</v>
      </c>
      <c r="W22" s="10">
        <v>2.8000000000000001E-2</v>
      </c>
      <c r="X22" s="10">
        <v>2.7E-2</v>
      </c>
      <c r="Y22" s="10">
        <v>2.5999999999999999E-2</v>
      </c>
      <c r="Z22" s="10">
        <v>2.5000000000000001E-2</v>
      </c>
      <c r="AA22" s="10">
        <v>2.5000000000000001E-2</v>
      </c>
      <c r="AB22" s="10">
        <v>2.5000000000000001E-2</v>
      </c>
      <c r="AC22" s="10">
        <v>2.4E-2</v>
      </c>
      <c r="AD22" s="10">
        <v>2.3E-2</v>
      </c>
      <c r="AE22" s="10">
        <v>2.1999999999999999E-2</v>
      </c>
      <c r="AF22" s="10">
        <v>2.3E-2</v>
      </c>
      <c r="AG22" s="10">
        <v>2.3E-2</v>
      </c>
      <c r="AH22" s="13">
        <v>2.3E-2</v>
      </c>
      <c r="AI22" s="13">
        <v>2.3E-2</v>
      </c>
      <c r="AJ22" s="13">
        <v>2.3E-2</v>
      </c>
      <c r="AK22" s="13">
        <v>2.3E-2</v>
      </c>
    </row>
    <row r="23" spans="1:37" x14ac:dyDescent="0.25">
      <c r="A23" s="7">
        <v>15</v>
      </c>
      <c r="B23" s="1"/>
      <c r="C23" s="1"/>
      <c r="D23" s="1"/>
      <c r="E23" s="1"/>
      <c r="F23" s="10"/>
      <c r="G23" s="10"/>
      <c r="H23" s="10"/>
      <c r="I23" s="10"/>
      <c r="J23" s="10"/>
      <c r="K23" s="10"/>
      <c r="L23" s="10"/>
      <c r="M23" s="10"/>
      <c r="N23" s="10">
        <v>2.7E-2</v>
      </c>
      <c r="O23" s="10">
        <v>2.5999999999999999E-2</v>
      </c>
      <c r="P23" s="10">
        <v>0.03</v>
      </c>
      <c r="Q23" s="10">
        <v>0.03</v>
      </c>
      <c r="R23" s="10">
        <v>3.1E-2</v>
      </c>
      <c r="S23" s="10">
        <v>3.2000000000000001E-2</v>
      </c>
      <c r="T23" s="10">
        <v>3.1E-2</v>
      </c>
      <c r="U23" s="10">
        <v>0.03</v>
      </c>
      <c r="V23" s="10">
        <v>2.9000000000000001E-2</v>
      </c>
      <c r="W23" s="10">
        <v>2.8000000000000001E-2</v>
      </c>
      <c r="X23" s="10">
        <v>2.7E-2</v>
      </c>
      <c r="Y23" s="10">
        <v>2.5999999999999999E-2</v>
      </c>
      <c r="Z23" s="10">
        <v>2.5000000000000001E-2</v>
      </c>
      <c r="AA23" s="10">
        <v>2.5000000000000001E-2</v>
      </c>
      <c r="AB23" s="10">
        <v>2.5000000000000001E-2</v>
      </c>
      <c r="AC23" s="10">
        <v>2.4E-2</v>
      </c>
      <c r="AD23" s="10">
        <v>2.3E-2</v>
      </c>
      <c r="AE23" s="10">
        <v>2.1999999999999999E-2</v>
      </c>
      <c r="AF23" s="10">
        <v>2.3E-2</v>
      </c>
      <c r="AG23" s="10">
        <v>2.3E-2</v>
      </c>
      <c r="AH23" s="13">
        <v>2.3E-2</v>
      </c>
      <c r="AI23" s="13">
        <v>2.3E-2</v>
      </c>
      <c r="AJ23" s="13">
        <v>2.3E-2</v>
      </c>
      <c r="AK23" s="13">
        <v>2.3E-2</v>
      </c>
    </row>
    <row r="24" spans="1:37" x14ac:dyDescent="0.25">
      <c r="A24" s="8">
        <v>16</v>
      </c>
      <c r="B24" s="1"/>
      <c r="C24" s="1"/>
      <c r="D24" s="1"/>
      <c r="E24" s="1"/>
      <c r="F24" s="10"/>
      <c r="G24" s="10"/>
      <c r="H24" s="10"/>
      <c r="I24" s="10"/>
      <c r="J24" s="10"/>
      <c r="K24" s="10"/>
      <c r="L24" s="10"/>
      <c r="M24" s="10"/>
      <c r="N24" s="10"/>
      <c r="O24" s="10">
        <v>2.5999999999999999E-2</v>
      </c>
      <c r="P24" s="10">
        <v>0.03</v>
      </c>
      <c r="Q24" s="10">
        <v>0.03</v>
      </c>
      <c r="R24" s="10">
        <v>3.1E-2</v>
      </c>
      <c r="S24" s="10">
        <v>3.2000000000000001E-2</v>
      </c>
      <c r="T24" s="10">
        <v>3.1E-2</v>
      </c>
      <c r="U24" s="10">
        <v>0.03</v>
      </c>
      <c r="V24" s="10">
        <v>2.9000000000000001E-2</v>
      </c>
      <c r="W24" s="10">
        <v>2.8000000000000001E-2</v>
      </c>
      <c r="X24" s="10">
        <v>2.7E-2</v>
      </c>
      <c r="Y24" s="10">
        <v>2.5999999999999999E-2</v>
      </c>
      <c r="Z24" s="10">
        <v>2.5000000000000001E-2</v>
      </c>
      <c r="AA24" s="10">
        <v>2.5000000000000001E-2</v>
      </c>
      <c r="AB24" s="10">
        <v>2.5000000000000001E-2</v>
      </c>
      <c r="AC24" s="10">
        <v>2.4E-2</v>
      </c>
      <c r="AD24" s="10">
        <v>2.3E-2</v>
      </c>
      <c r="AE24" s="10">
        <v>2.1999999999999999E-2</v>
      </c>
      <c r="AF24" s="10">
        <v>2.3E-2</v>
      </c>
      <c r="AG24" s="10">
        <v>2.3E-2</v>
      </c>
      <c r="AH24" s="13">
        <v>2.3E-2</v>
      </c>
      <c r="AI24" s="13">
        <v>2.3E-2</v>
      </c>
      <c r="AJ24" s="13">
        <v>2.3E-2</v>
      </c>
      <c r="AK24" s="13">
        <v>2.3E-2</v>
      </c>
    </row>
    <row r="25" spans="1:37" x14ac:dyDescent="0.25">
      <c r="A25" s="6">
        <v>17</v>
      </c>
      <c r="B25" s="1"/>
      <c r="C25" s="1"/>
      <c r="D25" s="1"/>
      <c r="E25" s="1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>
        <v>2.4E-2</v>
      </c>
      <c r="Q25" s="10">
        <v>2.3E-2</v>
      </c>
      <c r="R25" s="10">
        <v>2.1999999999999999E-2</v>
      </c>
      <c r="S25" s="10">
        <v>2.1000000000000001E-2</v>
      </c>
      <c r="T25" s="10">
        <v>0.02</v>
      </c>
      <c r="U25" s="10">
        <v>1.9E-2</v>
      </c>
      <c r="V25" s="10">
        <v>1.7999999999999999E-2</v>
      </c>
      <c r="W25" s="10">
        <v>1.7000000000000001E-2</v>
      </c>
      <c r="X25" s="10">
        <v>1.6E-2</v>
      </c>
      <c r="Y25" s="10">
        <v>1.6E-2</v>
      </c>
      <c r="Z25" s="10">
        <v>1.4999999999999999E-2</v>
      </c>
      <c r="AA25" s="10">
        <v>1.4999999999999999E-2</v>
      </c>
      <c r="AB25" s="10">
        <v>1.4E-2</v>
      </c>
      <c r="AC25" s="10">
        <v>1.4E-2</v>
      </c>
      <c r="AD25" s="10">
        <v>1.2999999999999999E-2</v>
      </c>
      <c r="AE25" s="10">
        <v>1.2999999999999999E-2</v>
      </c>
      <c r="AF25" s="10">
        <v>1.6E-2</v>
      </c>
      <c r="AG25" s="10">
        <v>1.6E-2</v>
      </c>
      <c r="AH25" s="13">
        <v>1.7000000000000001E-2</v>
      </c>
      <c r="AI25" s="13">
        <v>1.7000000000000001E-2</v>
      </c>
      <c r="AJ25" s="13">
        <v>1.7000000000000001E-2</v>
      </c>
      <c r="AK25" s="13">
        <v>1.7000000000000001E-2</v>
      </c>
    </row>
    <row r="26" spans="1:37" x14ac:dyDescent="0.25">
      <c r="A26" s="7">
        <v>18</v>
      </c>
      <c r="B26" s="1"/>
      <c r="C26" s="1"/>
      <c r="D26" s="1"/>
      <c r="E26" s="1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>
        <v>2.3E-2</v>
      </c>
      <c r="R26" s="10">
        <v>2.1999999999999999E-2</v>
      </c>
      <c r="S26" s="10">
        <v>2.1000000000000001E-2</v>
      </c>
      <c r="T26" s="10">
        <v>0.02</v>
      </c>
      <c r="U26" s="10">
        <v>1.9E-2</v>
      </c>
      <c r="V26" s="10">
        <v>1.7999999999999999E-2</v>
      </c>
      <c r="W26" s="10">
        <v>1.7000000000000001E-2</v>
      </c>
      <c r="X26" s="10">
        <v>1.6E-2</v>
      </c>
      <c r="Y26" s="10">
        <v>1.6E-2</v>
      </c>
      <c r="Z26" s="10">
        <v>1.4999999999999999E-2</v>
      </c>
      <c r="AA26" s="10">
        <v>1.4999999999999999E-2</v>
      </c>
      <c r="AB26" s="10">
        <v>1.4E-2</v>
      </c>
      <c r="AC26" s="10">
        <v>1.4E-2</v>
      </c>
      <c r="AD26" s="10">
        <v>1.2999999999999999E-2</v>
      </c>
      <c r="AE26" s="10">
        <v>1.2999999999999999E-2</v>
      </c>
      <c r="AF26" s="10">
        <v>1.6E-2</v>
      </c>
      <c r="AG26" s="10">
        <v>1.6E-2</v>
      </c>
      <c r="AH26" s="13">
        <v>1.7000000000000001E-2</v>
      </c>
      <c r="AI26" s="13">
        <v>1.7000000000000001E-2</v>
      </c>
      <c r="AJ26" s="13">
        <v>1.7000000000000001E-2</v>
      </c>
      <c r="AK26" s="13">
        <v>1.7000000000000001E-2</v>
      </c>
    </row>
    <row r="27" spans="1:37" x14ac:dyDescent="0.25">
      <c r="A27" s="7">
        <v>19</v>
      </c>
      <c r="B27" s="1"/>
      <c r="C27" s="1"/>
      <c r="D27" s="1"/>
      <c r="E27" s="1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>
        <v>2.1999999999999999E-2</v>
      </c>
      <c r="S27" s="10">
        <v>2.1000000000000001E-2</v>
      </c>
      <c r="T27" s="10">
        <v>0.02</v>
      </c>
      <c r="U27" s="10">
        <v>1.9E-2</v>
      </c>
      <c r="V27" s="10">
        <v>1.7999999999999999E-2</v>
      </c>
      <c r="W27" s="10">
        <v>1.7000000000000001E-2</v>
      </c>
      <c r="X27" s="10">
        <v>1.6E-2</v>
      </c>
      <c r="Y27" s="10">
        <v>1.6E-2</v>
      </c>
      <c r="Z27" s="10">
        <v>1.4999999999999999E-2</v>
      </c>
      <c r="AA27" s="10">
        <v>1.4999999999999999E-2</v>
      </c>
      <c r="AB27" s="10">
        <v>1.4E-2</v>
      </c>
      <c r="AC27" s="10">
        <v>1.4E-2</v>
      </c>
      <c r="AD27" s="10">
        <v>1.2999999999999999E-2</v>
      </c>
      <c r="AE27" s="10">
        <v>1.2999999999999999E-2</v>
      </c>
      <c r="AF27" s="10">
        <v>1.6E-2</v>
      </c>
      <c r="AG27" s="10">
        <v>1.6E-2</v>
      </c>
      <c r="AH27" s="13">
        <v>1.7000000000000001E-2</v>
      </c>
      <c r="AI27" s="13">
        <v>1.7000000000000001E-2</v>
      </c>
      <c r="AJ27" s="13">
        <v>1.7000000000000001E-2</v>
      </c>
      <c r="AK27" s="13">
        <v>1.7000000000000001E-2</v>
      </c>
    </row>
    <row r="28" spans="1:37" x14ac:dyDescent="0.25">
      <c r="A28" s="8">
        <v>20</v>
      </c>
      <c r="B28" s="1"/>
      <c r="C28" s="1"/>
      <c r="D28" s="1"/>
      <c r="E28" s="1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>
        <v>2.1000000000000001E-2</v>
      </c>
      <c r="T28" s="10">
        <v>0.02</v>
      </c>
      <c r="U28" s="10">
        <v>1.9E-2</v>
      </c>
      <c r="V28" s="10">
        <v>1.7999999999999999E-2</v>
      </c>
      <c r="W28" s="10">
        <v>1.7000000000000001E-2</v>
      </c>
      <c r="X28" s="10">
        <v>1.6E-2</v>
      </c>
      <c r="Y28" s="10">
        <v>1.6E-2</v>
      </c>
      <c r="Z28" s="10">
        <v>1.4999999999999999E-2</v>
      </c>
      <c r="AA28" s="10">
        <v>1.4999999999999999E-2</v>
      </c>
      <c r="AB28" s="10">
        <v>1.4E-2</v>
      </c>
      <c r="AC28" s="10">
        <v>1.4E-2</v>
      </c>
      <c r="AD28" s="10">
        <v>1.2999999999999999E-2</v>
      </c>
      <c r="AE28" s="10">
        <v>1.2999999999999999E-2</v>
      </c>
      <c r="AF28" s="10">
        <v>1.6E-2</v>
      </c>
      <c r="AG28" s="10">
        <v>1.6E-2</v>
      </c>
      <c r="AH28" s="13">
        <v>1.7000000000000001E-2</v>
      </c>
      <c r="AI28" s="13">
        <v>1.7000000000000001E-2</v>
      </c>
      <c r="AJ28" s="13">
        <v>1.7000000000000001E-2</v>
      </c>
      <c r="AK28" s="13">
        <v>1.7000000000000001E-2</v>
      </c>
    </row>
    <row r="29" spans="1:37" x14ac:dyDescent="0.25">
      <c r="A29" s="6">
        <v>21</v>
      </c>
      <c r="B29" s="1"/>
      <c r="C29" s="1"/>
      <c r="D29" s="1"/>
      <c r="E29" s="1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>
        <v>0.02</v>
      </c>
      <c r="U29" s="10">
        <v>1.9E-2</v>
      </c>
      <c r="V29" s="10">
        <v>1.7999999999999999E-2</v>
      </c>
      <c r="W29" s="10">
        <v>1.7000000000000001E-2</v>
      </c>
      <c r="X29" s="10">
        <v>1.6E-2</v>
      </c>
      <c r="Y29" s="10">
        <v>1.6E-2</v>
      </c>
      <c r="Z29" s="10">
        <v>1.4999999999999999E-2</v>
      </c>
      <c r="AA29" s="10">
        <v>1.4999999999999999E-2</v>
      </c>
      <c r="AB29" s="10">
        <v>1.4E-2</v>
      </c>
      <c r="AC29" s="10">
        <v>1.4E-2</v>
      </c>
      <c r="AD29" s="10">
        <v>1.2999999999999999E-2</v>
      </c>
      <c r="AE29" s="10">
        <v>1.2999999999999999E-2</v>
      </c>
      <c r="AF29" s="10">
        <v>1.6E-2</v>
      </c>
      <c r="AG29" s="10">
        <v>1.6E-2</v>
      </c>
      <c r="AH29" s="13">
        <v>1.7000000000000001E-2</v>
      </c>
      <c r="AI29" s="13">
        <v>1.7000000000000001E-2</v>
      </c>
      <c r="AJ29" s="13">
        <v>1.7000000000000001E-2</v>
      </c>
      <c r="AK29" s="13">
        <v>1.7000000000000001E-2</v>
      </c>
    </row>
    <row r="30" spans="1:37" x14ac:dyDescent="0.25">
      <c r="A30" s="7">
        <v>22</v>
      </c>
      <c r="B30" s="1"/>
      <c r="C30" s="1"/>
      <c r="D30" s="1"/>
      <c r="E30" s="1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>
        <v>1.9E-2</v>
      </c>
      <c r="V30" s="10">
        <v>1.7999999999999999E-2</v>
      </c>
      <c r="W30" s="10">
        <v>1.7000000000000001E-2</v>
      </c>
      <c r="X30" s="10">
        <v>1.6E-2</v>
      </c>
      <c r="Y30" s="10">
        <v>1.6E-2</v>
      </c>
      <c r="Z30" s="10">
        <v>1.4999999999999999E-2</v>
      </c>
      <c r="AA30" s="10">
        <v>1.4999999999999999E-2</v>
      </c>
      <c r="AB30" s="10">
        <v>1.4E-2</v>
      </c>
      <c r="AC30" s="10">
        <v>1.4E-2</v>
      </c>
      <c r="AD30" s="10">
        <v>1.2999999999999999E-2</v>
      </c>
      <c r="AE30" s="10">
        <v>1.2999999999999999E-2</v>
      </c>
      <c r="AF30" s="10">
        <v>1.6E-2</v>
      </c>
      <c r="AG30" s="10">
        <v>1.6E-2</v>
      </c>
      <c r="AH30" s="13">
        <v>1.7000000000000001E-2</v>
      </c>
      <c r="AI30" s="13">
        <v>1.7000000000000001E-2</v>
      </c>
      <c r="AJ30" s="13">
        <v>1.7000000000000001E-2</v>
      </c>
      <c r="AK30" s="13">
        <v>1.7000000000000001E-2</v>
      </c>
    </row>
    <row r="31" spans="1:37" x14ac:dyDescent="0.25">
      <c r="A31" s="7">
        <v>23</v>
      </c>
      <c r="B31" s="1"/>
      <c r="C31" s="1"/>
      <c r="D31" s="1"/>
      <c r="E31" s="1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>
        <v>1.7999999999999999E-2</v>
      </c>
      <c r="W31" s="10">
        <v>1.7000000000000001E-2</v>
      </c>
      <c r="X31" s="10">
        <v>1.6E-2</v>
      </c>
      <c r="Y31" s="10">
        <v>1.6E-2</v>
      </c>
      <c r="Z31" s="10">
        <v>1.4999999999999999E-2</v>
      </c>
      <c r="AA31" s="10">
        <v>1.4999999999999999E-2</v>
      </c>
      <c r="AB31" s="10">
        <v>1.4E-2</v>
      </c>
      <c r="AC31" s="10">
        <v>1.4E-2</v>
      </c>
      <c r="AD31" s="10">
        <v>1.2999999999999999E-2</v>
      </c>
      <c r="AE31" s="10">
        <v>1.2999999999999999E-2</v>
      </c>
      <c r="AF31" s="10">
        <v>1.6E-2</v>
      </c>
      <c r="AG31" s="10">
        <v>1.6E-2</v>
      </c>
      <c r="AH31" s="13">
        <v>1.7000000000000001E-2</v>
      </c>
      <c r="AI31" s="13">
        <v>1.7000000000000001E-2</v>
      </c>
      <c r="AJ31" s="13">
        <v>1.7000000000000001E-2</v>
      </c>
      <c r="AK31" s="13">
        <v>1.7000000000000001E-2</v>
      </c>
    </row>
    <row r="32" spans="1:37" x14ac:dyDescent="0.25">
      <c r="A32" s="8">
        <v>24</v>
      </c>
      <c r="B32" s="1"/>
      <c r="C32" s="1"/>
      <c r="D32" s="1"/>
      <c r="E32" s="1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>
        <v>1.7000000000000001E-2</v>
      </c>
      <c r="X32" s="10">
        <v>1.6E-2</v>
      </c>
      <c r="Y32" s="10">
        <v>1.6E-2</v>
      </c>
      <c r="Z32" s="10">
        <v>1.4999999999999999E-2</v>
      </c>
      <c r="AA32" s="10">
        <v>1.4999999999999999E-2</v>
      </c>
      <c r="AB32" s="10">
        <v>1.4E-2</v>
      </c>
      <c r="AC32" s="10">
        <v>1.4E-2</v>
      </c>
      <c r="AD32" s="10">
        <v>1.2999999999999999E-2</v>
      </c>
      <c r="AE32" s="10">
        <v>1.2999999999999999E-2</v>
      </c>
      <c r="AF32" s="10">
        <v>1.6E-2</v>
      </c>
      <c r="AG32" s="10">
        <v>1.6E-2</v>
      </c>
      <c r="AH32" s="13">
        <v>1.7000000000000001E-2</v>
      </c>
      <c r="AI32" s="13">
        <v>1.7000000000000001E-2</v>
      </c>
      <c r="AJ32" s="13">
        <v>1.7000000000000001E-2</v>
      </c>
      <c r="AK32" s="13">
        <v>1.7000000000000001E-2</v>
      </c>
    </row>
    <row r="33" spans="1:37" x14ac:dyDescent="0.25">
      <c r="A33" s="6">
        <v>25</v>
      </c>
      <c r="B33" s="1"/>
      <c r="C33" s="1"/>
      <c r="D33" s="1"/>
      <c r="E33" s="1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>
        <v>1.6E-2</v>
      </c>
      <c r="Y33" s="10">
        <v>1.6E-2</v>
      </c>
      <c r="Z33" s="10">
        <v>1.4999999999999999E-2</v>
      </c>
      <c r="AA33" s="10">
        <v>1.4999999999999999E-2</v>
      </c>
      <c r="AB33" s="10">
        <v>1.4E-2</v>
      </c>
      <c r="AC33" s="10">
        <v>1.4E-2</v>
      </c>
      <c r="AD33" s="10">
        <v>1.2999999999999999E-2</v>
      </c>
      <c r="AE33" s="10">
        <v>1.2999999999999999E-2</v>
      </c>
      <c r="AF33" s="10">
        <v>1.6E-2</v>
      </c>
      <c r="AG33" s="10">
        <v>1.6E-2</v>
      </c>
      <c r="AH33" s="13">
        <v>1.7000000000000001E-2</v>
      </c>
      <c r="AI33" s="13">
        <v>1.7000000000000001E-2</v>
      </c>
      <c r="AJ33" s="13">
        <v>1.7000000000000001E-2</v>
      </c>
      <c r="AK33" s="13">
        <v>1.7000000000000001E-2</v>
      </c>
    </row>
    <row r="34" spans="1:37" x14ac:dyDescent="0.25">
      <c r="A34" s="7">
        <v>26</v>
      </c>
      <c r="B34" s="1"/>
      <c r="C34" s="1"/>
      <c r="D34" s="1"/>
      <c r="E34" s="1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>
        <v>1.6E-2</v>
      </c>
      <c r="Z34" s="10">
        <v>1.4999999999999999E-2</v>
      </c>
      <c r="AA34" s="10">
        <v>1.4999999999999999E-2</v>
      </c>
      <c r="AB34" s="10">
        <v>1.4E-2</v>
      </c>
      <c r="AC34" s="10">
        <v>1.4E-2</v>
      </c>
      <c r="AD34" s="10">
        <v>1.2999999999999999E-2</v>
      </c>
      <c r="AE34" s="10">
        <v>1.2999999999999999E-2</v>
      </c>
      <c r="AF34" s="10">
        <v>1.6E-2</v>
      </c>
      <c r="AG34" s="10">
        <v>1.6E-2</v>
      </c>
      <c r="AH34" s="13">
        <v>1.7000000000000001E-2</v>
      </c>
      <c r="AI34" s="13">
        <v>1.7000000000000001E-2</v>
      </c>
      <c r="AJ34" s="13">
        <v>1.7000000000000001E-2</v>
      </c>
      <c r="AK34" s="13">
        <v>1.7000000000000001E-2</v>
      </c>
    </row>
    <row r="35" spans="1:37" x14ac:dyDescent="0.25">
      <c r="A35" s="7">
        <v>27</v>
      </c>
      <c r="B35" s="1"/>
      <c r="C35" s="1"/>
      <c r="D35" s="1"/>
      <c r="E35" s="1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>
        <v>1.4999999999999999E-2</v>
      </c>
      <c r="AA35" s="10">
        <v>1.4999999999999999E-2</v>
      </c>
      <c r="AB35" s="10">
        <v>1.4E-2</v>
      </c>
      <c r="AC35" s="10">
        <v>1.4E-2</v>
      </c>
      <c r="AD35" s="10">
        <v>1.2999999999999999E-2</v>
      </c>
      <c r="AE35" s="10">
        <v>1.2999999999999999E-2</v>
      </c>
      <c r="AF35" s="10">
        <v>1.6E-2</v>
      </c>
      <c r="AG35" s="10">
        <v>1.6E-2</v>
      </c>
      <c r="AH35" s="13">
        <v>1.7000000000000001E-2</v>
      </c>
      <c r="AI35" s="13">
        <v>1.7000000000000001E-2</v>
      </c>
      <c r="AJ35" s="13">
        <v>1.7000000000000001E-2</v>
      </c>
      <c r="AK35" s="13">
        <v>1.7000000000000001E-2</v>
      </c>
    </row>
    <row r="36" spans="1:37" x14ac:dyDescent="0.25">
      <c r="A36" s="8">
        <v>28</v>
      </c>
      <c r="B36" s="1"/>
      <c r="C36" s="1"/>
      <c r="D36" s="1"/>
      <c r="E36" s="1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>
        <v>1.4999999999999999E-2</v>
      </c>
      <c r="AB36" s="10">
        <v>1.4E-2</v>
      </c>
      <c r="AC36" s="10">
        <v>1.4E-2</v>
      </c>
      <c r="AD36" s="10">
        <v>1.2999999999999999E-2</v>
      </c>
      <c r="AE36" s="10">
        <v>1.2999999999999999E-2</v>
      </c>
      <c r="AF36" s="10">
        <v>1.6E-2</v>
      </c>
      <c r="AG36" s="10">
        <v>1.6E-2</v>
      </c>
      <c r="AH36" s="13">
        <v>1.7000000000000001E-2</v>
      </c>
      <c r="AI36" s="13">
        <v>1.7000000000000001E-2</v>
      </c>
      <c r="AJ36" s="13">
        <v>1.7000000000000001E-2</v>
      </c>
      <c r="AK36" s="13">
        <v>1.7000000000000001E-2</v>
      </c>
    </row>
    <row r="37" spans="1:37" x14ac:dyDescent="0.25">
      <c r="A37" s="6">
        <v>29</v>
      </c>
      <c r="B37" s="1"/>
      <c r="C37" s="1"/>
      <c r="D37" s="1"/>
      <c r="E37" s="1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>
        <v>1.4E-2</v>
      </c>
      <c r="AC37" s="10">
        <v>1.4E-2</v>
      </c>
      <c r="AD37" s="10">
        <v>1.2999999999999999E-2</v>
      </c>
      <c r="AE37" s="10">
        <v>1.2999999999999999E-2</v>
      </c>
      <c r="AF37" s="10">
        <v>1.6E-2</v>
      </c>
      <c r="AG37" s="10">
        <v>1.6E-2</v>
      </c>
      <c r="AH37" s="13">
        <v>1.7000000000000001E-2</v>
      </c>
      <c r="AI37" s="13">
        <v>1.7000000000000001E-2</v>
      </c>
      <c r="AJ37" s="13">
        <v>1.7000000000000001E-2</v>
      </c>
      <c r="AK37" s="13">
        <v>1.7000000000000001E-2</v>
      </c>
    </row>
    <row r="38" spans="1:37" x14ac:dyDescent="0.25">
      <c r="A38" s="7">
        <v>30</v>
      </c>
      <c r="B38" s="1"/>
      <c r="C38" s="1"/>
      <c r="D38" s="1"/>
      <c r="E38" s="1"/>
      <c r="AC38" s="10">
        <v>1.4E-2</v>
      </c>
      <c r="AD38" s="10">
        <v>1.2999999999999999E-2</v>
      </c>
      <c r="AE38" s="10">
        <v>1.2999999999999999E-2</v>
      </c>
      <c r="AF38" s="10">
        <v>1.6E-2</v>
      </c>
      <c r="AG38" s="10">
        <v>1.6E-2</v>
      </c>
      <c r="AH38" s="13">
        <v>1.7000000000000001E-2</v>
      </c>
      <c r="AI38" s="13">
        <v>1.7000000000000001E-2</v>
      </c>
      <c r="AJ38" s="13">
        <v>1.7000000000000001E-2</v>
      </c>
      <c r="AK38" s="13">
        <v>1.7000000000000001E-2</v>
      </c>
    </row>
    <row r="39" spans="1:37" x14ac:dyDescent="0.25">
      <c r="A39" s="7">
        <v>31</v>
      </c>
      <c r="B39" s="1"/>
      <c r="C39" s="1"/>
      <c r="D39" s="1"/>
      <c r="E39" s="1"/>
      <c r="AD39" s="10">
        <v>1.2999999999999999E-2</v>
      </c>
      <c r="AE39" s="10">
        <v>1.2999999999999999E-2</v>
      </c>
      <c r="AF39" s="10">
        <v>1.6E-2</v>
      </c>
      <c r="AG39" s="10">
        <v>1.6E-2</v>
      </c>
      <c r="AH39" s="13">
        <v>1.7000000000000001E-2</v>
      </c>
      <c r="AI39" s="13">
        <v>1.7000000000000001E-2</v>
      </c>
      <c r="AJ39" s="13">
        <v>1.7000000000000001E-2</v>
      </c>
      <c r="AK39" s="13">
        <v>1.7000000000000001E-2</v>
      </c>
    </row>
    <row r="40" spans="1:37" x14ac:dyDescent="0.25">
      <c r="A40" s="8">
        <v>32</v>
      </c>
      <c r="B40" s="1"/>
      <c r="C40" s="1"/>
      <c r="D40" s="1"/>
      <c r="E40" s="1"/>
      <c r="AE40" s="10">
        <v>1.2999999999999999E-2</v>
      </c>
      <c r="AF40" s="10">
        <v>1.6E-2</v>
      </c>
      <c r="AG40" s="10">
        <v>1.6E-2</v>
      </c>
      <c r="AH40" s="13">
        <v>1.7000000000000001E-2</v>
      </c>
      <c r="AI40" s="13">
        <v>1.7000000000000001E-2</v>
      </c>
      <c r="AJ40" s="13">
        <v>1.7000000000000001E-2</v>
      </c>
      <c r="AK40" s="13">
        <v>1.7000000000000001E-2</v>
      </c>
    </row>
    <row r="41" spans="1:37" x14ac:dyDescent="0.25">
      <c r="A41" s="6">
        <v>33</v>
      </c>
      <c r="B41" s="1"/>
      <c r="C41" s="1"/>
      <c r="D41" s="1"/>
      <c r="E41" s="1"/>
      <c r="AE41" s="10"/>
      <c r="AF41" s="10">
        <v>1.2500000000000001E-2</v>
      </c>
      <c r="AG41" s="10">
        <v>1.2E-2</v>
      </c>
      <c r="AH41" s="13">
        <v>1.15E-2</v>
      </c>
      <c r="AI41" s="13">
        <v>1.15E-2</v>
      </c>
      <c r="AJ41" s="13">
        <v>1.0999999999999999E-2</v>
      </c>
      <c r="AK41" s="13">
        <v>1.0999999999999999E-2</v>
      </c>
    </row>
    <row r="42" spans="1:37" x14ac:dyDescent="0.25">
      <c r="A42" s="7">
        <v>34</v>
      </c>
      <c r="B42" s="1"/>
      <c r="C42" s="1"/>
      <c r="D42" s="1"/>
      <c r="E42" s="1"/>
      <c r="AE42" s="10"/>
      <c r="AF42" s="10"/>
      <c r="AG42" s="10">
        <v>1.2E-2</v>
      </c>
      <c r="AH42" s="13">
        <v>1.15E-2</v>
      </c>
      <c r="AI42" s="13">
        <v>1.15E-2</v>
      </c>
      <c r="AJ42" s="13">
        <v>1.0999999999999999E-2</v>
      </c>
      <c r="AK42" s="13">
        <v>1.0999999999999999E-2</v>
      </c>
    </row>
    <row r="43" spans="1:37" x14ac:dyDescent="0.25">
      <c r="A43" s="7">
        <v>35</v>
      </c>
      <c r="B43" s="1"/>
      <c r="C43" s="1"/>
      <c r="D43" s="1"/>
      <c r="E43" s="1"/>
      <c r="AE43" s="10"/>
      <c r="AF43" s="10"/>
      <c r="AG43" s="10"/>
      <c r="AH43" s="13">
        <v>1.15E-2</v>
      </c>
      <c r="AI43" s="13">
        <v>1.15E-2</v>
      </c>
      <c r="AJ43" s="13">
        <v>1.0999999999999999E-2</v>
      </c>
      <c r="AK43" s="13">
        <v>1.0999999999999999E-2</v>
      </c>
    </row>
    <row r="44" spans="1:37" x14ac:dyDescent="0.25">
      <c r="A44" s="8">
        <v>36</v>
      </c>
      <c r="B44" s="1"/>
      <c r="C44" s="1"/>
      <c r="D44" s="1"/>
      <c r="E44" s="10"/>
      <c r="AE44" s="10"/>
      <c r="AF44" s="10"/>
      <c r="AG44" s="10"/>
      <c r="AH44" s="13"/>
      <c r="AI44" s="13">
        <v>1.15E-2</v>
      </c>
      <c r="AJ44" s="13">
        <v>1.0999999999999999E-2</v>
      </c>
      <c r="AK44" s="13">
        <v>1.0999999999999999E-2</v>
      </c>
    </row>
    <row r="45" spans="1:37" x14ac:dyDescent="0.25">
      <c r="A45" s="6">
        <v>37</v>
      </c>
      <c r="B45" s="1"/>
      <c r="C45" s="1"/>
      <c r="D45" s="1"/>
      <c r="E45" s="1"/>
      <c r="AE45" s="10"/>
      <c r="AF45" s="10"/>
      <c r="AG45" s="10"/>
      <c r="AH45" s="13"/>
      <c r="AI45" s="13"/>
      <c r="AJ45" s="13">
        <v>1.0999999999999999E-2</v>
      </c>
      <c r="AK45" s="13">
        <v>1.0999999999999999E-2</v>
      </c>
    </row>
    <row r="46" spans="1:37" x14ac:dyDescent="0.25">
      <c r="A46" s="8">
        <v>38</v>
      </c>
      <c r="B46" s="1"/>
      <c r="C46" s="1"/>
      <c r="D46" s="1"/>
      <c r="E46" s="1"/>
      <c r="AE46" s="10"/>
      <c r="AF46" s="10"/>
      <c r="AG46" s="10"/>
      <c r="AH46" s="13"/>
      <c r="AI46" s="13"/>
      <c r="AJ46" s="13"/>
      <c r="AK46" s="13">
        <v>1.0999999999999999E-2</v>
      </c>
    </row>
    <row r="47" spans="1:37" x14ac:dyDescent="0.25">
      <c r="A47" s="11" t="s">
        <v>72</v>
      </c>
      <c r="B47" s="12">
        <f t="shared" ref="B47:AJ47" si="0">SUM(B9:B46)</f>
        <v>1</v>
      </c>
      <c r="C47" s="12">
        <f t="shared" si="0"/>
        <v>1</v>
      </c>
      <c r="D47" s="12">
        <f t="shared" si="0"/>
        <v>1</v>
      </c>
      <c r="E47" s="12">
        <f t="shared" si="0"/>
        <v>1.0000000000000002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1.0000000000000004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1.0000000000000004</v>
      </c>
      <c r="AK47" s="12">
        <f>SUM(AK9:AK46)</f>
        <v>1.0000000000000004</v>
      </c>
    </row>
    <row r="48" spans="1:37" x14ac:dyDescent="0.25">
      <c r="A48" s="2"/>
      <c r="B48" s="16">
        <f t="shared" ref="B48:E48" si="1">(+B11+B12)/2</f>
        <v>0.1</v>
      </c>
      <c r="C48" s="16">
        <f t="shared" si="1"/>
        <v>0.155</v>
      </c>
      <c r="D48" s="16">
        <f t="shared" si="1"/>
        <v>0.14399999999999999</v>
      </c>
      <c r="E48" s="16">
        <f t="shared" si="1"/>
        <v>0.1285</v>
      </c>
      <c r="F48" s="16">
        <f>(+F11+F12)/2</f>
        <v>0.11749999999999999</v>
      </c>
      <c r="G48" s="16">
        <f t="shared" ref="G48:AK48" si="2">(+G11+G12)/2</f>
        <v>0.114</v>
      </c>
      <c r="H48" s="16">
        <f t="shared" si="2"/>
        <v>0.112</v>
      </c>
      <c r="I48" s="16">
        <f t="shared" si="2"/>
        <v>0.108</v>
      </c>
      <c r="J48" s="16">
        <f t="shared" si="2"/>
        <v>0.10550000000000001</v>
      </c>
      <c r="K48" s="16">
        <f t="shared" si="2"/>
        <v>0.10450000000000001</v>
      </c>
      <c r="L48" s="16">
        <f t="shared" si="2"/>
        <v>0.1</v>
      </c>
      <c r="M48" s="16">
        <f t="shared" si="2"/>
        <v>9.6500000000000002E-2</v>
      </c>
      <c r="N48" s="16">
        <f t="shared" si="2"/>
        <v>9.8000000000000004E-2</v>
      </c>
      <c r="O48" s="16">
        <f t="shared" si="2"/>
        <v>9.6500000000000002E-2</v>
      </c>
      <c r="P48" s="16">
        <f t="shared" si="2"/>
        <v>8.8499999999999995E-2</v>
      </c>
      <c r="Q48" s="16">
        <f t="shared" si="2"/>
        <v>8.5499999999999993E-2</v>
      </c>
      <c r="R48" s="16">
        <f t="shared" si="2"/>
        <v>8.1000000000000003E-2</v>
      </c>
      <c r="S48" s="16">
        <f t="shared" si="2"/>
        <v>7.7499999999999999E-2</v>
      </c>
      <c r="T48" s="16">
        <f t="shared" si="2"/>
        <v>7.8E-2</v>
      </c>
      <c r="U48" s="16">
        <f t="shared" si="2"/>
        <v>7.6999999999999999E-2</v>
      </c>
      <c r="V48" s="16">
        <f t="shared" si="2"/>
        <v>7.6499999999999999E-2</v>
      </c>
      <c r="W48" s="16">
        <f t="shared" si="2"/>
        <v>7.6999999999999999E-2</v>
      </c>
      <c r="X48" s="16">
        <f t="shared" si="2"/>
        <v>7.7499999999999999E-2</v>
      </c>
      <c r="Y48" s="16">
        <f t="shared" si="2"/>
        <v>7.6999999999999999E-2</v>
      </c>
      <c r="Z48" s="16">
        <f t="shared" si="2"/>
        <v>7.85E-2</v>
      </c>
      <c r="AA48" s="16">
        <f t="shared" si="2"/>
        <v>7.6499999999999999E-2</v>
      </c>
      <c r="AB48" s="16">
        <f t="shared" si="2"/>
        <v>7.6499999999999999E-2</v>
      </c>
      <c r="AC48" s="16">
        <f t="shared" si="2"/>
        <v>7.5999999999999998E-2</v>
      </c>
      <c r="AD48" s="16">
        <f t="shared" si="2"/>
        <v>7.8E-2</v>
      </c>
      <c r="AE48" s="16">
        <f t="shared" si="2"/>
        <v>7.6499999999999999E-2</v>
      </c>
      <c r="AF48" s="16">
        <f t="shared" si="2"/>
        <v>6.7250000000000004E-2</v>
      </c>
      <c r="AG48" s="16">
        <f t="shared" si="2"/>
        <v>6.6000000000000003E-2</v>
      </c>
      <c r="AH48" s="16">
        <f t="shared" si="2"/>
        <v>6.25E-2</v>
      </c>
      <c r="AI48" s="16">
        <f t="shared" si="2"/>
        <v>6.0499999999999998E-2</v>
      </c>
      <c r="AJ48" s="16">
        <f t="shared" si="2"/>
        <v>0.06</v>
      </c>
      <c r="AK48" s="16">
        <f t="shared" si="2"/>
        <v>5.8500000000000003E-2</v>
      </c>
    </row>
    <row r="49" spans="1:37" x14ac:dyDescent="0.25">
      <c r="A49" s="2"/>
      <c r="B49" s="17">
        <v>0.11749999999999999</v>
      </c>
      <c r="C49" s="17">
        <v>0.11749999999999999</v>
      </c>
      <c r="D49" s="17">
        <v>0.11749999999999999</v>
      </c>
      <c r="E49" s="17">
        <v>0.11749999999999999</v>
      </c>
      <c r="F49" s="17">
        <v>0.11749999999999999</v>
      </c>
      <c r="G49" s="17">
        <v>0.114</v>
      </c>
      <c r="H49" s="17">
        <v>0.112</v>
      </c>
      <c r="I49" s="13">
        <v>0.108</v>
      </c>
      <c r="J49" s="17">
        <v>0.10550000000000001</v>
      </c>
      <c r="K49" s="17">
        <v>0.10450000000000001</v>
      </c>
      <c r="L49" s="17">
        <v>0.1</v>
      </c>
      <c r="M49" s="17">
        <v>9.6500000000000002E-2</v>
      </c>
      <c r="N49" s="17">
        <v>9.8000000000000004E-2</v>
      </c>
      <c r="O49" s="17">
        <v>9.6500000000000002E-2</v>
      </c>
      <c r="P49" s="17">
        <v>8.8499999999999995E-2</v>
      </c>
      <c r="Q49" s="17">
        <v>8.5499999999999993E-2</v>
      </c>
      <c r="R49" s="17">
        <v>8.1000000000000003E-2</v>
      </c>
      <c r="S49" s="17">
        <v>7.7499999999999999E-2</v>
      </c>
      <c r="T49" s="17">
        <v>7.8E-2</v>
      </c>
      <c r="U49" s="17">
        <v>7.6999999999999999E-2</v>
      </c>
      <c r="V49" s="17">
        <v>7.6499999999999999E-2</v>
      </c>
      <c r="W49" s="17">
        <v>7.6999999999999999E-2</v>
      </c>
      <c r="X49" s="17">
        <v>7.7499999999999999E-2</v>
      </c>
      <c r="Y49" s="17">
        <v>7.6999999999999999E-2</v>
      </c>
      <c r="Z49" s="17">
        <v>7.85E-2</v>
      </c>
      <c r="AA49" s="17">
        <v>7.6499999999999999E-2</v>
      </c>
      <c r="AB49" s="17">
        <v>7.6499999999999999E-2</v>
      </c>
      <c r="AC49" s="17">
        <v>7.5999999999999998E-2</v>
      </c>
      <c r="AD49" s="17">
        <v>7.8E-2</v>
      </c>
      <c r="AE49" s="17">
        <v>7.6499999999999999E-2</v>
      </c>
      <c r="AF49" s="17">
        <v>6.7250000000000004E-2</v>
      </c>
      <c r="AG49" s="17">
        <v>6.6000000000000003E-2</v>
      </c>
      <c r="AH49" s="17">
        <v>6.25E-2</v>
      </c>
      <c r="AI49" s="17">
        <v>6.0499999999999998E-2</v>
      </c>
      <c r="AJ49" s="17">
        <v>0.06</v>
      </c>
      <c r="AK49" s="17">
        <v>5.8500000000000003E-2</v>
      </c>
    </row>
    <row r="50" spans="1:37" x14ac:dyDescent="0.25">
      <c r="A50" s="2"/>
      <c r="B50" s="2"/>
      <c r="C50" s="2"/>
      <c r="D50" s="2"/>
      <c r="E50" s="2"/>
    </row>
    <row r="51" spans="1:37" x14ac:dyDescent="0.25">
      <c r="A51" s="2"/>
      <c r="B51" s="16">
        <f t="shared" ref="B51:E51" si="3">1-B47</f>
        <v>0</v>
      </c>
      <c r="C51" s="16">
        <f t="shared" si="3"/>
        <v>0</v>
      </c>
      <c r="D51" s="16">
        <f t="shared" si="3"/>
        <v>0</v>
      </c>
      <c r="E51" s="16">
        <f t="shared" si="3"/>
        <v>0</v>
      </c>
      <c r="F51" s="16">
        <f>1-F47</f>
        <v>0</v>
      </c>
    </row>
    <row r="52" spans="1:37" x14ac:dyDescent="0.25">
      <c r="A52" s="2"/>
      <c r="B52" s="2"/>
      <c r="C52" s="2"/>
      <c r="D52" s="2"/>
      <c r="E52" s="2"/>
    </row>
    <row r="53" spans="1:37" x14ac:dyDescent="0.25">
      <c r="A53" s="2"/>
      <c r="B53" s="2"/>
      <c r="C53" s="2"/>
      <c r="D53" s="2"/>
      <c r="E53" s="2"/>
    </row>
    <row r="54" spans="1:37" x14ac:dyDescent="0.25">
      <c r="A54" s="2"/>
      <c r="B54" s="2"/>
      <c r="C54" s="2"/>
      <c r="D54" s="2"/>
      <c r="E54" s="2"/>
    </row>
    <row r="55" spans="1:37" x14ac:dyDescent="0.25">
      <c r="A55" s="2"/>
      <c r="B55" s="2"/>
      <c r="C55" s="2"/>
      <c r="D55" s="2"/>
      <c r="E55" s="2"/>
    </row>
    <row r="56" spans="1:37" x14ac:dyDescent="0.25">
      <c r="A56" s="2"/>
      <c r="B56" s="2"/>
      <c r="C56" s="2"/>
      <c r="D56" s="2"/>
      <c r="E56" s="2"/>
    </row>
    <row r="57" spans="1:37" x14ac:dyDescent="0.25">
      <c r="A57" s="2"/>
      <c r="B57" s="2"/>
      <c r="C57" s="2"/>
      <c r="D57" s="2"/>
      <c r="E57" s="2"/>
    </row>
    <row r="58" spans="1:37" x14ac:dyDescent="0.25">
      <c r="A58" s="2"/>
      <c r="B58" s="2"/>
      <c r="C58" s="2"/>
      <c r="D58" s="2"/>
      <c r="E58" s="2"/>
    </row>
    <row r="59" spans="1:37" x14ac:dyDescent="0.25">
      <c r="A59" s="2"/>
      <c r="B59" s="2"/>
      <c r="C59" s="2"/>
      <c r="D59" s="2"/>
      <c r="E59" s="2"/>
    </row>
    <row r="60" spans="1:37" x14ac:dyDescent="0.25">
      <c r="A60" s="2"/>
      <c r="B60" s="2"/>
      <c r="C60" s="2"/>
      <c r="D60" s="2"/>
      <c r="E60" s="2"/>
    </row>
    <row r="61" spans="1:37" x14ac:dyDescent="0.25">
      <c r="A61" s="2"/>
      <c r="B61" s="2"/>
      <c r="C61" s="2"/>
      <c r="D61" s="2"/>
      <c r="E61" s="2"/>
    </row>
    <row r="62" spans="1:37" x14ac:dyDescent="0.25">
      <c r="A62" s="2"/>
      <c r="B62" s="2"/>
      <c r="C62" s="2"/>
      <c r="D62" s="2"/>
      <c r="E62" s="2"/>
    </row>
    <row r="63" spans="1:37" x14ac:dyDescent="0.25">
      <c r="A63" s="2"/>
      <c r="B63" s="2"/>
      <c r="C63" s="2"/>
      <c r="D63" s="2"/>
      <c r="E63" s="2"/>
    </row>
    <row r="64" spans="1:37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A187" s="2"/>
      <c r="B187" s="2"/>
      <c r="C187" s="2"/>
      <c r="D187" s="2"/>
      <c r="E187" s="2"/>
    </row>
    <row r="188" spans="1:5" x14ac:dyDescent="0.25">
      <c r="A188" s="2"/>
      <c r="B188" s="2"/>
      <c r="C188" s="2"/>
      <c r="D188" s="2"/>
      <c r="E188" s="2"/>
    </row>
    <row r="189" spans="1:5" x14ac:dyDescent="0.25">
      <c r="A189" s="2"/>
      <c r="B189" s="2"/>
      <c r="C189" s="2"/>
      <c r="D189" s="2"/>
      <c r="E189" s="2"/>
    </row>
    <row r="190" spans="1:5" x14ac:dyDescent="0.25">
      <c r="A190" s="2"/>
      <c r="B190" s="2"/>
      <c r="C190" s="2"/>
      <c r="D190" s="2"/>
      <c r="E190" s="2"/>
    </row>
    <row r="191" spans="1:5" x14ac:dyDescent="0.25">
      <c r="A191" s="2"/>
      <c r="B191" s="2"/>
      <c r="C191" s="2"/>
      <c r="D191" s="2"/>
      <c r="E191" s="2"/>
    </row>
    <row r="192" spans="1:5" x14ac:dyDescent="0.25">
      <c r="A192" s="2"/>
      <c r="B192" s="2"/>
      <c r="C192" s="2"/>
      <c r="D192" s="2"/>
      <c r="E192" s="2"/>
    </row>
    <row r="193" spans="1:5" x14ac:dyDescent="0.25">
      <c r="A193" s="2"/>
      <c r="B193" s="2"/>
      <c r="C193" s="2"/>
      <c r="D193" s="2"/>
      <c r="E193" s="2"/>
    </row>
    <row r="194" spans="1:5" x14ac:dyDescent="0.25">
      <c r="A194" s="2"/>
      <c r="B194" s="2"/>
      <c r="C194" s="2"/>
      <c r="D194" s="2"/>
      <c r="E194" s="2"/>
    </row>
    <row r="195" spans="1:5" x14ac:dyDescent="0.25">
      <c r="A195" s="2"/>
      <c r="B195" s="2"/>
      <c r="C195" s="2"/>
      <c r="D195" s="2"/>
      <c r="E195" s="2"/>
    </row>
    <row r="196" spans="1:5" x14ac:dyDescent="0.25">
      <c r="A196" s="2"/>
      <c r="B196" s="2"/>
      <c r="C196" s="2"/>
      <c r="D196" s="2"/>
      <c r="E196" s="2"/>
    </row>
    <row r="197" spans="1:5" x14ac:dyDescent="0.25">
      <c r="A197" s="2"/>
      <c r="B197" s="2"/>
      <c r="C197" s="2"/>
      <c r="D197" s="2"/>
      <c r="E197" s="2"/>
    </row>
    <row r="198" spans="1:5" x14ac:dyDescent="0.25">
      <c r="A198" s="2"/>
      <c r="B198" s="2"/>
      <c r="C198" s="2"/>
      <c r="D198" s="2"/>
      <c r="E198" s="2"/>
    </row>
    <row r="199" spans="1:5" x14ac:dyDescent="0.25">
      <c r="A199" s="2"/>
      <c r="B199" s="2"/>
      <c r="C199" s="2"/>
      <c r="D199" s="2"/>
      <c r="E199" s="2"/>
    </row>
    <row r="200" spans="1:5" x14ac:dyDescent="0.25">
      <c r="A200" s="2"/>
      <c r="B200" s="2"/>
      <c r="C200" s="2"/>
      <c r="D200" s="2"/>
      <c r="E200" s="2"/>
    </row>
    <row r="201" spans="1:5" x14ac:dyDescent="0.25">
      <c r="A201" s="2"/>
      <c r="B201" s="2"/>
      <c r="C201" s="2"/>
      <c r="D201" s="2"/>
      <c r="E201" s="2"/>
    </row>
    <row r="202" spans="1:5" x14ac:dyDescent="0.25">
      <c r="A202" s="2"/>
      <c r="B202" s="2"/>
      <c r="C202" s="2"/>
      <c r="D202" s="2"/>
      <c r="E202" s="2"/>
    </row>
    <row r="203" spans="1:5" x14ac:dyDescent="0.25">
      <c r="A203" s="2"/>
      <c r="B203" s="2"/>
      <c r="C203" s="2"/>
      <c r="D203" s="2"/>
      <c r="E203" s="2"/>
    </row>
    <row r="204" spans="1:5" x14ac:dyDescent="0.25">
      <c r="A204" s="2"/>
      <c r="B204" s="2"/>
      <c r="C204" s="2"/>
      <c r="D204" s="2"/>
      <c r="E204" s="2"/>
    </row>
    <row r="205" spans="1:5" x14ac:dyDescent="0.25">
      <c r="A205" s="2"/>
      <c r="B205" s="2"/>
      <c r="C205" s="2"/>
      <c r="D205" s="2"/>
      <c r="E205" s="2"/>
    </row>
    <row r="206" spans="1:5" x14ac:dyDescent="0.25">
      <c r="A206" s="2"/>
      <c r="B206" s="2"/>
      <c r="C206" s="2"/>
      <c r="D206" s="2"/>
      <c r="E206" s="2"/>
    </row>
    <row r="207" spans="1:5" x14ac:dyDescent="0.25">
      <c r="A207" s="2"/>
      <c r="B207" s="2"/>
      <c r="C207" s="2"/>
      <c r="D207" s="2"/>
      <c r="E207" s="2"/>
    </row>
    <row r="208" spans="1:5" x14ac:dyDescent="0.25">
      <c r="A208" s="2"/>
      <c r="B208" s="2"/>
      <c r="C208" s="2"/>
      <c r="D208" s="2"/>
      <c r="E208" s="2"/>
    </row>
    <row r="209" spans="1:5" x14ac:dyDescent="0.25">
      <c r="A209" s="2"/>
      <c r="B209" s="2"/>
      <c r="C209" s="2"/>
      <c r="D209" s="2"/>
      <c r="E209" s="2"/>
    </row>
    <row r="210" spans="1:5" x14ac:dyDescent="0.25">
      <c r="A210" s="2"/>
      <c r="B210" s="2"/>
      <c r="C210" s="2"/>
      <c r="D210" s="2"/>
      <c r="E210" s="2"/>
    </row>
    <row r="211" spans="1:5" x14ac:dyDescent="0.25">
      <c r="A211" s="2"/>
      <c r="B211" s="2"/>
      <c r="C211" s="2"/>
      <c r="D211" s="2"/>
      <c r="E211" s="2"/>
    </row>
    <row r="212" spans="1:5" x14ac:dyDescent="0.25">
      <c r="A212" s="2"/>
      <c r="B212" s="2"/>
      <c r="C212" s="2"/>
      <c r="D212" s="2"/>
      <c r="E212" s="2"/>
    </row>
    <row r="213" spans="1:5" x14ac:dyDescent="0.25">
      <c r="A213" s="2"/>
      <c r="B213" s="2"/>
      <c r="C213" s="2"/>
      <c r="D213" s="2"/>
      <c r="E213" s="2"/>
    </row>
    <row r="214" spans="1:5" x14ac:dyDescent="0.25">
      <c r="A214" s="2"/>
      <c r="B214" s="2"/>
      <c r="C214" s="2"/>
      <c r="D214" s="2"/>
      <c r="E214" s="2"/>
    </row>
    <row r="215" spans="1:5" x14ac:dyDescent="0.25">
      <c r="A215" s="2"/>
      <c r="B215" s="2"/>
      <c r="C215" s="2"/>
      <c r="D215" s="2"/>
      <c r="E215" s="2"/>
    </row>
    <row r="216" spans="1:5" x14ac:dyDescent="0.25">
      <c r="A216" s="2"/>
      <c r="B216" s="2"/>
      <c r="C216" s="2"/>
      <c r="D216" s="2"/>
      <c r="E216" s="2"/>
    </row>
    <row r="217" spans="1:5" x14ac:dyDescent="0.25">
      <c r="A217" s="2"/>
      <c r="B217" s="2"/>
      <c r="C217" s="2"/>
      <c r="D217" s="2"/>
      <c r="E217" s="2"/>
    </row>
    <row r="218" spans="1:5" x14ac:dyDescent="0.25">
      <c r="A218" s="2"/>
      <c r="B218" s="2"/>
      <c r="C218" s="2"/>
      <c r="D218" s="2"/>
      <c r="E218" s="2"/>
    </row>
    <row r="219" spans="1:5" x14ac:dyDescent="0.25">
      <c r="A219" s="2"/>
      <c r="B219" s="2"/>
      <c r="C219" s="2"/>
      <c r="D219" s="2"/>
      <c r="E219" s="2"/>
    </row>
    <row r="220" spans="1:5" x14ac:dyDescent="0.25">
      <c r="A220" s="2"/>
      <c r="B220" s="2"/>
      <c r="C220" s="2"/>
      <c r="D220" s="2"/>
      <c r="E220" s="2"/>
    </row>
    <row r="221" spans="1:5" x14ac:dyDescent="0.25">
      <c r="A221" s="2"/>
      <c r="B221" s="2"/>
      <c r="C221" s="2"/>
      <c r="D221" s="2"/>
      <c r="E221" s="2"/>
    </row>
    <row r="222" spans="1:5" x14ac:dyDescent="0.25">
      <c r="A222" s="2"/>
      <c r="B222" s="2"/>
      <c r="C222" s="2"/>
      <c r="D222" s="2"/>
      <c r="E222" s="2"/>
    </row>
    <row r="223" spans="1:5" x14ac:dyDescent="0.25">
      <c r="A223" s="2"/>
      <c r="B223" s="2"/>
      <c r="C223" s="2"/>
      <c r="D223" s="2"/>
      <c r="E223" s="2"/>
    </row>
    <row r="224" spans="1:5" x14ac:dyDescent="0.25">
      <c r="A224" s="2"/>
      <c r="B224" s="2"/>
      <c r="C224" s="2"/>
      <c r="D224" s="2"/>
      <c r="E224" s="2"/>
    </row>
    <row r="225" spans="1:5" x14ac:dyDescent="0.25">
      <c r="A225" s="2"/>
      <c r="B225" s="2"/>
      <c r="C225" s="2"/>
      <c r="D225" s="2"/>
      <c r="E225" s="2"/>
    </row>
    <row r="226" spans="1:5" x14ac:dyDescent="0.25">
      <c r="A226" s="2"/>
      <c r="B226" s="2"/>
      <c r="C226" s="2"/>
      <c r="D226" s="2"/>
      <c r="E226" s="2"/>
    </row>
    <row r="227" spans="1:5" x14ac:dyDescent="0.25">
      <c r="A227" s="2"/>
      <c r="B227" s="2"/>
      <c r="C227" s="2"/>
      <c r="D227" s="2"/>
      <c r="E227" s="2"/>
    </row>
    <row r="228" spans="1:5" x14ac:dyDescent="0.25">
      <c r="A228" s="2"/>
      <c r="B228" s="2"/>
      <c r="C228" s="2"/>
      <c r="D228" s="2"/>
      <c r="E228" s="2"/>
    </row>
    <row r="229" spans="1:5" x14ac:dyDescent="0.25">
      <c r="A229" s="2"/>
      <c r="B229" s="2"/>
      <c r="C229" s="2"/>
      <c r="D229" s="2"/>
      <c r="E229" s="2"/>
    </row>
    <row r="230" spans="1:5" x14ac:dyDescent="0.25">
      <c r="A230" s="2"/>
      <c r="B230" s="2"/>
      <c r="C230" s="2"/>
      <c r="D230" s="2"/>
      <c r="E230" s="2"/>
    </row>
    <row r="231" spans="1:5" x14ac:dyDescent="0.25">
      <c r="A231" s="2"/>
      <c r="B231" s="2"/>
      <c r="C231" s="2"/>
      <c r="D231" s="2"/>
      <c r="E231" s="2"/>
    </row>
    <row r="232" spans="1:5" x14ac:dyDescent="0.25">
      <c r="A232" s="2"/>
      <c r="B232" s="2"/>
      <c r="C232" s="2"/>
      <c r="D232" s="2"/>
      <c r="E232" s="2"/>
    </row>
    <row r="233" spans="1:5" x14ac:dyDescent="0.25">
      <c r="A233" s="2"/>
      <c r="B233" s="2"/>
      <c r="C233" s="2"/>
      <c r="D233" s="2"/>
      <c r="E233" s="2"/>
    </row>
    <row r="234" spans="1:5" x14ac:dyDescent="0.25">
      <c r="A234" s="2"/>
      <c r="B234" s="2"/>
      <c r="C234" s="2"/>
      <c r="D234" s="2"/>
      <c r="E234" s="2"/>
    </row>
    <row r="235" spans="1:5" x14ac:dyDescent="0.25">
      <c r="A235" s="2"/>
      <c r="B235" s="2"/>
      <c r="C235" s="2"/>
      <c r="D235" s="2"/>
      <c r="E235" s="2"/>
    </row>
    <row r="236" spans="1:5" x14ac:dyDescent="0.25">
      <c r="A236" s="2"/>
      <c r="B236" s="2"/>
      <c r="C236" s="2"/>
      <c r="D236" s="2"/>
      <c r="E236" s="2"/>
    </row>
    <row r="237" spans="1:5" x14ac:dyDescent="0.25">
      <c r="A237" s="2"/>
      <c r="B237" s="2"/>
      <c r="C237" s="2"/>
      <c r="D237" s="2"/>
      <c r="E237" s="2"/>
    </row>
    <row r="238" spans="1:5" x14ac:dyDescent="0.25">
      <c r="A238" s="2"/>
      <c r="B238" s="2"/>
      <c r="C238" s="2"/>
      <c r="D238" s="2"/>
      <c r="E238" s="2"/>
    </row>
    <row r="239" spans="1:5" x14ac:dyDescent="0.25">
      <c r="A239" s="2"/>
      <c r="B239" s="2"/>
      <c r="C239" s="2"/>
      <c r="D239" s="2"/>
      <c r="E239" s="2"/>
    </row>
    <row r="240" spans="1:5" x14ac:dyDescent="0.25">
      <c r="A240" s="2"/>
      <c r="B240" s="2"/>
      <c r="C240" s="2"/>
      <c r="D240" s="2"/>
      <c r="E240" s="2"/>
    </row>
    <row r="241" spans="1:5" x14ac:dyDescent="0.25">
      <c r="A241" s="2"/>
      <c r="B241" s="2"/>
      <c r="C241" s="2"/>
      <c r="D241" s="2"/>
      <c r="E241" s="2"/>
    </row>
    <row r="242" spans="1:5" x14ac:dyDescent="0.25">
      <c r="A242" s="2"/>
      <c r="B242" s="2"/>
      <c r="C242" s="2"/>
      <c r="D242" s="2"/>
      <c r="E242" s="2"/>
    </row>
    <row r="243" spans="1:5" x14ac:dyDescent="0.25">
      <c r="A243" s="2"/>
      <c r="B243" s="2"/>
      <c r="C243" s="2"/>
      <c r="D243" s="2"/>
      <c r="E243" s="2"/>
    </row>
    <row r="244" spans="1:5" x14ac:dyDescent="0.25">
      <c r="A244" s="2"/>
      <c r="B244" s="2"/>
      <c r="C244" s="2"/>
      <c r="D244" s="2"/>
      <c r="E244" s="2"/>
    </row>
    <row r="245" spans="1:5" x14ac:dyDescent="0.25">
      <c r="A245" s="2"/>
      <c r="B245" s="2"/>
      <c r="C245" s="2"/>
      <c r="D245" s="2"/>
      <c r="E245" s="2"/>
    </row>
    <row r="246" spans="1:5" x14ac:dyDescent="0.25">
      <c r="A246" s="2"/>
      <c r="B246" s="2"/>
      <c r="C246" s="2"/>
      <c r="D246" s="2"/>
      <c r="E246" s="2"/>
    </row>
    <row r="247" spans="1:5" x14ac:dyDescent="0.25">
      <c r="A247" s="2"/>
      <c r="B247" s="2"/>
      <c r="C247" s="2"/>
      <c r="D247" s="2"/>
      <c r="E247" s="2"/>
    </row>
    <row r="248" spans="1:5" x14ac:dyDescent="0.25">
      <c r="A248" s="2"/>
      <c r="B248" s="2"/>
      <c r="C248" s="2"/>
      <c r="D248" s="2"/>
      <c r="E248" s="2"/>
    </row>
    <row r="249" spans="1:5" x14ac:dyDescent="0.25">
      <c r="A249" s="2"/>
      <c r="B249" s="2"/>
      <c r="C249" s="2"/>
      <c r="D249" s="2"/>
      <c r="E249" s="2"/>
    </row>
    <row r="250" spans="1:5" x14ac:dyDescent="0.25">
      <c r="A250" s="2"/>
      <c r="B250" s="2"/>
      <c r="C250" s="2"/>
      <c r="D250" s="2"/>
      <c r="E250" s="2"/>
    </row>
    <row r="251" spans="1:5" x14ac:dyDescent="0.25">
      <c r="A251" s="2"/>
      <c r="B251" s="2"/>
      <c r="C251" s="2"/>
      <c r="D251" s="2"/>
      <c r="E251" s="2"/>
    </row>
    <row r="252" spans="1:5" x14ac:dyDescent="0.25">
      <c r="A252" s="2"/>
      <c r="B252" s="2"/>
      <c r="C252" s="2"/>
      <c r="D252" s="2"/>
      <c r="E252" s="2"/>
    </row>
    <row r="253" spans="1:5" x14ac:dyDescent="0.25">
      <c r="A253" s="2"/>
      <c r="B253" s="2"/>
      <c r="C253" s="2"/>
      <c r="D253" s="2"/>
      <c r="E253" s="2"/>
    </row>
    <row r="254" spans="1:5" x14ac:dyDescent="0.25">
      <c r="A254" s="2"/>
      <c r="B254" s="2"/>
      <c r="C254" s="2"/>
      <c r="D254" s="2"/>
      <c r="E254" s="2"/>
    </row>
    <row r="255" spans="1:5" x14ac:dyDescent="0.25">
      <c r="A255" s="2"/>
      <c r="B255" s="2"/>
      <c r="C255" s="2"/>
      <c r="D255" s="2"/>
      <c r="E255" s="2"/>
    </row>
    <row r="256" spans="1:5" x14ac:dyDescent="0.25">
      <c r="A256" s="2"/>
      <c r="B256" s="2"/>
      <c r="C256" s="2"/>
      <c r="D256" s="2"/>
      <c r="E256" s="2"/>
    </row>
    <row r="257" spans="1:5" x14ac:dyDescent="0.25">
      <c r="A257" s="2"/>
      <c r="B257" s="2"/>
      <c r="C257" s="2"/>
      <c r="D257" s="2"/>
      <c r="E257" s="2"/>
    </row>
    <row r="258" spans="1:5" x14ac:dyDescent="0.25">
      <c r="A258" s="2"/>
      <c r="B258" s="2"/>
      <c r="C258" s="2"/>
      <c r="D258" s="2"/>
      <c r="E258" s="2"/>
    </row>
    <row r="259" spans="1:5" x14ac:dyDescent="0.25">
      <c r="A259" s="2"/>
      <c r="B259" s="2"/>
      <c r="C259" s="2"/>
      <c r="D259" s="2"/>
      <c r="E259" s="2"/>
    </row>
    <row r="260" spans="1:5" x14ac:dyDescent="0.25">
      <c r="A260" s="2"/>
      <c r="B260" s="2"/>
      <c r="C260" s="2"/>
      <c r="D260" s="2"/>
      <c r="E260" s="2"/>
    </row>
    <row r="261" spans="1:5" x14ac:dyDescent="0.25">
      <c r="A261" s="2"/>
      <c r="B261" s="2"/>
      <c r="C261" s="2"/>
      <c r="D261" s="2"/>
      <c r="E261" s="2"/>
    </row>
    <row r="262" spans="1:5" x14ac:dyDescent="0.25">
      <c r="A262" s="2"/>
      <c r="B262" s="2"/>
      <c r="C262" s="2"/>
      <c r="D262" s="2"/>
      <c r="E262" s="2"/>
    </row>
    <row r="263" spans="1:5" x14ac:dyDescent="0.25">
      <c r="A263" s="2"/>
      <c r="B263" s="2"/>
      <c r="C263" s="2"/>
      <c r="D263" s="2"/>
      <c r="E263" s="2"/>
    </row>
    <row r="264" spans="1:5" x14ac:dyDescent="0.25">
      <c r="A264" s="2"/>
      <c r="B264" s="2"/>
      <c r="C264" s="2"/>
      <c r="D264" s="2"/>
      <c r="E264" s="2"/>
    </row>
    <row r="265" spans="1:5" x14ac:dyDescent="0.25">
      <c r="A265" s="2"/>
      <c r="B265" s="2"/>
      <c r="C265" s="2"/>
      <c r="D265" s="2"/>
      <c r="E265" s="2"/>
    </row>
    <row r="266" spans="1:5" x14ac:dyDescent="0.25">
      <c r="A266" s="2"/>
      <c r="B266" s="2"/>
      <c r="C266" s="2"/>
      <c r="D266" s="2"/>
      <c r="E266" s="2"/>
    </row>
    <row r="267" spans="1:5" x14ac:dyDescent="0.25">
      <c r="A267" s="2"/>
      <c r="B267" s="2"/>
      <c r="C267" s="2"/>
      <c r="D267" s="2"/>
      <c r="E267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topLeftCell="A4" zoomScale="75" zoomScaleNormal="75" workbookViewId="0">
      <selection activeCell="P9" sqref="P9:P25"/>
    </sheetView>
  </sheetViews>
  <sheetFormatPr defaultRowHeight="15" x14ac:dyDescent="0.25"/>
  <cols>
    <col min="1" max="1" width="15.28515625" customWidth="1"/>
  </cols>
  <sheetData>
    <row r="1" spans="1:37" s="1" customFormat="1" x14ac:dyDescent="0.25">
      <c r="A1" s="1" t="s">
        <v>0</v>
      </c>
      <c r="B1" s="18" t="s">
        <v>100</v>
      </c>
      <c r="C1" s="18" t="s">
        <v>101</v>
      </c>
      <c r="D1" s="18" t="s">
        <v>102</v>
      </c>
      <c r="E1" s="18" t="s">
        <v>103</v>
      </c>
      <c r="F1" s="3" t="s">
        <v>4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</row>
    <row r="2" spans="1:37" s="1" customFormat="1" x14ac:dyDescent="0.25">
      <c r="B2" s="4">
        <v>12</v>
      </c>
      <c r="C2" s="4">
        <v>16</v>
      </c>
      <c r="D2" s="4">
        <v>20</v>
      </c>
      <c r="E2" s="4">
        <v>24</v>
      </c>
      <c r="F2" s="4">
        <v>28</v>
      </c>
      <c r="G2" s="4">
        <v>32</v>
      </c>
      <c r="H2" s="4">
        <v>36</v>
      </c>
      <c r="I2" s="4">
        <v>40</v>
      </c>
      <c r="J2" s="4">
        <v>44</v>
      </c>
      <c r="K2" s="4">
        <v>48</v>
      </c>
      <c r="L2" s="4">
        <v>52</v>
      </c>
      <c r="M2" s="4">
        <v>56</v>
      </c>
      <c r="N2" s="4">
        <v>60</v>
      </c>
      <c r="O2" s="4">
        <v>64</v>
      </c>
      <c r="P2" s="4">
        <v>68</v>
      </c>
      <c r="Q2" s="4">
        <v>72</v>
      </c>
      <c r="R2" s="4">
        <v>76</v>
      </c>
      <c r="S2" s="4">
        <v>80</v>
      </c>
      <c r="T2" s="4">
        <v>84</v>
      </c>
      <c r="U2" s="4">
        <v>88</v>
      </c>
      <c r="V2" s="4">
        <v>92</v>
      </c>
      <c r="W2" s="4">
        <v>96</v>
      </c>
      <c r="X2" s="4">
        <v>100</v>
      </c>
      <c r="Y2" s="4">
        <v>104</v>
      </c>
      <c r="Z2" s="4">
        <v>108</v>
      </c>
      <c r="AA2" s="4">
        <v>112</v>
      </c>
      <c r="AB2" s="4">
        <v>116</v>
      </c>
      <c r="AC2" s="4">
        <v>120</v>
      </c>
      <c r="AD2" s="4">
        <v>124</v>
      </c>
      <c r="AE2" s="4">
        <v>128</v>
      </c>
      <c r="AF2" s="4">
        <v>132</v>
      </c>
      <c r="AG2" s="4">
        <v>136</v>
      </c>
      <c r="AH2" s="4">
        <v>140</v>
      </c>
      <c r="AI2" s="4">
        <v>144</v>
      </c>
      <c r="AJ2" s="4">
        <v>148</v>
      </c>
      <c r="AK2" s="4">
        <v>152</v>
      </c>
    </row>
    <row r="3" spans="1:37" s="1" customFormat="1" x14ac:dyDescent="0.25">
      <c r="A3" s="1" t="s">
        <v>36</v>
      </c>
      <c r="B3" s="4" t="s">
        <v>37</v>
      </c>
      <c r="C3" s="4" t="s">
        <v>38</v>
      </c>
      <c r="D3" s="4" t="s">
        <v>39</v>
      </c>
      <c r="E3" s="4" t="s">
        <v>40</v>
      </c>
      <c r="F3" s="4" t="s">
        <v>41</v>
      </c>
      <c r="G3" s="4" t="s">
        <v>42</v>
      </c>
      <c r="H3" s="4" t="s">
        <v>43</v>
      </c>
      <c r="I3" s="4" t="s">
        <v>44</v>
      </c>
      <c r="J3" s="4" t="s">
        <v>45</v>
      </c>
      <c r="K3" s="4" t="s">
        <v>46</v>
      </c>
      <c r="L3" s="4" t="s">
        <v>47</v>
      </c>
      <c r="M3" s="4" t="s">
        <v>48</v>
      </c>
      <c r="N3" s="4" t="s">
        <v>49</v>
      </c>
      <c r="O3" s="4" t="s">
        <v>50</v>
      </c>
      <c r="P3" s="4" t="s">
        <v>51</v>
      </c>
      <c r="Q3" s="4" t="s">
        <v>52</v>
      </c>
      <c r="R3" s="4" t="s">
        <v>53</v>
      </c>
      <c r="S3" s="4" t="s">
        <v>54</v>
      </c>
      <c r="T3" s="4" t="s">
        <v>55</v>
      </c>
      <c r="U3" s="4" t="s">
        <v>56</v>
      </c>
      <c r="V3" s="4" t="s">
        <v>57</v>
      </c>
      <c r="W3" s="4" t="s">
        <v>58</v>
      </c>
      <c r="X3" s="4" t="s">
        <v>59</v>
      </c>
      <c r="Y3" s="4" t="s">
        <v>60</v>
      </c>
      <c r="Z3" s="4" t="s">
        <v>61</v>
      </c>
      <c r="AA3" s="4" t="s">
        <v>62</v>
      </c>
      <c r="AB3" s="4" t="s">
        <v>63</v>
      </c>
      <c r="AC3" s="4" t="s">
        <v>64</v>
      </c>
      <c r="AD3" s="4" t="s">
        <v>65</v>
      </c>
      <c r="AE3" s="4" t="s">
        <v>66</v>
      </c>
      <c r="AF3" s="4" t="s">
        <v>67</v>
      </c>
      <c r="AG3" s="4" t="s">
        <v>96</v>
      </c>
      <c r="AH3" s="4" t="s">
        <v>97</v>
      </c>
      <c r="AI3" s="4" t="s">
        <v>98</v>
      </c>
      <c r="AJ3" s="4" t="s">
        <v>99</v>
      </c>
      <c r="AK3" s="4"/>
    </row>
    <row r="4" spans="1:37" s="1" customFormat="1" x14ac:dyDescent="0.25">
      <c r="A4" s="1" t="s">
        <v>68</v>
      </c>
      <c r="B4" s="5">
        <v>3</v>
      </c>
      <c r="C4" s="5">
        <v>4</v>
      </c>
      <c r="D4" s="5">
        <v>5</v>
      </c>
      <c r="E4" s="5">
        <v>6</v>
      </c>
      <c r="F4" s="5">
        <v>7</v>
      </c>
      <c r="G4" s="5">
        <v>8</v>
      </c>
      <c r="H4" s="5">
        <v>9</v>
      </c>
      <c r="I4" s="5">
        <v>10</v>
      </c>
      <c r="J4" s="5">
        <v>11</v>
      </c>
      <c r="K4" s="5">
        <v>12</v>
      </c>
      <c r="L4" s="5">
        <v>13</v>
      </c>
      <c r="M4" s="5">
        <v>14</v>
      </c>
      <c r="N4" s="5">
        <v>15</v>
      </c>
      <c r="O4" s="5">
        <v>16</v>
      </c>
      <c r="P4" s="5">
        <v>17</v>
      </c>
      <c r="Q4" s="5">
        <v>18</v>
      </c>
      <c r="R4" s="5">
        <v>19</v>
      </c>
      <c r="S4" s="5">
        <v>20</v>
      </c>
      <c r="T4" s="5">
        <v>21</v>
      </c>
      <c r="U4" s="5">
        <v>22</v>
      </c>
      <c r="V4" s="5">
        <v>23</v>
      </c>
      <c r="W4" s="5">
        <v>24</v>
      </c>
      <c r="X4" s="5">
        <v>25</v>
      </c>
      <c r="Y4" s="5">
        <v>26</v>
      </c>
      <c r="Z4" s="5">
        <v>27</v>
      </c>
      <c r="AA4" s="5">
        <v>28</v>
      </c>
      <c r="AB4" s="5">
        <v>29</v>
      </c>
      <c r="AC4" s="5">
        <v>30</v>
      </c>
      <c r="AD4" s="5">
        <v>31</v>
      </c>
      <c r="AE4" s="5">
        <v>32</v>
      </c>
      <c r="AF4" s="5">
        <v>33</v>
      </c>
      <c r="AG4" s="5">
        <v>34</v>
      </c>
      <c r="AH4" s="5">
        <v>35</v>
      </c>
      <c r="AI4" s="5">
        <v>36</v>
      </c>
      <c r="AJ4" s="5">
        <v>37</v>
      </c>
      <c r="AK4" s="5">
        <v>38</v>
      </c>
    </row>
    <row r="5" spans="1:37" s="1" customFormat="1" x14ac:dyDescent="0.25">
      <c r="B5" s="1">
        <v>4</v>
      </c>
      <c r="C5" s="1">
        <v>4</v>
      </c>
      <c r="D5" s="1">
        <v>8</v>
      </c>
      <c r="E5" s="1">
        <v>8</v>
      </c>
      <c r="F5" s="1">
        <v>8</v>
      </c>
      <c r="G5" s="1">
        <v>8</v>
      </c>
      <c r="H5" s="1">
        <v>16</v>
      </c>
      <c r="I5" s="1">
        <v>16</v>
      </c>
      <c r="J5" s="1">
        <v>16</v>
      </c>
      <c r="K5" s="1">
        <v>16</v>
      </c>
      <c r="L5" s="1">
        <v>16</v>
      </c>
      <c r="M5" s="1">
        <v>16</v>
      </c>
      <c r="N5" s="1">
        <v>16</v>
      </c>
      <c r="O5" s="1">
        <v>16</v>
      </c>
      <c r="P5" s="1">
        <v>32</v>
      </c>
      <c r="Q5" s="1">
        <v>32</v>
      </c>
      <c r="R5" s="1">
        <v>32</v>
      </c>
      <c r="S5" s="1">
        <v>32</v>
      </c>
      <c r="T5" s="1">
        <v>32</v>
      </c>
      <c r="U5" s="1">
        <v>32</v>
      </c>
      <c r="V5" s="1">
        <v>32</v>
      </c>
      <c r="W5" s="1">
        <v>32</v>
      </c>
      <c r="X5" s="1">
        <v>32</v>
      </c>
      <c r="Y5" s="1">
        <v>32</v>
      </c>
      <c r="Z5" s="1">
        <v>32</v>
      </c>
      <c r="AA5" s="1">
        <v>32</v>
      </c>
      <c r="AB5" s="1">
        <v>32</v>
      </c>
      <c r="AC5" s="1">
        <v>32</v>
      </c>
      <c r="AD5" s="1">
        <v>32</v>
      </c>
      <c r="AE5" s="1">
        <v>32</v>
      </c>
      <c r="AF5" s="1">
        <v>64</v>
      </c>
      <c r="AG5" s="1">
        <v>64</v>
      </c>
      <c r="AH5" s="1">
        <v>64</v>
      </c>
      <c r="AI5" s="1">
        <v>64</v>
      </c>
      <c r="AJ5" s="1">
        <v>64</v>
      </c>
      <c r="AK5" s="1">
        <v>64</v>
      </c>
    </row>
    <row r="6" spans="1:37" s="1" customFormat="1" x14ac:dyDescent="0.25">
      <c r="A6" s="1" t="s">
        <v>69</v>
      </c>
      <c r="B6" s="3">
        <v>1</v>
      </c>
      <c r="C6" s="3">
        <v>0</v>
      </c>
      <c r="D6" s="3">
        <v>3</v>
      </c>
      <c r="E6" s="3">
        <v>2</v>
      </c>
      <c r="F6" s="3">
        <v>1</v>
      </c>
      <c r="G6" s="3">
        <v>0</v>
      </c>
      <c r="H6" s="3">
        <v>7</v>
      </c>
      <c r="I6" s="3">
        <v>6</v>
      </c>
      <c r="J6" s="3">
        <v>5</v>
      </c>
      <c r="K6" s="3">
        <v>4</v>
      </c>
      <c r="L6" s="3">
        <v>3</v>
      </c>
      <c r="M6" s="3">
        <v>2</v>
      </c>
      <c r="N6" s="3">
        <v>1</v>
      </c>
      <c r="O6" s="3">
        <v>0</v>
      </c>
      <c r="P6" s="3">
        <v>15</v>
      </c>
      <c r="Q6" s="3">
        <v>14</v>
      </c>
      <c r="R6" s="3">
        <v>13</v>
      </c>
      <c r="S6" s="3">
        <v>12</v>
      </c>
      <c r="T6" s="3">
        <v>11</v>
      </c>
      <c r="U6" s="3">
        <v>10</v>
      </c>
      <c r="V6" s="3">
        <v>9</v>
      </c>
      <c r="W6" s="3">
        <v>8</v>
      </c>
      <c r="X6" s="3">
        <v>7</v>
      </c>
      <c r="Y6" s="3">
        <v>6</v>
      </c>
      <c r="Z6" s="3">
        <v>5</v>
      </c>
      <c r="AA6" s="3">
        <v>4</v>
      </c>
      <c r="AB6" s="3">
        <v>3</v>
      </c>
      <c r="AC6" s="3">
        <v>2</v>
      </c>
      <c r="AD6" s="3">
        <v>1</v>
      </c>
      <c r="AE6" s="3">
        <v>0</v>
      </c>
      <c r="AF6" s="3">
        <v>31</v>
      </c>
      <c r="AG6" s="3">
        <v>30</v>
      </c>
      <c r="AH6" s="3">
        <v>29</v>
      </c>
      <c r="AI6" s="3">
        <v>28</v>
      </c>
      <c r="AJ6" s="3">
        <v>27</v>
      </c>
      <c r="AK6" s="3">
        <v>26</v>
      </c>
    </row>
    <row r="7" spans="1:37" s="1" customFormat="1" x14ac:dyDescent="0.25">
      <c r="A7" s="1" t="s">
        <v>70</v>
      </c>
      <c r="B7" s="5">
        <v>1</v>
      </c>
      <c r="C7" s="5">
        <v>2</v>
      </c>
      <c r="D7" s="5">
        <v>1</v>
      </c>
      <c r="E7" s="5">
        <v>2</v>
      </c>
      <c r="F7" s="5">
        <v>3</v>
      </c>
      <c r="G7" s="5">
        <v>4</v>
      </c>
      <c r="H7" s="5">
        <v>1</v>
      </c>
      <c r="I7" s="5">
        <v>2</v>
      </c>
      <c r="J7" s="5">
        <v>3</v>
      </c>
      <c r="K7" s="5">
        <v>4</v>
      </c>
      <c r="L7" s="5">
        <v>5</v>
      </c>
      <c r="M7" s="5">
        <v>6</v>
      </c>
      <c r="N7" s="5">
        <v>7</v>
      </c>
      <c r="O7" s="5">
        <v>8</v>
      </c>
      <c r="P7" s="5">
        <v>1</v>
      </c>
      <c r="Q7" s="5">
        <v>2</v>
      </c>
      <c r="R7" s="5">
        <v>3</v>
      </c>
      <c r="S7" s="5">
        <v>4</v>
      </c>
      <c r="T7" s="5">
        <v>5</v>
      </c>
      <c r="U7" s="5">
        <v>6</v>
      </c>
      <c r="V7" s="5">
        <v>7</v>
      </c>
      <c r="W7" s="5">
        <v>8</v>
      </c>
      <c r="X7" s="5">
        <v>9</v>
      </c>
      <c r="Y7" s="5">
        <v>10</v>
      </c>
      <c r="Z7" s="5">
        <v>11</v>
      </c>
      <c r="AA7" s="5">
        <v>12</v>
      </c>
      <c r="AB7" s="5">
        <v>13</v>
      </c>
      <c r="AC7" s="5">
        <v>14</v>
      </c>
      <c r="AD7" s="5">
        <v>15</v>
      </c>
      <c r="AE7" s="5">
        <v>16</v>
      </c>
      <c r="AF7" s="5">
        <v>1</v>
      </c>
      <c r="AG7" s="5">
        <v>2</v>
      </c>
      <c r="AH7" s="5">
        <v>3</v>
      </c>
      <c r="AI7" s="5">
        <v>4</v>
      </c>
      <c r="AJ7" s="5">
        <v>5</v>
      </c>
      <c r="AK7" s="5">
        <v>6</v>
      </c>
    </row>
    <row r="8" spans="1:37" x14ac:dyDescent="0.25">
      <c r="B8" s="13"/>
      <c r="C8" s="13"/>
      <c r="D8" s="13"/>
      <c r="E8" s="13"/>
    </row>
    <row r="9" spans="1:37" x14ac:dyDescent="0.25">
      <c r="A9" s="2" t="s">
        <v>71</v>
      </c>
      <c r="B9" s="13">
        <v>0.5</v>
      </c>
      <c r="C9" s="13">
        <v>0.43</v>
      </c>
      <c r="D9" s="13">
        <v>0.39</v>
      </c>
      <c r="E9" s="13">
        <v>0.36899999999999999</v>
      </c>
      <c r="F9" s="17">
        <v>0.35499999999999998</v>
      </c>
      <c r="G9" s="17">
        <v>0.33900000000000002</v>
      </c>
      <c r="H9" s="17">
        <v>0.29499999999999998</v>
      </c>
      <c r="I9" s="17">
        <v>0.28299999999999997</v>
      </c>
      <c r="J9" s="17">
        <v>0.26500000000000001</v>
      </c>
      <c r="K9" s="17">
        <v>0.25900000000000001</v>
      </c>
      <c r="L9" s="17">
        <v>0.25800000000000001</v>
      </c>
      <c r="M9" s="17">
        <v>0.25800000000000001</v>
      </c>
      <c r="N9" s="17">
        <v>0.252</v>
      </c>
      <c r="O9" s="17">
        <v>0.247</v>
      </c>
      <c r="P9" s="17">
        <v>0.22600000000000001</v>
      </c>
      <c r="Q9" s="17">
        <v>0.216</v>
      </c>
      <c r="R9" s="17">
        <v>0.20499999999999999</v>
      </c>
      <c r="S9" s="17">
        <v>0.192</v>
      </c>
      <c r="T9" s="17">
        <v>0.185</v>
      </c>
      <c r="U9" s="17">
        <v>0.185</v>
      </c>
      <c r="V9" s="17">
        <v>0.185</v>
      </c>
      <c r="W9" s="17">
        <v>0.186</v>
      </c>
      <c r="X9" s="17">
        <v>0.185</v>
      </c>
      <c r="Y9" s="17">
        <v>0.182</v>
      </c>
      <c r="Z9" s="17">
        <v>0.18099999999999999</v>
      </c>
      <c r="AA9" s="17">
        <v>0.17799999999999999</v>
      </c>
      <c r="AB9" s="17">
        <v>0.17599999999999999</v>
      </c>
      <c r="AC9" s="17">
        <v>0.17499999999999999</v>
      </c>
      <c r="AD9" s="17">
        <v>0.17799999999999999</v>
      </c>
      <c r="AE9" s="17">
        <v>0.18</v>
      </c>
      <c r="AF9" s="17">
        <v>0.156</v>
      </c>
      <c r="AG9" s="17">
        <v>0.153</v>
      </c>
      <c r="AH9" s="17">
        <v>0.14399999999999999</v>
      </c>
      <c r="AI9" s="17">
        <v>0.14099999999999999</v>
      </c>
      <c r="AJ9" s="17">
        <v>0.13600000000000001</v>
      </c>
      <c r="AK9" s="17">
        <v>0.13300000000000001</v>
      </c>
    </row>
    <row r="10" spans="1:37" x14ac:dyDescent="0.25">
      <c r="A10">
        <v>2</v>
      </c>
      <c r="B10" s="13">
        <v>0.3</v>
      </c>
      <c r="C10" s="13">
        <v>0.26</v>
      </c>
      <c r="D10" s="13">
        <v>0.25</v>
      </c>
      <c r="E10" s="13">
        <v>0.24299999999999999</v>
      </c>
      <c r="F10" s="17">
        <v>0.23</v>
      </c>
      <c r="G10" s="17">
        <v>0.221</v>
      </c>
      <c r="H10" s="17">
        <v>0.20200000000000001</v>
      </c>
      <c r="I10" s="17">
        <v>0.193</v>
      </c>
      <c r="J10" s="17">
        <v>0.186</v>
      </c>
      <c r="K10" s="17">
        <v>0.18</v>
      </c>
      <c r="L10" s="17">
        <v>0.17799999999999999</v>
      </c>
      <c r="M10" s="17">
        <v>0.17299999999999999</v>
      </c>
      <c r="N10" s="17">
        <v>0.17499999999999999</v>
      </c>
      <c r="O10" s="17">
        <v>0.17199999999999999</v>
      </c>
      <c r="P10" s="17">
        <v>0.157</v>
      </c>
      <c r="Q10" s="17">
        <v>0.151</v>
      </c>
      <c r="R10" s="17">
        <v>0.14299999999999999</v>
      </c>
      <c r="S10" s="17">
        <v>0.13300000000000001</v>
      </c>
      <c r="T10" s="17">
        <v>0.13100000000000001</v>
      </c>
      <c r="U10" s="17">
        <v>0.13100000000000001</v>
      </c>
      <c r="V10" s="17">
        <v>0.13200000000000001</v>
      </c>
      <c r="W10" s="17">
        <v>0.13200000000000001</v>
      </c>
      <c r="X10" s="17">
        <v>0.13200000000000001</v>
      </c>
      <c r="Y10" s="17">
        <v>0.13200000000000001</v>
      </c>
      <c r="Z10" s="17">
        <v>0.13300000000000001</v>
      </c>
      <c r="AA10" s="17">
        <v>0.129</v>
      </c>
      <c r="AB10" s="17">
        <v>0.129</v>
      </c>
      <c r="AC10" s="17">
        <v>0.129</v>
      </c>
      <c r="AD10" s="17">
        <v>0.13100000000000001</v>
      </c>
      <c r="AE10" s="17">
        <v>0.13100000000000001</v>
      </c>
      <c r="AF10" s="17">
        <v>0.113</v>
      </c>
      <c r="AG10" s="17">
        <v>0.111</v>
      </c>
      <c r="AH10" s="17">
        <v>0.1045</v>
      </c>
      <c r="AI10" s="17">
        <v>0.10199999999999999</v>
      </c>
      <c r="AJ10" s="17">
        <v>9.9000000000000005E-2</v>
      </c>
      <c r="AK10" s="17">
        <v>9.6000000000000002E-2</v>
      </c>
    </row>
    <row r="11" spans="1:37" x14ac:dyDescent="0.25">
      <c r="A11">
        <v>3</v>
      </c>
      <c r="B11" s="13">
        <v>0.2</v>
      </c>
      <c r="C11" s="13">
        <v>0.18</v>
      </c>
      <c r="D11" s="13">
        <v>0.17</v>
      </c>
      <c r="E11" s="13">
        <v>0.155</v>
      </c>
      <c r="F11" s="17">
        <v>0.14399999999999999</v>
      </c>
      <c r="G11" s="17">
        <v>0.14000000000000001</v>
      </c>
      <c r="H11" s="17">
        <v>0.13500000000000001</v>
      </c>
      <c r="I11" s="17">
        <v>0.13</v>
      </c>
      <c r="J11" s="17">
        <v>0.127</v>
      </c>
      <c r="K11" s="17">
        <v>0.125</v>
      </c>
      <c r="L11" s="17">
        <v>0.12</v>
      </c>
      <c r="M11" s="17">
        <v>0.11600000000000001</v>
      </c>
      <c r="N11" s="17">
        <v>0.11899999999999999</v>
      </c>
      <c r="O11" s="17">
        <v>0.11700000000000001</v>
      </c>
      <c r="P11" s="17">
        <v>0.107</v>
      </c>
      <c r="Q11" s="17">
        <v>0.10299999999999999</v>
      </c>
      <c r="R11" s="17">
        <v>9.7000000000000003E-2</v>
      </c>
      <c r="S11" s="17">
        <v>9.1999999999999998E-2</v>
      </c>
      <c r="T11" s="17">
        <v>9.1999999999999998E-2</v>
      </c>
      <c r="U11" s="17">
        <v>9.0999999999999998E-2</v>
      </c>
      <c r="V11" s="17">
        <v>9.0999999999999998E-2</v>
      </c>
      <c r="W11" s="17">
        <v>9.1999999999999998E-2</v>
      </c>
      <c r="X11" s="17">
        <v>9.1999999999999998E-2</v>
      </c>
      <c r="Y11" s="17">
        <v>9.1999999999999998E-2</v>
      </c>
      <c r="Z11" s="17">
        <v>9.4E-2</v>
      </c>
      <c r="AA11" s="17">
        <v>9.0999999999999998E-2</v>
      </c>
      <c r="AB11" s="17">
        <v>9.0999999999999998E-2</v>
      </c>
      <c r="AC11" s="17">
        <v>9.0999999999999998E-2</v>
      </c>
      <c r="AD11" s="17">
        <v>9.2999999999999999E-2</v>
      </c>
      <c r="AE11" s="17">
        <v>9.1999999999999998E-2</v>
      </c>
      <c r="AF11" s="17">
        <v>0.08</v>
      </c>
      <c r="AG11" s="17">
        <v>7.9000000000000001E-2</v>
      </c>
      <c r="AH11" s="17">
        <v>7.3999999999999996E-2</v>
      </c>
      <c r="AI11" s="17">
        <v>7.1999999999999995E-2</v>
      </c>
      <c r="AJ11" s="17">
        <v>7.0999999999999994E-2</v>
      </c>
      <c r="AK11" s="17">
        <v>6.9000000000000006E-2</v>
      </c>
    </row>
    <row r="12" spans="1:37" x14ac:dyDescent="0.25">
      <c r="A12">
        <v>4</v>
      </c>
      <c r="B12" s="13"/>
      <c r="C12" s="13">
        <v>0.13</v>
      </c>
      <c r="D12" s="13">
        <v>0.11799999999999999</v>
      </c>
      <c r="E12" s="13">
        <v>0.10100000000000001</v>
      </c>
      <c r="F12" s="17">
        <v>9.0999999999999998E-2</v>
      </c>
      <c r="G12" s="17">
        <v>8.7999999999999995E-2</v>
      </c>
      <c r="H12" s="17">
        <v>8.8999999999999996E-2</v>
      </c>
      <c r="I12" s="17">
        <v>8.5999999999999993E-2</v>
      </c>
      <c r="J12" s="17">
        <v>8.4000000000000005E-2</v>
      </c>
      <c r="K12" s="17">
        <v>8.4000000000000005E-2</v>
      </c>
      <c r="L12" s="17">
        <v>0.08</v>
      </c>
      <c r="M12" s="17">
        <v>7.6999999999999999E-2</v>
      </c>
      <c r="N12" s="17">
        <v>7.6999999999999999E-2</v>
      </c>
      <c r="O12" s="17">
        <v>7.5999999999999998E-2</v>
      </c>
      <c r="P12" s="17">
        <v>7.0000000000000007E-2</v>
      </c>
      <c r="Q12" s="17">
        <v>6.8000000000000005E-2</v>
      </c>
      <c r="R12" s="17">
        <v>6.5000000000000002E-2</v>
      </c>
      <c r="S12" s="17">
        <v>6.3E-2</v>
      </c>
      <c r="T12" s="17">
        <v>6.4000000000000001E-2</v>
      </c>
      <c r="U12" s="17">
        <v>6.3E-2</v>
      </c>
      <c r="V12" s="17">
        <v>6.2E-2</v>
      </c>
      <c r="W12" s="17">
        <v>6.2E-2</v>
      </c>
      <c r="X12" s="17">
        <v>6.3E-2</v>
      </c>
      <c r="Y12" s="17">
        <v>6.2E-2</v>
      </c>
      <c r="Z12" s="17">
        <v>6.3E-2</v>
      </c>
      <c r="AA12" s="17">
        <v>6.2E-2</v>
      </c>
      <c r="AB12" s="17">
        <v>6.2E-2</v>
      </c>
      <c r="AC12" s="17">
        <v>6.0999999999999999E-2</v>
      </c>
      <c r="AD12" s="17">
        <v>6.3E-2</v>
      </c>
      <c r="AE12" s="17">
        <v>6.0999999999999999E-2</v>
      </c>
      <c r="AF12" s="17">
        <v>5.5E-2</v>
      </c>
      <c r="AG12" s="17">
        <v>5.2999999999999999E-2</v>
      </c>
      <c r="AH12" s="17">
        <v>5.0999999999999997E-2</v>
      </c>
      <c r="AI12" s="17">
        <v>4.9000000000000002E-2</v>
      </c>
      <c r="AJ12" s="17">
        <v>4.9000000000000002E-2</v>
      </c>
      <c r="AK12" s="17">
        <v>4.8000000000000001E-2</v>
      </c>
    </row>
    <row r="13" spans="1:37" x14ac:dyDescent="0.25">
      <c r="A13">
        <v>5</v>
      </c>
      <c r="B13" s="13"/>
      <c r="C13" s="13"/>
      <c r="D13" s="13">
        <v>7.1999999999999995E-2</v>
      </c>
      <c r="E13" s="13">
        <v>6.6000000000000003E-2</v>
      </c>
      <c r="F13" s="17">
        <v>0.06</v>
      </c>
      <c r="G13" s="17">
        <v>5.2999999999999999E-2</v>
      </c>
      <c r="H13" s="17">
        <v>5.8000000000000003E-2</v>
      </c>
      <c r="I13" s="17">
        <v>5.6000000000000001E-2</v>
      </c>
      <c r="J13" s="17">
        <v>5.6000000000000001E-2</v>
      </c>
      <c r="K13" s="17">
        <v>5.2999999999999999E-2</v>
      </c>
      <c r="L13" s="17">
        <v>5.0999999999999997E-2</v>
      </c>
      <c r="M13" s="17">
        <v>4.9000000000000002E-2</v>
      </c>
      <c r="N13" s="17">
        <v>4.7E-2</v>
      </c>
      <c r="O13" s="17">
        <v>4.4999999999999998E-2</v>
      </c>
      <c r="P13" s="17">
        <v>4.3999999999999997E-2</v>
      </c>
      <c r="Q13" s="17">
        <v>4.3999999999999997E-2</v>
      </c>
      <c r="R13" s="17">
        <v>4.3999999999999997E-2</v>
      </c>
      <c r="S13" s="17">
        <v>4.4999999999999998E-2</v>
      </c>
      <c r="T13" s="17">
        <v>4.4999999999999998E-2</v>
      </c>
      <c r="U13" s="17">
        <v>4.3999999999999997E-2</v>
      </c>
      <c r="V13" s="17">
        <v>4.2999999999999997E-2</v>
      </c>
      <c r="W13" s="17">
        <v>4.2000000000000003E-2</v>
      </c>
      <c r="X13" s="17">
        <v>4.2000000000000003E-2</v>
      </c>
      <c r="Y13" s="17">
        <v>4.1000000000000002E-2</v>
      </c>
      <c r="Z13" s="17">
        <v>4.1000000000000002E-2</v>
      </c>
      <c r="AA13" s="17">
        <v>0.04</v>
      </c>
      <c r="AB13" s="17">
        <v>0.04</v>
      </c>
      <c r="AC13" s="17">
        <v>3.9E-2</v>
      </c>
      <c r="AD13" s="17">
        <v>3.9E-2</v>
      </c>
      <c r="AE13" s="17">
        <v>3.7999999999999999E-2</v>
      </c>
      <c r="AF13" s="17">
        <v>3.5999999999999997E-2</v>
      </c>
      <c r="AG13" s="17">
        <v>3.5000000000000003E-2</v>
      </c>
      <c r="AH13" s="17">
        <v>3.4000000000000002E-2</v>
      </c>
      <c r="AI13" s="17">
        <v>3.3500000000000002E-2</v>
      </c>
      <c r="AJ13" s="17">
        <v>3.3500000000000002E-2</v>
      </c>
      <c r="AK13" s="17">
        <v>3.3000000000000002E-2</v>
      </c>
    </row>
    <row r="14" spans="1:37" x14ac:dyDescent="0.25">
      <c r="A14">
        <v>6</v>
      </c>
      <c r="B14" s="13"/>
      <c r="C14" s="13"/>
      <c r="D14" s="13"/>
      <c r="E14" s="13">
        <v>6.6000000000000003E-2</v>
      </c>
      <c r="F14" s="17">
        <v>0.06</v>
      </c>
      <c r="G14" s="17">
        <v>5.2999999999999999E-2</v>
      </c>
      <c r="H14" s="17">
        <v>5.8000000000000003E-2</v>
      </c>
      <c r="I14" s="17">
        <v>5.6000000000000001E-2</v>
      </c>
      <c r="J14" s="17">
        <v>5.6000000000000001E-2</v>
      </c>
      <c r="K14" s="17">
        <v>5.2999999999999999E-2</v>
      </c>
      <c r="L14" s="17">
        <v>5.0999999999999997E-2</v>
      </c>
      <c r="M14" s="17">
        <v>4.9000000000000002E-2</v>
      </c>
      <c r="N14" s="17">
        <v>4.7E-2</v>
      </c>
      <c r="O14" s="17">
        <v>4.4999999999999998E-2</v>
      </c>
      <c r="P14" s="17">
        <v>4.3999999999999997E-2</v>
      </c>
      <c r="Q14" s="17">
        <v>4.3999999999999997E-2</v>
      </c>
      <c r="R14" s="17">
        <v>4.3999999999999997E-2</v>
      </c>
      <c r="S14" s="17">
        <v>4.4999999999999998E-2</v>
      </c>
      <c r="T14" s="17">
        <v>4.4999999999999998E-2</v>
      </c>
      <c r="U14" s="17">
        <v>4.3999999999999997E-2</v>
      </c>
      <c r="V14" s="17">
        <v>4.2999999999999997E-2</v>
      </c>
      <c r="W14" s="17">
        <v>4.2000000000000003E-2</v>
      </c>
      <c r="X14" s="17">
        <v>4.2000000000000003E-2</v>
      </c>
      <c r="Y14" s="17">
        <v>4.1000000000000002E-2</v>
      </c>
      <c r="Z14" s="17">
        <v>4.1000000000000002E-2</v>
      </c>
      <c r="AA14" s="17">
        <v>0.04</v>
      </c>
      <c r="AB14" s="17">
        <v>0.04</v>
      </c>
      <c r="AC14" s="17">
        <v>3.9E-2</v>
      </c>
      <c r="AD14" s="17">
        <v>3.9E-2</v>
      </c>
      <c r="AE14" s="17">
        <v>3.7999999999999999E-2</v>
      </c>
      <c r="AF14" s="17">
        <v>3.5999999999999997E-2</v>
      </c>
      <c r="AG14" s="17">
        <v>3.5000000000000003E-2</v>
      </c>
      <c r="AH14" s="17">
        <v>3.4000000000000002E-2</v>
      </c>
      <c r="AI14" s="17">
        <v>3.3500000000000002E-2</v>
      </c>
      <c r="AJ14" s="17">
        <v>3.3500000000000002E-2</v>
      </c>
      <c r="AK14" s="17">
        <v>3.3000000000000002E-2</v>
      </c>
    </row>
    <row r="15" spans="1:37" x14ac:dyDescent="0.25">
      <c r="A15">
        <v>7</v>
      </c>
      <c r="F15" s="17">
        <v>0.06</v>
      </c>
      <c r="G15" s="17">
        <v>5.2999999999999999E-2</v>
      </c>
      <c r="H15" s="17">
        <v>5.8000000000000003E-2</v>
      </c>
      <c r="I15" s="17">
        <v>5.6000000000000001E-2</v>
      </c>
      <c r="J15" s="17">
        <v>5.6000000000000001E-2</v>
      </c>
      <c r="K15" s="17">
        <v>5.2999999999999999E-2</v>
      </c>
      <c r="L15" s="17">
        <v>5.0999999999999997E-2</v>
      </c>
      <c r="M15" s="17">
        <v>4.9000000000000002E-2</v>
      </c>
      <c r="N15" s="17">
        <v>4.7E-2</v>
      </c>
      <c r="O15" s="17">
        <v>4.4999999999999998E-2</v>
      </c>
      <c r="P15" s="17">
        <v>4.3999999999999997E-2</v>
      </c>
      <c r="Q15" s="17">
        <v>4.3999999999999997E-2</v>
      </c>
      <c r="R15" s="17">
        <v>4.3999999999999997E-2</v>
      </c>
      <c r="S15" s="17">
        <v>4.4999999999999998E-2</v>
      </c>
      <c r="T15" s="17">
        <v>4.4999999999999998E-2</v>
      </c>
      <c r="U15" s="17">
        <v>4.3999999999999997E-2</v>
      </c>
      <c r="V15" s="17">
        <v>4.2999999999999997E-2</v>
      </c>
      <c r="W15" s="17">
        <v>4.2000000000000003E-2</v>
      </c>
      <c r="X15" s="17">
        <v>4.2000000000000003E-2</v>
      </c>
      <c r="Y15" s="17">
        <v>4.1000000000000002E-2</v>
      </c>
      <c r="Z15" s="17">
        <v>4.1000000000000002E-2</v>
      </c>
      <c r="AA15" s="17">
        <v>0.04</v>
      </c>
      <c r="AB15" s="17">
        <v>0.04</v>
      </c>
      <c r="AC15" s="17">
        <v>3.9E-2</v>
      </c>
      <c r="AD15" s="17">
        <v>3.9E-2</v>
      </c>
      <c r="AE15" s="17">
        <v>3.7999999999999999E-2</v>
      </c>
      <c r="AF15" s="17">
        <v>3.5999999999999997E-2</v>
      </c>
      <c r="AG15" s="17">
        <v>3.5000000000000003E-2</v>
      </c>
      <c r="AH15" s="17">
        <v>3.4000000000000002E-2</v>
      </c>
      <c r="AI15" s="17">
        <v>3.3500000000000002E-2</v>
      </c>
      <c r="AJ15" s="17">
        <v>3.3500000000000002E-2</v>
      </c>
      <c r="AK15" s="17">
        <v>3.3000000000000002E-2</v>
      </c>
    </row>
    <row r="16" spans="1:37" x14ac:dyDescent="0.25">
      <c r="A16">
        <v>8</v>
      </c>
      <c r="G16" s="17">
        <v>5.2999999999999999E-2</v>
      </c>
      <c r="H16" s="17">
        <v>5.8000000000000003E-2</v>
      </c>
      <c r="I16" s="17">
        <v>5.6000000000000001E-2</v>
      </c>
      <c r="J16" s="17">
        <v>5.6000000000000001E-2</v>
      </c>
      <c r="K16" s="17">
        <v>5.2999999999999999E-2</v>
      </c>
      <c r="L16" s="17">
        <v>5.0999999999999997E-2</v>
      </c>
      <c r="M16" s="17">
        <v>4.9000000000000002E-2</v>
      </c>
      <c r="N16" s="17">
        <v>4.7E-2</v>
      </c>
      <c r="O16" s="17">
        <v>4.4999999999999998E-2</v>
      </c>
      <c r="P16" s="17">
        <v>4.3999999999999997E-2</v>
      </c>
      <c r="Q16" s="17">
        <v>4.3999999999999997E-2</v>
      </c>
      <c r="R16" s="17">
        <v>4.3999999999999997E-2</v>
      </c>
      <c r="S16" s="17">
        <v>4.4999999999999998E-2</v>
      </c>
      <c r="T16" s="17">
        <v>4.4999999999999998E-2</v>
      </c>
      <c r="U16" s="17">
        <v>4.3999999999999997E-2</v>
      </c>
      <c r="V16" s="17">
        <v>4.2999999999999997E-2</v>
      </c>
      <c r="W16" s="17">
        <v>4.2000000000000003E-2</v>
      </c>
      <c r="X16" s="17">
        <v>4.2000000000000003E-2</v>
      </c>
      <c r="Y16" s="17">
        <v>4.1000000000000002E-2</v>
      </c>
      <c r="Z16" s="17">
        <v>4.1000000000000002E-2</v>
      </c>
      <c r="AA16" s="17">
        <v>0.04</v>
      </c>
      <c r="AB16" s="17">
        <v>0.04</v>
      </c>
      <c r="AC16" s="17">
        <v>3.9E-2</v>
      </c>
      <c r="AD16" s="17">
        <v>3.9E-2</v>
      </c>
      <c r="AE16" s="17">
        <v>3.7999999999999999E-2</v>
      </c>
      <c r="AF16" s="17">
        <v>3.5999999999999997E-2</v>
      </c>
      <c r="AG16" s="17">
        <v>3.5000000000000003E-2</v>
      </c>
      <c r="AH16" s="17">
        <v>3.4000000000000002E-2</v>
      </c>
      <c r="AI16" s="17">
        <v>3.3500000000000002E-2</v>
      </c>
      <c r="AJ16" s="17">
        <v>3.3500000000000002E-2</v>
      </c>
      <c r="AK16" s="17">
        <v>3.3000000000000002E-2</v>
      </c>
    </row>
    <row r="17" spans="1:37" x14ac:dyDescent="0.25">
      <c r="A17">
        <v>9</v>
      </c>
      <c r="H17" s="17">
        <v>4.7E-2</v>
      </c>
      <c r="I17" s="17">
        <v>4.2000000000000003E-2</v>
      </c>
      <c r="J17" s="17">
        <v>3.7999999999999999E-2</v>
      </c>
      <c r="K17" s="17">
        <v>3.5000000000000003E-2</v>
      </c>
      <c r="L17" s="17">
        <v>3.2000000000000001E-2</v>
      </c>
      <c r="M17" s="17">
        <v>0.03</v>
      </c>
      <c r="N17" s="17">
        <v>2.7E-2</v>
      </c>
      <c r="O17" s="17">
        <v>2.5999999999999999E-2</v>
      </c>
      <c r="P17" s="17">
        <v>0.03</v>
      </c>
      <c r="Q17" s="17">
        <v>0.03</v>
      </c>
      <c r="R17" s="17">
        <v>3.1E-2</v>
      </c>
      <c r="S17" s="17">
        <v>3.2000000000000001E-2</v>
      </c>
      <c r="T17" s="17">
        <v>3.1E-2</v>
      </c>
      <c r="U17" s="17">
        <v>0.03</v>
      </c>
      <c r="V17" s="17">
        <v>2.9000000000000001E-2</v>
      </c>
      <c r="W17" s="17">
        <v>2.8000000000000001E-2</v>
      </c>
      <c r="X17" s="17">
        <v>2.7E-2</v>
      </c>
      <c r="Y17" s="17">
        <v>2.5999999999999999E-2</v>
      </c>
      <c r="Z17" s="17">
        <v>2.5000000000000001E-2</v>
      </c>
      <c r="AA17" s="17">
        <v>2.5000000000000001E-2</v>
      </c>
      <c r="AB17" s="17">
        <v>2.5000000000000001E-2</v>
      </c>
      <c r="AC17" s="17">
        <v>2.4E-2</v>
      </c>
      <c r="AD17" s="17">
        <v>2.3E-2</v>
      </c>
      <c r="AE17" s="17">
        <v>2.1999999999999999E-2</v>
      </c>
      <c r="AF17" s="17">
        <v>2.3E-2</v>
      </c>
      <c r="AG17" s="17">
        <v>2.3E-2</v>
      </c>
      <c r="AH17" s="17">
        <v>2.3E-2</v>
      </c>
      <c r="AI17" s="17">
        <v>2.3E-2</v>
      </c>
      <c r="AJ17" s="17">
        <v>2.3E-2</v>
      </c>
      <c r="AK17" s="17">
        <v>2.3E-2</v>
      </c>
    </row>
    <row r="18" spans="1:37" x14ac:dyDescent="0.25">
      <c r="A18">
        <v>10</v>
      </c>
      <c r="C18" t="s">
        <v>113</v>
      </c>
      <c r="I18" s="17">
        <v>4.2000000000000003E-2</v>
      </c>
      <c r="J18" s="17">
        <v>3.7999999999999999E-2</v>
      </c>
      <c r="K18" s="17">
        <v>3.5000000000000003E-2</v>
      </c>
      <c r="L18" s="17">
        <v>3.2000000000000001E-2</v>
      </c>
      <c r="M18" s="17">
        <v>0.03</v>
      </c>
      <c r="N18" s="17">
        <v>2.7E-2</v>
      </c>
      <c r="O18" s="17">
        <v>2.5999999999999999E-2</v>
      </c>
      <c r="P18" s="17">
        <v>0.03</v>
      </c>
      <c r="Q18" s="17">
        <v>0.03</v>
      </c>
      <c r="R18" s="17">
        <v>3.1E-2</v>
      </c>
      <c r="S18" s="17">
        <v>3.2000000000000001E-2</v>
      </c>
      <c r="T18" s="17">
        <v>3.1E-2</v>
      </c>
      <c r="U18" s="17">
        <v>0.03</v>
      </c>
      <c r="V18" s="17">
        <v>2.9000000000000001E-2</v>
      </c>
      <c r="W18" s="17">
        <v>2.8000000000000001E-2</v>
      </c>
      <c r="X18" s="17">
        <v>2.7E-2</v>
      </c>
      <c r="Y18" s="17">
        <v>2.5999999999999999E-2</v>
      </c>
      <c r="Z18" s="17">
        <v>2.5000000000000001E-2</v>
      </c>
      <c r="AA18" s="17">
        <v>2.5000000000000001E-2</v>
      </c>
      <c r="AB18" s="17">
        <v>2.5000000000000001E-2</v>
      </c>
      <c r="AC18" s="17">
        <v>2.4E-2</v>
      </c>
      <c r="AD18" s="17">
        <v>2.3E-2</v>
      </c>
      <c r="AE18" s="17">
        <v>2.1999999999999999E-2</v>
      </c>
      <c r="AF18" s="17">
        <v>2.3E-2</v>
      </c>
      <c r="AG18" s="17">
        <v>2.3E-2</v>
      </c>
      <c r="AH18" s="17">
        <v>2.3E-2</v>
      </c>
      <c r="AI18" s="17">
        <v>2.3E-2</v>
      </c>
      <c r="AJ18" s="17">
        <v>2.3E-2</v>
      </c>
      <c r="AK18" s="17">
        <v>2.3E-2</v>
      </c>
    </row>
    <row r="19" spans="1:37" x14ac:dyDescent="0.25">
      <c r="A19">
        <v>11</v>
      </c>
      <c r="C19" t="s">
        <v>112</v>
      </c>
      <c r="J19" s="17">
        <v>3.7999999999999999E-2</v>
      </c>
      <c r="K19" s="17">
        <v>3.5000000000000003E-2</v>
      </c>
      <c r="L19" s="17">
        <v>3.2000000000000001E-2</v>
      </c>
      <c r="M19" s="17">
        <v>0.03</v>
      </c>
      <c r="N19" s="17">
        <v>2.7E-2</v>
      </c>
      <c r="O19" s="17">
        <v>2.5999999999999999E-2</v>
      </c>
      <c r="P19" s="17">
        <v>0.03</v>
      </c>
      <c r="Q19" s="17">
        <v>0.03</v>
      </c>
      <c r="R19" s="17">
        <v>3.1E-2</v>
      </c>
      <c r="S19" s="17">
        <v>3.2000000000000001E-2</v>
      </c>
      <c r="T19" s="17">
        <v>3.1E-2</v>
      </c>
      <c r="U19" s="17">
        <v>0.03</v>
      </c>
      <c r="V19" s="17">
        <v>2.9000000000000001E-2</v>
      </c>
      <c r="W19" s="17">
        <v>2.8000000000000001E-2</v>
      </c>
      <c r="X19" s="17">
        <v>2.7E-2</v>
      </c>
      <c r="Y19" s="17">
        <v>2.5999999999999999E-2</v>
      </c>
      <c r="Z19" s="17">
        <v>2.5000000000000001E-2</v>
      </c>
      <c r="AA19" s="17">
        <v>2.5000000000000001E-2</v>
      </c>
      <c r="AB19" s="17">
        <v>2.5000000000000001E-2</v>
      </c>
      <c r="AC19" s="17">
        <v>2.4E-2</v>
      </c>
      <c r="AD19" s="17">
        <v>2.3E-2</v>
      </c>
      <c r="AE19" s="17">
        <v>2.1999999999999999E-2</v>
      </c>
      <c r="AF19" s="17">
        <v>2.3E-2</v>
      </c>
      <c r="AG19" s="17">
        <v>2.3E-2</v>
      </c>
      <c r="AH19" s="17">
        <v>2.3E-2</v>
      </c>
      <c r="AI19" s="17">
        <v>2.3E-2</v>
      </c>
      <c r="AJ19" s="17">
        <v>2.3E-2</v>
      </c>
      <c r="AK19" s="17">
        <v>2.3E-2</v>
      </c>
    </row>
    <row r="20" spans="1:37" x14ac:dyDescent="0.25">
      <c r="A20">
        <v>12</v>
      </c>
      <c r="K20" s="17">
        <v>3.5000000000000003E-2</v>
      </c>
      <c r="L20" s="17">
        <v>3.2000000000000001E-2</v>
      </c>
      <c r="M20" s="17">
        <v>0.03</v>
      </c>
      <c r="N20" s="17">
        <v>2.7E-2</v>
      </c>
      <c r="O20" s="17">
        <v>2.5999999999999999E-2</v>
      </c>
      <c r="P20" s="17">
        <v>0.03</v>
      </c>
      <c r="Q20" s="17">
        <v>0.03</v>
      </c>
      <c r="R20" s="17">
        <v>3.1E-2</v>
      </c>
      <c r="S20" s="17">
        <v>3.2000000000000001E-2</v>
      </c>
      <c r="T20" s="17">
        <v>3.1E-2</v>
      </c>
      <c r="U20" s="17">
        <v>0.03</v>
      </c>
      <c r="V20" s="17">
        <v>2.9000000000000001E-2</v>
      </c>
      <c r="W20" s="17">
        <v>2.8000000000000001E-2</v>
      </c>
      <c r="X20" s="17">
        <v>2.7E-2</v>
      </c>
      <c r="Y20" s="17">
        <v>2.5999999999999999E-2</v>
      </c>
      <c r="Z20" s="17">
        <v>2.5000000000000001E-2</v>
      </c>
      <c r="AA20" s="17">
        <v>2.5000000000000001E-2</v>
      </c>
      <c r="AB20" s="17">
        <v>2.5000000000000001E-2</v>
      </c>
      <c r="AC20" s="17">
        <v>2.4E-2</v>
      </c>
      <c r="AD20" s="17">
        <v>2.3E-2</v>
      </c>
      <c r="AE20" s="17">
        <v>2.1999999999999999E-2</v>
      </c>
      <c r="AF20" s="17">
        <v>2.3E-2</v>
      </c>
      <c r="AG20" s="17">
        <v>2.3E-2</v>
      </c>
      <c r="AH20" s="17">
        <v>2.3E-2</v>
      </c>
      <c r="AI20" s="17">
        <v>2.3E-2</v>
      </c>
      <c r="AJ20" s="17">
        <v>2.3E-2</v>
      </c>
      <c r="AK20" s="17">
        <v>2.3E-2</v>
      </c>
    </row>
    <row r="21" spans="1:37" x14ac:dyDescent="0.25">
      <c r="A21">
        <v>13</v>
      </c>
      <c r="L21" s="17">
        <v>3.2000000000000001E-2</v>
      </c>
      <c r="M21" s="17">
        <v>0.03</v>
      </c>
      <c r="N21" s="17">
        <v>2.7E-2</v>
      </c>
      <c r="O21" s="17">
        <v>2.5999999999999999E-2</v>
      </c>
      <c r="P21" s="17">
        <v>0.03</v>
      </c>
      <c r="Q21" s="17">
        <v>0.03</v>
      </c>
      <c r="R21" s="17">
        <v>3.1E-2</v>
      </c>
      <c r="S21" s="17">
        <v>3.2000000000000001E-2</v>
      </c>
      <c r="T21" s="17">
        <v>3.1E-2</v>
      </c>
      <c r="U21" s="17">
        <v>0.03</v>
      </c>
      <c r="V21" s="17">
        <v>2.9000000000000001E-2</v>
      </c>
      <c r="W21" s="17">
        <v>2.8000000000000001E-2</v>
      </c>
      <c r="X21" s="17">
        <v>2.7E-2</v>
      </c>
      <c r="Y21" s="17">
        <v>2.5999999999999999E-2</v>
      </c>
      <c r="Z21" s="17">
        <v>2.5000000000000001E-2</v>
      </c>
      <c r="AA21" s="17">
        <v>2.5000000000000001E-2</v>
      </c>
      <c r="AB21" s="17">
        <v>2.5000000000000001E-2</v>
      </c>
      <c r="AC21" s="17">
        <v>2.4E-2</v>
      </c>
      <c r="AD21" s="17">
        <v>2.3E-2</v>
      </c>
      <c r="AE21" s="17">
        <v>2.1999999999999999E-2</v>
      </c>
      <c r="AF21" s="17">
        <v>2.3E-2</v>
      </c>
      <c r="AG21" s="17">
        <v>2.3E-2</v>
      </c>
      <c r="AH21" s="17">
        <v>2.3E-2</v>
      </c>
      <c r="AI21" s="17">
        <v>2.3E-2</v>
      </c>
      <c r="AJ21" s="17">
        <v>2.3E-2</v>
      </c>
      <c r="AK21" s="17">
        <v>2.3E-2</v>
      </c>
    </row>
    <row r="22" spans="1:37" x14ac:dyDescent="0.25">
      <c r="A22">
        <v>14</v>
      </c>
      <c r="M22" s="17">
        <v>0.03</v>
      </c>
      <c r="N22" s="17">
        <v>2.7E-2</v>
      </c>
      <c r="O22" s="17">
        <v>2.5999999999999999E-2</v>
      </c>
      <c r="P22" s="17">
        <v>0.03</v>
      </c>
      <c r="Q22" s="17">
        <v>0.03</v>
      </c>
      <c r="R22" s="17">
        <v>3.1E-2</v>
      </c>
      <c r="S22" s="17">
        <v>3.2000000000000001E-2</v>
      </c>
      <c r="T22" s="17">
        <v>3.1E-2</v>
      </c>
      <c r="U22" s="17">
        <v>0.03</v>
      </c>
      <c r="V22" s="17">
        <v>2.9000000000000001E-2</v>
      </c>
      <c r="W22" s="17">
        <v>2.8000000000000001E-2</v>
      </c>
      <c r="X22" s="17">
        <v>2.7E-2</v>
      </c>
      <c r="Y22" s="17">
        <v>2.5999999999999999E-2</v>
      </c>
      <c r="Z22" s="17">
        <v>2.5000000000000001E-2</v>
      </c>
      <c r="AA22" s="17">
        <v>2.5000000000000001E-2</v>
      </c>
      <c r="AB22" s="17">
        <v>2.5000000000000001E-2</v>
      </c>
      <c r="AC22" s="17">
        <v>2.4E-2</v>
      </c>
      <c r="AD22" s="17">
        <v>2.3E-2</v>
      </c>
      <c r="AE22" s="17">
        <v>2.1999999999999999E-2</v>
      </c>
      <c r="AF22" s="17">
        <v>2.3E-2</v>
      </c>
      <c r="AG22" s="17">
        <v>2.3E-2</v>
      </c>
      <c r="AH22" s="17">
        <v>2.3E-2</v>
      </c>
      <c r="AI22" s="17">
        <v>2.3E-2</v>
      </c>
      <c r="AJ22" s="17">
        <v>2.3E-2</v>
      </c>
      <c r="AK22" s="17">
        <v>2.3E-2</v>
      </c>
    </row>
    <row r="23" spans="1:37" x14ac:dyDescent="0.25">
      <c r="A23">
        <v>15</v>
      </c>
      <c r="N23" s="17">
        <v>2.7E-2</v>
      </c>
      <c r="O23" s="17">
        <v>2.5999999999999999E-2</v>
      </c>
      <c r="P23" s="17">
        <v>0.03</v>
      </c>
      <c r="Q23" s="17">
        <v>0.03</v>
      </c>
      <c r="R23" s="17">
        <v>3.1E-2</v>
      </c>
      <c r="S23" s="17">
        <v>3.2000000000000001E-2</v>
      </c>
      <c r="T23" s="17">
        <v>3.1E-2</v>
      </c>
      <c r="U23" s="17">
        <v>0.03</v>
      </c>
      <c r="V23" s="17">
        <v>2.9000000000000001E-2</v>
      </c>
      <c r="W23" s="17">
        <v>2.8000000000000001E-2</v>
      </c>
      <c r="X23" s="17">
        <v>2.7E-2</v>
      </c>
      <c r="Y23" s="17">
        <v>2.5999999999999999E-2</v>
      </c>
      <c r="Z23" s="17">
        <v>2.5000000000000001E-2</v>
      </c>
      <c r="AA23" s="17">
        <v>2.5000000000000001E-2</v>
      </c>
      <c r="AB23" s="17">
        <v>2.5000000000000001E-2</v>
      </c>
      <c r="AC23" s="17">
        <v>2.4E-2</v>
      </c>
      <c r="AD23" s="17">
        <v>2.3E-2</v>
      </c>
      <c r="AE23" s="17">
        <v>2.1999999999999999E-2</v>
      </c>
      <c r="AF23" s="17">
        <v>2.3E-2</v>
      </c>
      <c r="AG23" s="17">
        <v>2.3E-2</v>
      </c>
      <c r="AH23" s="17">
        <v>2.3E-2</v>
      </c>
      <c r="AI23" s="17">
        <v>2.3E-2</v>
      </c>
      <c r="AJ23" s="17">
        <v>2.3E-2</v>
      </c>
      <c r="AK23" s="17">
        <v>2.3E-2</v>
      </c>
    </row>
    <row r="24" spans="1:37" x14ac:dyDescent="0.25">
      <c r="A24">
        <v>16</v>
      </c>
      <c r="O24" s="17">
        <v>2.5999999999999999E-2</v>
      </c>
      <c r="P24" s="17">
        <v>0.03</v>
      </c>
      <c r="Q24" s="17">
        <v>0.03</v>
      </c>
      <c r="R24" s="17">
        <v>3.1E-2</v>
      </c>
      <c r="S24" s="17">
        <v>3.2000000000000001E-2</v>
      </c>
      <c r="T24" s="17">
        <v>3.1E-2</v>
      </c>
      <c r="U24" s="17">
        <v>0.03</v>
      </c>
      <c r="V24" s="17">
        <v>2.9000000000000001E-2</v>
      </c>
      <c r="W24" s="17">
        <v>2.8000000000000001E-2</v>
      </c>
      <c r="X24" s="17">
        <v>2.7E-2</v>
      </c>
      <c r="Y24" s="17">
        <v>2.5999999999999999E-2</v>
      </c>
      <c r="Z24" s="17">
        <v>2.5000000000000001E-2</v>
      </c>
      <c r="AA24" s="17">
        <v>2.5000000000000001E-2</v>
      </c>
      <c r="AB24" s="17">
        <v>2.5000000000000001E-2</v>
      </c>
      <c r="AC24" s="17">
        <v>2.4E-2</v>
      </c>
      <c r="AD24" s="17">
        <v>2.3E-2</v>
      </c>
      <c r="AE24" s="17">
        <v>2.1999999999999999E-2</v>
      </c>
      <c r="AF24" s="17">
        <v>2.3E-2</v>
      </c>
      <c r="AG24" s="17">
        <v>2.3E-2</v>
      </c>
      <c r="AH24" s="17">
        <v>2.3E-2</v>
      </c>
      <c r="AI24" s="17">
        <v>2.3E-2</v>
      </c>
      <c r="AJ24" s="17">
        <v>2.3E-2</v>
      </c>
      <c r="AK24" s="17">
        <v>2.3E-2</v>
      </c>
    </row>
    <row r="25" spans="1:37" x14ac:dyDescent="0.25">
      <c r="A25">
        <v>17</v>
      </c>
      <c r="P25" s="17">
        <v>2.4E-2</v>
      </c>
      <c r="Q25" s="17">
        <v>2.3E-2</v>
      </c>
      <c r="R25" s="17">
        <v>2.1999999999999999E-2</v>
      </c>
      <c r="S25" s="17">
        <v>2.1000000000000001E-2</v>
      </c>
      <c r="T25" s="17">
        <v>0.02</v>
      </c>
      <c r="U25" s="17">
        <v>1.9E-2</v>
      </c>
      <c r="V25" s="17">
        <v>1.7999999999999999E-2</v>
      </c>
      <c r="W25" s="17">
        <v>1.7000000000000001E-2</v>
      </c>
      <c r="X25" s="17">
        <v>1.6E-2</v>
      </c>
      <c r="Y25" s="17">
        <v>1.6E-2</v>
      </c>
      <c r="Z25" s="17">
        <v>1.4999999999999999E-2</v>
      </c>
      <c r="AA25" s="17">
        <v>1.4999999999999999E-2</v>
      </c>
      <c r="AB25" s="17">
        <v>1.4E-2</v>
      </c>
      <c r="AC25" s="17">
        <v>1.4E-2</v>
      </c>
      <c r="AD25" s="17">
        <v>1.2999999999999999E-2</v>
      </c>
      <c r="AE25" s="17">
        <v>1.2999999999999999E-2</v>
      </c>
      <c r="AF25" s="17">
        <v>1.6E-2</v>
      </c>
      <c r="AG25" s="17">
        <v>1.6E-2</v>
      </c>
      <c r="AH25" s="17">
        <v>1.7000000000000001E-2</v>
      </c>
      <c r="AI25" s="17">
        <v>1.7000000000000001E-2</v>
      </c>
      <c r="AJ25" s="17">
        <v>1.7000000000000001E-2</v>
      </c>
      <c r="AK25" s="17">
        <v>1.7000000000000001E-2</v>
      </c>
    </row>
    <row r="26" spans="1:37" x14ac:dyDescent="0.25">
      <c r="A26">
        <v>18</v>
      </c>
      <c r="Q26" s="17">
        <v>2.3E-2</v>
      </c>
      <c r="R26" s="17">
        <v>2.1999999999999999E-2</v>
      </c>
      <c r="S26" s="17">
        <v>2.1000000000000001E-2</v>
      </c>
      <c r="T26" s="17">
        <v>0.02</v>
      </c>
      <c r="U26" s="17">
        <v>1.9E-2</v>
      </c>
      <c r="V26" s="17">
        <v>1.7999999999999999E-2</v>
      </c>
      <c r="W26" s="17">
        <v>1.7000000000000001E-2</v>
      </c>
      <c r="X26" s="17">
        <v>1.6E-2</v>
      </c>
      <c r="Y26" s="17">
        <v>1.6E-2</v>
      </c>
      <c r="Z26" s="17">
        <v>1.4999999999999999E-2</v>
      </c>
      <c r="AA26" s="17">
        <v>1.4999999999999999E-2</v>
      </c>
      <c r="AB26" s="17">
        <v>1.4E-2</v>
      </c>
      <c r="AC26" s="17">
        <v>1.4E-2</v>
      </c>
      <c r="AD26" s="17">
        <v>1.2999999999999999E-2</v>
      </c>
      <c r="AE26" s="17">
        <v>1.2999999999999999E-2</v>
      </c>
      <c r="AF26" s="17">
        <v>1.6E-2</v>
      </c>
      <c r="AG26" s="17">
        <v>1.6E-2</v>
      </c>
      <c r="AH26" s="17">
        <v>1.7000000000000001E-2</v>
      </c>
      <c r="AI26" s="17">
        <v>1.7000000000000001E-2</v>
      </c>
      <c r="AJ26" s="17">
        <v>1.7000000000000001E-2</v>
      </c>
      <c r="AK26" s="17">
        <v>1.7000000000000001E-2</v>
      </c>
    </row>
    <row r="27" spans="1:37" x14ac:dyDescent="0.25">
      <c r="A27">
        <v>19</v>
      </c>
      <c r="R27" s="17">
        <v>2.1999999999999999E-2</v>
      </c>
      <c r="S27" s="17">
        <v>2.1000000000000001E-2</v>
      </c>
      <c r="T27" s="17">
        <v>0.02</v>
      </c>
      <c r="U27" s="17">
        <v>1.9E-2</v>
      </c>
      <c r="V27" s="17">
        <v>1.7999999999999999E-2</v>
      </c>
      <c r="W27" s="17">
        <v>1.7000000000000001E-2</v>
      </c>
      <c r="X27" s="17">
        <v>1.6E-2</v>
      </c>
      <c r="Y27" s="17">
        <v>1.6E-2</v>
      </c>
      <c r="Z27" s="17">
        <v>1.4999999999999999E-2</v>
      </c>
      <c r="AA27" s="17">
        <v>1.4999999999999999E-2</v>
      </c>
      <c r="AB27" s="17">
        <v>1.4E-2</v>
      </c>
      <c r="AC27" s="17">
        <v>1.4E-2</v>
      </c>
      <c r="AD27" s="17">
        <v>1.2999999999999999E-2</v>
      </c>
      <c r="AE27" s="17">
        <v>1.2999999999999999E-2</v>
      </c>
      <c r="AF27" s="17">
        <v>1.6E-2</v>
      </c>
      <c r="AG27" s="17">
        <v>1.6E-2</v>
      </c>
      <c r="AH27" s="17">
        <v>1.7000000000000001E-2</v>
      </c>
      <c r="AI27" s="17">
        <v>1.7000000000000001E-2</v>
      </c>
      <c r="AJ27" s="17">
        <v>1.7000000000000001E-2</v>
      </c>
      <c r="AK27" s="17">
        <v>1.7000000000000001E-2</v>
      </c>
    </row>
    <row r="28" spans="1:37" x14ac:dyDescent="0.25">
      <c r="A28">
        <v>20</v>
      </c>
      <c r="S28" s="17">
        <v>2.1000000000000001E-2</v>
      </c>
      <c r="T28" s="17">
        <v>0.02</v>
      </c>
      <c r="U28" s="17">
        <v>1.9E-2</v>
      </c>
      <c r="V28" s="17">
        <v>1.7999999999999999E-2</v>
      </c>
      <c r="W28" s="17">
        <v>1.7000000000000001E-2</v>
      </c>
      <c r="X28" s="17">
        <v>1.6E-2</v>
      </c>
      <c r="Y28" s="17">
        <v>1.6E-2</v>
      </c>
      <c r="Z28" s="17">
        <v>1.4999999999999999E-2</v>
      </c>
      <c r="AA28" s="17">
        <v>1.4999999999999999E-2</v>
      </c>
      <c r="AB28" s="17">
        <v>1.4E-2</v>
      </c>
      <c r="AC28" s="17">
        <v>1.4E-2</v>
      </c>
      <c r="AD28" s="17">
        <v>1.2999999999999999E-2</v>
      </c>
      <c r="AE28" s="17">
        <v>1.2999999999999999E-2</v>
      </c>
      <c r="AF28" s="17">
        <v>1.6E-2</v>
      </c>
      <c r="AG28" s="17">
        <v>1.6E-2</v>
      </c>
      <c r="AH28" s="17">
        <v>1.7000000000000001E-2</v>
      </c>
      <c r="AI28" s="17">
        <v>1.7000000000000001E-2</v>
      </c>
      <c r="AJ28" s="17">
        <v>1.7000000000000001E-2</v>
      </c>
      <c r="AK28" s="17">
        <v>1.7000000000000001E-2</v>
      </c>
    </row>
    <row r="29" spans="1:37" x14ac:dyDescent="0.25">
      <c r="A29">
        <v>21</v>
      </c>
      <c r="T29" s="17">
        <v>0.02</v>
      </c>
      <c r="U29" s="17">
        <v>1.9E-2</v>
      </c>
      <c r="V29" s="17">
        <v>1.7999999999999999E-2</v>
      </c>
      <c r="W29" s="17">
        <v>1.7000000000000001E-2</v>
      </c>
      <c r="X29" s="17">
        <v>1.6E-2</v>
      </c>
      <c r="Y29" s="17">
        <v>1.6E-2</v>
      </c>
      <c r="Z29" s="17">
        <v>1.4999999999999999E-2</v>
      </c>
      <c r="AA29" s="17">
        <v>1.4999999999999999E-2</v>
      </c>
      <c r="AB29" s="17">
        <v>1.4E-2</v>
      </c>
      <c r="AC29" s="17">
        <v>1.4E-2</v>
      </c>
      <c r="AD29" s="17">
        <v>1.2999999999999999E-2</v>
      </c>
      <c r="AE29" s="17">
        <v>1.2999999999999999E-2</v>
      </c>
      <c r="AF29" s="17">
        <v>1.6E-2</v>
      </c>
      <c r="AG29" s="17">
        <v>1.6E-2</v>
      </c>
      <c r="AH29" s="17">
        <v>1.7000000000000001E-2</v>
      </c>
      <c r="AI29" s="17">
        <v>1.7000000000000001E-2</v>
      </c>
      <c r="AJ29" s="17">
        <v>1.7000000000000001E-2</v>
      </c>
      <c r="AK29" s="17">
        <v>1.7000000000000001E-2</v>
      </c>
    </row>
    <row r="30" spans="1:37" x14ac:dyDescent="0.25">
      <c r="A30">
        <v>22</v>
      </c>
      <c r="U30" s="17">
        <v>1.9E-2</v>
      </c>
      <c r="V30" s="17">
        <v>1.7999999999999999E-2</v>
      </c>
      <c r="W30" s="17">
        <v>1.7000000000000001E-2</v>
      </c>
      <c r="X30" s="17">
        <v>1.6E-2</v>
      </c>
      <c r="Y30" s="17">
        <v>1.6E-2</v>
      </c>
      <c r="Z30" s="17">
        <v>1.4999999999999999E-2</v>
      </c>
      <c r="AA30" s="17">
        <v>1.4999999999999999E-2</v>
      </c>
      <c r="AB30" s="17">
        <v>1.4E-2</v>
      </c>
      <c r="AC30" s="17">
        <v>1.4E-2</v>
      </c>
      <c r="AD30" s="17">
        <v>1.2999999999999999E-2</v>
      </c>
      <c r="AE30" s="17">
        <v>1.2999999999999999E-2</v>
      </c>
      <c r="AF30" s="17">
        <v>1.6E-2</v>
      </c>
      <c r="AG30" s="17">
        <v>1.6E-2</v>
      </c>
      <c r="AH30" s="17">
        <v>1.7000000000000001E-2</v>
      </c>
      <c r="AI30" s="17">
        <v>1.7000000000000001E-2</v>
      </c>
      <c r="AJ30" s="17">
        <v>1.7000000000000001E-2</v>
      </c>
      <c r="AK30" s="17">
        <v>1.7000000000000001E-2</v>
      </c>
    </row>
    <row r="31" spans="1:37" x14ac:dyDescent="0.25">
      <c r="A31">
        <v>23</v>
      </c>
      <c r="V31" s="17">
        <v>1.7999999999999999E-2</v>
      </c>
      <c r="W31" s="17">
        <v>1.7000000000000001E-2</v>
      </c>
      <c r="X31" s="17">
        <v>1.6E-2</v>
      </c>
      <c r="Y31" s="17">
        <v>1.6E-2</v>
      </c>
      <c r="Z31" s="17">
        <v>1.4999999999999999E-2</v>
      </c>
      <c r="AA31" s="17">
        <v>1.4999999999999999E-2</v>
      </c>
      <c r="AB31" s="17">
        <v>1.4E-2</v>
      </c>
      <c r="AC31" s="17">
        <v>1.4E-2</v>
      </c>
      <c r="AD31" s="17">
        <v>1.2999999999999999E-2</v>
      </c>
      <c r="AE31" s="17">
        <v>1.2999999999999999E-2</v>
      </c>
      <c r="AF31" s="17">
        <v>1.6E-2</v>
      </c>
      <c r="AG31" s="17">
        <v>1.6E-2</v>
      </c>
      <c r="AH31" s="17">
        <v>1.7000000000000001E-2</v>
      </c>
      <c r="AI31" s="17">
        <v>1.7000000000000001E-2</v>
      </c>
      <c r="AJ31" s="17">
        <v>1.7000000000000001E-2</v>
      </c>
      <c r="AK31" s="17">
        <v>1.7000000000000001E-2</v>
      </c>
    </row>
    <row r="32" spans="1:37" x14ac:dyDescent="0.25">
      <c r="A32">
        <v>24</v>
      </c>
      <c r="W32" s="17">
        <v>1.7000000000000001E-2</v>
      </c>
      <c r="X32" s="17">
        <v>1.6E-2</v>
      </c>
      <c r="Y32" s="17">
        <v>1.6E-2</v>
      </c>
      <c r="Z32" s="17">
        <v>1.4999999999999999E-2</v>
      </c>
      <c r="AA32" s="17">
        <v>1.4999999999999999E-2</v>
      </c>
      <c r="AB32" s="17">
        <v>1.4E-2</v>
      </c>
      <c r="AC32" s="17">
        <v>1.4E-2</v>
      </c>
      <c r="AD32" s="17">
        <v>1.2999999999999999E-2</v>
      </c>
      <c r="AE32" s="17">
        <v>1.2999999999999999E-2</v>
      </c>
      <c r="AF32" s="17">
        <v>1.6E-2</v>
      </c>
      <c r="AG32" s="17">
        <v>1.6E-2</v>
      </c>
      <c r="AH32" s="17">
        <v>1.7000000000000001E-2</v>
      </c>
      <c r="AI32" s="17">
        <v>1.7000000000000001E-2</v>
      </c>
      <c r="AJ32" s="17">
        <v>1.7000000000000001E-2</v>
      </c>
      <c r="AK32" s="17">
        <v>1.7000000000000001E-2</v>
      </c>
    </row>
    <row r="33" spans="1:37" x14ac:dyDescent="0.25">
      <c r="A33">
        <v>25</v>
      </c>
      <c r="X33" s="17">
        <v>1.6E-2</v>
      </c>
      <c r="Y33" s="17">
        <v>1.6E-2</v>
      </c>
      <c r="Z33" s="17">
        <v>1.4999999999999999E-2</v>
      </c>
      <c r="AA33" s="17">
        <v>1.4999999999999999E-2</v>
      </c>
      <c r="AB33" s="17">
        <v>1.4E-2</v>
      </c>
      <c r="AC33" s="17">
        <v>1.4E-2</v>
      </c>
      <c r="AD33" s="17">
        <v>1.2999999999999999E-2</v>
      </c>
      <c r="AE33" s="17">
        <v>1.2999999999999999E-2</v>
      </c>
      <c r="AF33" s="17">
        <v>1.6E-2</v>
      </c>
      <c r="AG33" s="17">
        <v>1.6E-2</v>
      </c>
      <c r="AH33" s="17">
        <v>1.7000000000000001E-2</v>
      </c>
      <c r="AI33" s="17">
        <v>1.7000000000000001E-2</v>
      </c>
      <c r="AJ33" s="17">
        <v>1.7000000000000001E-2</v>
      </c>
      <c r="AK33" s="17">
        <v>1.7000000000000001E-2</v>
      </c>
    </row>
    <row r="34" spans="1:37" x14ac:dyDescent="0.25">
      <c r="A34">
        <v>26</v>
      </c>
      <c r="Y34" s="17">
        <v>1.6E-2</v>
      </c>
      <c r="Z34" s="17">
        <v>1.4999999999999999E-2</v>
      </c>
      <c r="AA34" s="17">
        <v>1.4999999999999999E-2</v>
      </c>
      <c r="AB34" s="17">
        <v>1.4E-2</v>
      </c>
      <c r="AC34" s="17">
        <v>1.4E-2</v>
      </c>
      <c r="AD34" s="17">
        <v>1.2999999999999999E-2</v>
      </c>
      <c r="AE34" s="17">
        <v>1.2999999999999999E-2</v>
      </c>
      <c r="AF34" s="17">
        <v>1.6E-2</v>
      </c>
      <c r="AG34" s="17">
        <v>1.6E-2</v>
      </c>
      <c r="AH34" s="17">
        <v>1.7000000000000001E-2</v>
      </c>
      <c r="AI34" s="17">
        <v>1.7000000000000001E-2</v>
      </c>
      <c r="AJ34" s="17">
        <v>1.7000000000000001E-2</v>
      </c>
      <c r="AK34" s="17">
        <v>1.7000000000000001E-2</v>
      </c>
    </row>
    <row r="35" spans="1:37" x14ac:dyDescent="0.25">
      <c r="A35">
        <v>27</v>
      </c>
      <c r="Z35" s="17">
        <v>1.4999999999999999E-2</v>
      </c>
      <c r="AA35" s="17">
        <v>1.4999999999999999E-2</v>
      </c>
      <c r="AB35" s="17">
        <v>1.4E-2</v>
      </c>
      <c r="AC35" s="17">
        <v>1.4E-2</v>
      </c>
      <c r="AD35" s="17">
        <v>1.2999999999999999E-2</v>
      </c>
      <c r="AE35" s="17">
        <v>1.2999999999999999E-2</v>
      </c>
      <c r="AF35" s="17">
        <v>1.6E-2</v>
      </c>
      <c r="AG35" s="17">
        <v>1.6E-2</v>
      </c>
      <c r="AH35" s="17">
        <v>1.7000000000000001E-2</v>
      </c>
      <c r="AI35" s="17">
        <v>1.7000000000000001E-2</v>
      </c>
      <c r="AJ35" s="17">
        <v>1.7000000000000001E-2</v>
      </c>
      <c r="AK35" s="17">
        <v>1.7000000000000001E-2</v>
      </c>
    </row>
    <row r="36" spans="1:37" x14ac:dyDescent="0.25">
      <c r="A36">
        <v>28</v>
      </c>
      <c r="AA36" s="17">
        <v>1.4999999999999999E-2</v>
      </c>
      <c r="AB36" s="17">
        <v>1.4E-2</v>
      </c>
      <c r="AC36" s="17">
        <v>1.4E-2</v>
      </c>
      <c r="AD36" s="17">
        <v>1.2999999999999999E-2</v>
      </c>
      <c r="AE36" s="17">
        <v>1.2999999999999999E-2</v>
      </c>
      <c r="AF36" s="17">
        <v>1.6E-2</v>
      </c>
      <c r="AG36" s="17">
        <v>1.6E-2</v>
      </c>
      <c r="AH36" s="17">
        <v>1.7000000000000001E-2</v>
      </c>
      <c r="AI36" s="17">
        <v>1.7000000000000001E-2</v>
      </c>
      <c r="AJ36" s="17">
        <v>1.7000000000000001E-2</v>
      </c>
      <c r="AK36" s="17">
        <v>1.7000000000000001E-2</v>
      </c>
    </row>
    <row r="37" spans="1:37" x14ac:dyDescent="0.25">
      <c r="A37">
        <v>29</v>
      </c>
      <c r="AB37" s="17">
        <v>1.4E-2</v>
      </c>
      <c r="AC37" s="17">
        <v>1.4E-2</v>
      </c>
      <c r="AD37" s="17">
        <v>1.2999999999999999E-2</v>
      </c>
      <c r="AE37" s="17">
        <v>1.2999999999999999E-2</v>
      </c>
      <c r="AF37" s="17">
        <v>1.6E-2</v>
      </c>
      <c r="AG37" s="17">
        <v>1.6E-2</v>
      </c>
      <c r="AH37" s="17">
        <v>1.7000000000000001E-2</v>
      </c>
      <c r="AI37" s="17">
        <v>1.7000000000000001E-2</v>
      </c>
      <c r="AJ37" s="17">
        <v>1.7000000000000001E-2</v>
      </c>
      <c r="AK37" s="17">
        <v>1.7000000000000001E-2</v>
      </c>
    </row>
    <row r="38" spans="1:37" x14ac:dyDescent="0.25">
      <c r="A38">
        <v>30</v>
      </c>
      <c r="AC38" s="17">
        <v>1.4E-2</v>
      </c>
      <c r="AD38" s="17">
        <v>1.2999999999999999E-2</v>
      </c>
      <c r="AE38" s="17">
        <v>1.2999999999999999E-2</v>
      </c>
      <c r="AF38" s="17">
        <v>1.6E-2</v>
      </c>
      <c r="AG38" s="17">
        <v>1.6E-2</v>
      </c>
      <c r="AH38" s="17">
        <v>1.7000000000000001E-2</v>
      </c>
      <c r="AI38" s="17">
        <v>1.7000000000000001E-2</v>
      </c>
      <c r="AJ38" s="17">
        <v>1.7000000000000001E-2</v>
      </c>
      <c r="AK38" s="17">
        <v>1.7000000000000001E-2</v>
      </c>
    </row>
    <row r="39" spans="1:37" x14ac:dyDescent="0.25">
      <c r="A39">
        <v>31</v>
      </c>
      <c r="AD39" s="17">
        <v>1.2999999999999999E-2</v>
      </c>
      <c r="AE39" s="17">
        <v>1.2999999999999999E-2</v>
      </c>
      <c r="AF39" s="17">
        <v>1.6E-2</v>
      </c>
      <c r="AG39" s="17">
        <v>1.6E-2</v>
      </c>
      <c r="AH39" s="17">
        <v>1.7000000000000001E-2</v>
      </c>
      <c r="AI39" s="17">
        <v>1.7000000000000001E-2</v>
      </c>
      <c r="AJ39" s="17">
        <v>1.7000000000000001E-2</v>
      </c>
      <c r="AK39" s="17">
        <v>1.7000000000000001E-2</v>
      </c>
    </row>
    <row r="40" spans="1:37" x14ac:dyDescent="0.25">
      <c r="A40">
        <v>32</v>
      </c>
      <c r="AE40" s="17">
        <v>1.2999999999999999E-2</v>
      </c>
      <c r="AF40" s="17">
        <v>1.6E-2</v>
      </c>
      <c r="AG40" s="17">
        <v>1.6E-2</v>
      </c>
      <c r="AH40" s="17">
        <v>1.7000000000000001E-2</v>
      </c>
      <c r="AI40" s="17">
        <v>1.7000000000000001E-2</v>
      </c>
      <c r="AJ40" s="17">
        <v>1.7000000000000001E-2</v>
      </c>
      <c r="AK40" s="17">
        <v>1.7000000000000001E-2</v>
      </c>
    </row>
    <row r="41" spans="1:37" x14ac:dyDescent="0.25">
      <c r="A41">
        <v>33</v>
      </c>
      <c r="AF41" s="17">
        <v>1.2999999999999999E-2</v>
      </c>
      <c r="AG41" s="17">
        <v>1.2E-2</v>
      </c>
      <c r="AH41" s="17">
        <v>1.15E-2</v>
      </c>
      <c r="AI41" s="17">
        <v>1.15E-2</v>
      </c>
      <c r="AJ41" s="17">
        <v>1.0999999999999999E-2</v>
      </c>
      <c r="AK41" s="17">
        <v>1.0999999999999999E-2</v>
      </c>
    </row>
    <row r="42" spans="1:37" x14ac:dyDescent="0.25">
      <c r="A42">
        <v>34</v>
      </c>
      <c r="AG42" s="17">
        <v>1.2E-2</v>
      </c>
      <c r="AH42" s="17">
        <v>1.15E-2</v>
      </c>
      <c r="AI42" s="17">
        <v>1.15E-2</v>
      </c>
      <c r="AJ42" s="17">
        <v>1.0999999999999999E-2</v>
      </c>
      <c r="AK42" s="17">
        <v>1.0999999999999999E-2</v>
      </c>
    </row>
    <row r="43" spans="1:37" x14ac:dyDescent="0.25">
      <c r="A43">
        <v>35</v>
      </c>
      <c r="AH43" s="17">
        <v>1.15E-2</v>
      </c>
      <c r="AI43" s="17">
        <v>1.15E-2</v>
      </c>
      <c r="AJ43" s="17">
        <v>1.0999999999999999E-2</v>
      </c>
      <c r="AK43" s="17">
        <v>1.0999999999999999E-2</v>
      </c>
    </row>
    <row r="44" spans="1:37" x14ac:dyDescent="0.25">
      <c r="A44">
        <v>36</v>
      </c>
      <c r="AI44" s="17">
        <v>1.15E-2</v>
      </c>
      <c r="AJ44" s="17">
        <v>1.0999999999999999E-2</v>
      </c>
      <c r="AK44" s="17">
        <v>1.0999999999999999E-2</v>
      </c>
    </row>
    <row r="45" spans="1:37" x14ac:dyDescent="0.25">
      <c r="A45">
        <v>37</v>
      </c>
      <c r="AJ45" s="17">
        <v>1.0999999999999999E-2</v>
      </c>
      <c r="AK45" s="17">
        <v>1.0999999999999999E-2</v>
      </c>
    </row>
    <row r="46" spans="1:37" x14ac:dyDescent="0.25">
      <c r="A46">
        <v>38</v>
      </c>
      <c r="AK46" s="17">
        <v>1.0999999999999999E-2</v>
      </c>
    </row>
    <row r="47" spans="1:37" x14ac:dyDescent="0.25">
      <c r="A47" t="s">
        <v>72</v>
      </c>
      <c r="B47" s="12">
        <f t="shared" ref="B47:AJ47" si="0">SUM(B9:B46)</f>
        <v>1</v>
      </c>
      <c r="C47" s="12">
        <f t="shared" si="0"/>
        <v>0.99999999999999989</v>
      </c>
      <c r="D47" s="12">
        <f t="shared" si="0"/>
        <v>1</v>
      </c>
      <c r="E47" s="12">
        <f t="shared" si="0"/>
        <v>1</v>
      </c>
      <c r="F47" s="12">
        <f t="shared" si="0"/>
        <v>1</v>
      </c>
      <c r="G47" s="12">
        <f t="shared" si="0"/>
        <v>1.0000000000000002</v>
      </c>
      <c r="H47" s="12">
        <f t="shared" si="0"/>
        <v>1.0000000000000002</v>
      </c>
      <c r="I47" s="12">
        <f t="shared" si="0"/>
        <v>1.0000000000000002</v>
      </c>
      <c r="J47" s="12">
        <f t="shared" si="0"/>
        <v>1.0000000000000002</v>
      </c>
      <c r="K47" s="12">
        <f t="shared" si="0"/>
        <v>1.0000000000000002</v>
      </c>
      <c r="L47" s="12">
        <f t="shared" si="0"/>
        <v>1.0000000000000002</v>
      </c>
      <c r="M47" s="12">
        <f t="shared" si="0"/>
        <v>1.0000000000000002</v>
      </c>
      <c r="N47" s="12">
        <f t="shared" si="0"/>
        <v>1.0000000000000002</v>
      </c>
      <c r="O47" s="12">
        <f t="shared" si="0"/>
        <v>1.0000000000000002</v>
      </c>
      <c r="P47" s="12">
        <f t="shared" si="0"/>
        <v>1.0000000000000004</v>
      </c>
      <c r="Q47" s="12">
        <f t="shared" si="0"/>
        <v>1.0000000000000004</v>
      </c>
      <c r="R47" s="12">
        <f t="shared" si="0"/>
        <v>1.0000000000000004</v>
      </c>
      <c r="S47" s="12">
        <f t="shared" si="0"/>
        <v>1.0000000000000004</v>
      </c>
      <c r="T47" s="12">
        <f t="shared" si="0"/>
        <v>1.0000000000000004</v>
      </c>
      <c r="U47" s="12">
        <f t="shared" si="0"/>
        <v>1.0000000000000004</v>
      </c>
      <c r="V47" s="12">
        <f t="shared" si="0"/>
        <v>1.0000000000000004</v>
      </c>
      <c r="W47" s="12">
        <f t="shared" si="0"/>
        <v>1.0000000000000004</v>
      </c>
      <c r="X47" s="12">
        <f t="shared" si="0"/>
        <v>1.0000000000000004</v>
      </c>
      <c r="Y47" s="12">
        <f t="shared" si="0"/>
        <v>1.0000000000000004</v>
      </c>
      <c r="Z47" s="12">
        <f t="shared" si="0"/>
        <v>1.0000000000000004</v>
      </c>
      <c r="AA47" s="12">
        <f t="shared" si="0"/>
        <v>1.0000000000000004</v>
      </c>
      <c r="AB47" s="12">
        <f t="shared" si="0"/>
        <v>1.0000000000000004</v>
      </c>
      <c r="AC47" s="12">
        <f t="shared" si="0"/>
        <v>1.0000000000000004</v>
      </c>
      <c r="AD47" s="12">
        <f t="shared" si="0"/>
        <v>1.0000000000000004</v>
      </c>
      <c r="AE47" s="12">
        <f t="shared" si="0"/>
        <v>1.0000000000000004</v>
      </c>
      <c r="AF47" s="12">
        <f t="shared" si="0"/>
        <v>1.0010000000000003</v>
      </c>
      <c r="AG47" s="12">
        <f t="shared" si="0"/>
        <v>1.0000000000000004</v>
      </c>
      <c r="AH47" s="12">
        <f t="shared" si="0"/>
        <v>1.0000000000000004</v>
      </c>
      <c r="AI47" s="12">
        <f t="shared" si="0"/>
        <v>1.0000000000000002</v>
      </c>
      <c r="AJ47" s="12">
        <f t="shared" si="0"/>
        <v>1.0000000000000002</v>
      </c>
      <c r="AK47" s="12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B6"/>
  <sheetViews>
    <sheetView workbookViewId="0">
      <selection activeCell="C19" sqref="C19"/>
    </sheetView>
  </sheetViews>
  <sheetFormatPr defaultRowHeight="15" x14ac:dyDescent="0.25"/>
  <sheetData>
    <row r="1" spans="1:2" x14ac:dyDescent="0.25">
      <c r="A1">
        <v>1</v>
      </c>
      <c r="B1" t="s">
        <v>134</v>
      </c>
    </row>
    <row r="2" spans="1:2" x14ac:dyDescent="0.25">
      <c r="A2">
        <v>2</v>
      </c>
      <c r="B2" t="s">
        <v>135</v>
      </c>
    </row>
    <row r="3" spans="1:2" x14ac:dyDescent="0.25">
      <c r="A3">
        <v>3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43</vt:i4>
      </vt:variant>
    </vt:vector>
  </HeadingPairs>
  <TitlesOfParts>
    <vt:vector size="51" baseType="lpstr">
      <vt:lpstr>ConsySummary</vt:lpstr>
      <vt:lpstr>Expenses</vt:lpstr>
      <vt:lpstr>PlayerBenefits</vt:lpstr>
      <vt:lpstr>BracketPayOffs</vt:lpstr>
      <vt:lpstr>PayOffSignOff</vt:lpstr>
      <vt:lpstr>PayOffTable</vt:lpstr>
      <vt:lpstr>PayOffTable4Places</vt:lpstr>
      <vt:lpstr>Notes</vt:lpstr>
      <vt:lpstr>FCFBenefitsTotal</vt:lpstr>
      <vt:lpstr>FCFBracketPayOffsBracketHdr</vt:lpstr>
      <vt:lpstr>FCFBracketPayOffsPayOffsHdr</vt:lpstr>
      <vt:lpstr>FCFBracketsAllEntries</vt:lpstr>
      <vt:lpstr>FCFConsyPayoutsQualifiersHdrs</vt:lpstr>
      <vt:lpstr>FCFExpensesAllEntryFields</vt:lpstr>
      <vt:lpstr>FCFExpensesTotal</vt:lpstr>
      <vt:lpstr>FCFPayOffSignOffAmountHdr</vt:lpstr>
      <vt:lpstr>FCFPayoffTablePercentOrigin</vt:lpstr>
      <vt:lpstr>FCFPayOfssSignOffBracketHdr</vt:lpstr>
      <vt:lpstr>FCFPayoutsHde</vt:lpstr>
      <vt:lpstr>FCFSummaryAccFee</vt:lpstr>
      <vt:lpstr>FCFSummaryAdjEntries</vt:lpstr>
      <vt:lpstr>FCFSummaryAdjustments</vt:lpstr>
      <vt:lpstr>FCFSummaryAdjustmentsHdr</vt:lpstr>
      <vt:lpstr>FCFSummaryAllInput</vt:lpstr>
      <vt:lpstr>FCFSummaryAvailablePool</vt:lpstr>
      <vt:lpstr>FCFSummaryBracketsHdr</vt:lpstr>
      <vt:lpstr>FCFSummaryDonation</vt:lpstr>
      <vt:lpstr>FCFSummaryEntryFee</vt:lpstr>
      <vt:lpstr>FCFSummaryerPlayerExpenseAllowed</vt:lpstr>
      <vt:lpstr>FCFSummaryFinalHdr</vt:lpstr>
      <vt:lpstr>FCFSummaryFixedDonation</vt:lpstr>
      <vt:lpstr>FCFSummaryPercentsHdr</vt:lpstr>
      <vt:lpstr>FCFSummaryPerPlayer</vt:lpstr>
      <vt:lpstr>FCFSummaryPlayerCount</vt:lpstr>
      <vt:lpstr>FCFSummaryPrintAreaOrigin</vt:lpstr>
      <vt:lpstr>FCFSummaryPrizePool</vt:lpstr>
      <vt:lpstr>FCFSummaryQualifierCount</vt:lpstr>
      <vt:lpstr>FCFSummaryRankHdr</vt:lpstr>
      <vt:lpstr>FCFSummaryRawHdr</vt:lpstr>
      <vt:lpstr>FCFSummaryRoundedHdr</vt:lpstr>
      <vt:lpstr>FCFSummaryRoundedPrizePool</vt:lpstr>
      <vt:lpstr>FCFSummaryTourneyDate</vt:lpstr>
      <vt:lpstr>FCFSummaryTourneyInfo</vt:lpstr>
      <vt:lpstr>FCFSummaryTourneyName</vt:lpstr>
      <vt:lpstr>FCFSummaryTourneyPayoffArea</vt:lpstr>
      <vt:lpstr>FCFTouneyName</vt:lpstr>
      <vt:lpstr>FCFTourneyDate</vt:lpstr>
      <vt:lpstr>BracketPayOffs!Print_Area</vt:lpstr>
      <vt:lpstr>ConsySummary!Print_Area</vt:lpstr>
      <vt:lpstr>Expenses!Print_Area</vt:lpstr>
      <vt:lpstr>PlayerBenefits!Print_Area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2026-01-29T02:20:51Z</cp:lastPrinted>
  <dcterms:created xsi:type="dcterms:W3CDTF">2014-06-07T17:42:48Z</dcterms:created>
  <dcterms:modified xsi:type="dcterms:W3CDTF">2026-04-17T13:39:37Z</dcterms:modified>
</cp:coreProperties>
</file>