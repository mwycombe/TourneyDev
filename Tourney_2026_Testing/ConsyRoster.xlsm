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42A59BAF-83EB-4D90-B55B-7C8D54A2B43C}" xr6:coauthVersionLast="47" xr6:coauthVersionMax="47" xr10:uidLastSave="{00000000-0000-0000-0000-000000000000}"/>
  <bookViews>
    <workbookView xWindow="-28920" yWindow="-135" windowWidth="29040" windowHeight="15720" activeTab="1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</definedName>
    <definedName name="FCRCheckInFirstName">ConsyCheckInSheet!$B$11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e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<sst xmlns="http://schemas.openxmlformats.org/spreadsheetml/2006/main" count="539" uniqueCount="220">
  <si>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</si>
  <si>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</si>
  <si>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</si>
  <si>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</si>
  <si>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</si>
  <si>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</si>
  <si>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</si>
  <si>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</si>
  <si>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</si>
  <si>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</si>
  <si>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</si>
  <si>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</si>
  <si>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</si>
  <si>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</si>
  <si>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</si>
  <si>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</si>
  <si>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</si>
  <si>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</si>
  <si>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</si>
  <si>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</si>
  <si>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</si>
  <si>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</si>
  <si>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</si>
  <si>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</si>
  <si>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</si>
  <si>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</si>
  <si>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</si>
  <si>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</si>
  <si>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</si>
  <si>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</si>
  <si>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</si>
  <si>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</si>
  <si>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</si>
  <si>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</si>
  <si>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</si>
  <si>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</si>
  <si>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</si>
  <si>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</si>
  <si>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</si>
  <si>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</si>
  <si>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</si>
  <si>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</si>
  <si>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</si>
  <si>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</si>
  <si>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</si>
  <si>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</si>
  <si>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</si>
  <si>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</si>
  <si>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</si>
  <si>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</si>
  <si>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</si>
  <si>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</si>
  <si>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</si>
  <si>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</si>
  <si>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</si>
  <si>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</si>
  <si>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</si>
  <si>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</si>
  <si>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</si>
  <si>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</si>
  <si>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</si>
  <si>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</si>
  <si>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</si>
  <si>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</si>
  <si>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</si>
  <si>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</si>
  <si>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</si>
  <si>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</si>
  <si>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</si>
  <si>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</si>
  <si>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</si>
  <si>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</si>
  <si>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</si>
  <si>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</si>
  <si>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</si>
  <si>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</si>
  <si>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</si>
  <si>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Napa Wine Country Open</t>
  </si>
  <si>
    <t>The Moose Lodge</t>
  </si>
  <si>
    <t>Napa, Ca 9458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</si>
  <si>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</si>
  <si>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</si>
  <si>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</si>
  <si>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</si>
  <si>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</si>
  <si>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</si>
  <si>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</si>
  <si>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</si>
  <si>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</si>
  <si>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</si>
  <si>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</si>
  <si>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</si>
  <si>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</si>
  <si>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</si>
  <si>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</si>
  <si>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</si>
  <si>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</si>
  <si>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</si>
  <si>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</si>
  <si>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</si>
  <si>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</si>
  <si>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</si>
  <si>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</si>
  <si>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</si>
  <si>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</si>
  <si>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</si>
  <si>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</si>
  <si>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</si>
  <si>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</si>
  <si>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</si>
  <si>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</si>
  <si>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</si>
  <si>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</si>
  <si>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</si>
  <si>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</si>
  <si>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</si>
  <si>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</si>
  <si>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</si>
  <si>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</si>
  <si>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</si>
  <si>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</si>
  <si>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</si>
  <si>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</si>
  <si>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</si>
  <si>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</si>
  <si>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</si>
  <si>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</si>
  <si>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</si>
  <si>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</si>
  <si>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</si>
  <si>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</si>
  <si>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</si>
  <si>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</si>
  <si>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</si>
  <si>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</si>
  <si>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</si>
  <si>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</si>
  <si>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</si>
  <si>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</si>
  <si>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</si>
  <si>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</si>
  <si>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</si>
  <si>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</si>
  <si>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</si>
  <si>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</si>
  <si>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</si>
  <si>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</si>
  <si>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</si>
  <si>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</si>
  <si>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</si>
  <si>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</si>
  <si>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</si>
  <si>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</si>
  <si>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</si>
  <si>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</si>
  <si>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</si>
  <si>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</si>
  <si>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</si>
  <si>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</si>
  <si>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</si>
  <si>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</si>
  <si>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</si>
  <si>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</si>
  <si>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</si>
  <si>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Morris, Wayne</t>
  </si>
  <si>
    <t>Fremont, CA</t>
  </si>
  <si>
    <t>CA-6409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</si>
  <si>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</si>
  <si>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</si>
  <si>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</si>
  <si>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</si>
  <si>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</si>
  <si>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</si>
  <si>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</si>
  <si>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</si>
  <si>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</si>
  <si>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</si>
  <si>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</si>
  <si>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</si>
  <si>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</si>
  <si>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</si>
  <si>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</si>
  <si>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</si>
  <si>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</si>
  <si>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</si>
  <si>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</si>
  <si>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</si>
  <si>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</si>
  <si>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</si>
  <si>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</si>
  <si>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</si>
  <si>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</si>
  <si>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</si>
  <si>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</si>
  <si>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</si>
  <si>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</si>
  <si>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</si>
  <si>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</si>
  <si>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</si>
  <si>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</si>
  <si>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</si>
  <si>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</si>
  <si>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</si>
  <si>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</si>
  <si>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</si>
  <si>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</si>
  <si>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</si>
  <si>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</si>
  <si>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</si>
  <si>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</si>
  <si>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</si>
  <si>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</si>
  <si>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</si>
  <si>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</si>
  <si>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</si>
  <si>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</si>
  <si>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</si>
  <si>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Estes, Offra</t>
  </si>
  <si>
    <t>CA-7778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</si>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</sst>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 wrapText="1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49" fontId="0" fillId="0" borderId="1" xfId="0" applyNumberForma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0" xfId="0" applyNumberFormat="1" applyFont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7" fillId="0" borderId="0" xfId="0" applyFont="1" applyAlignment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49" fontId="0" fillId="0" borderId="0" xfId="0" applyNumberFormat="1" applyAlignment="1">
      <alignment horizontal="right"/>
    </xf>
    <xf numFmtId="7" fontId="9" fillId="0" borderId="2" xfId="0" applyNumberFormat="1" applyFont="1" applyBorder="1" applyAlignment="1">
      <alignment horizontal="center"/>
    </xf>
    <xf numFmtId="0" fontId="12" fillId="0" borderId="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1" fontId="8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 applyProtection="1">
      <alignment horizontal="center"/>
      <protection locked="0"/>
    </xf>
    <xf numFmtId="0" fontId="2" fillId="0" borderId="0" xfId="0" quotePrefix="1" applyFont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/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Alignment="1">
      <alignment horizontal="left"/>
    </xf>
    <xf numFmtId="166" fontId="8" fillId="0" borderId="1" xfId="1" applyNumberFormat="1" applyFont="1" applyBorder="1" applyAlignment="1">
      <alignment horizontal="center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/>
    <xf numFmtId="0" fontId="13" fillId="0" borderId="0" xfId="0" applyFont="1" applyAlignment="1">
      <alignment horizontal="left"/>
    </xf>
    <xf numFmtId="0" fontId="1" fillId="0" borderId="8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Naviga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SortAlph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22"/>
  <sheetViews>
    <sheetView showZeros="0" workbookViewId="0">
      <pane ySplit="11" topLeftCell="A12" activePane="bottomLeft" state="frozen"/>
      <selection pane="bottomLeft" activeCell="D12" sqref="D12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1" customWidth="1"/>
    <col min="12" max="13" width="8.42578125" customWidth="1"/>
    <col min="14" max="14" width="8.42578125" style="31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137" t="s">
        <v>56</v>
      </c>
      <c r="B1" s="137"/>
      <c r="C1" s="123"/>
      <c r="D1" s="123"/>
      <c r="E1" s="93"/>
      <c r="F1"/>
      <c r="K1" s="96"/>
      <c r="L1" s="33"/>
      <c r="O1" s="23"/>
      <c r="P1" s="23"/>
      <c r="Q1" s="2"/>
      <c r="R1" s="2"/>
      <c r="S1" s="12"/>
      <c r="V1" s="33"/>
      <c r="Z1" s="33"/>
    </row>
    <row r="2" spans="1:30" x14ac:dyDescent="0.25">
      <c r="A2" s="15"/>
      <c r="B2" s="15"/>
      <c r="C2" s="15"/>
      <c r="D2" s="146" t="s">
        <v>72</v>
      </c>
      <c r="E2" s="146"/>
      <c r="F2" s="15"/>
      <c r="G2"/>
      <c r="H2"/>
      <c r="I2"/>
      <c r="J2"/>
      <c r="R2" s="2"/>
      <c r="S2" s="15"/>
    </row>
    <row r="3" spans="1:30" ht="15.75" customHeight="1" x14ac:dyDescent="0.25">
      <c r="A3" s="15"/>
      <c r="B3" s="143" t="s">
        <v>57</v>
      </c>
      <c r="C3" s="143"/>
      <c r="D3" s="139" t="s">
        <v>77</v>
      </c>
      <c r="E3" s="139"/>
      <c r="F3" s="15"/>
      <c r="G3"/>
      <c r="L3" s="2"/>
      <c r="M3" s="16"/>
      <c r="S3" s="15"/>
      <c r="Z3" s="15"/>
    </row>
    <row r="4" spans="1:30" x14ac:dyDescent="0.25">
      <c r="A4" s="15"/>
      <c r="B4" s="143" t="s">
        <v>58</v>
      </c>
      <c r="C4" s="143"/>
      <c r="D4" s="139" t="s">
        <v>78</v>
      </c>
      <c r="E4" s="139"/>
      <c r="F4" s="15"/>
      <c r="G4" s="15"/>
      <c r="L4" s="2"/>
      <c r="M4" s="1"/>
      <c r="R4" s="69"/>
    </row>
    <row r="5" spans="1:30" ht="15" customHeight="1" x14ac:dyDescent="0.25">
      <c r="A5" s="15"/>
      <c r="B5" s="143" t="s">
        <v>59</v>
      </c>
      <c r="C5" s="143"/>
      <c r="D5" s="139" t="s">
        <v>79</v>
      </c>
      <c r="E5" s="139"/>
      <c r="F5" s="15"/>
      <c r="G5" s="18"/>
      <c r="L5" s="2"/>
      <c r="M5" s="1"/>
      <c r="Q5" s="17"/>
      <c r="R5" s="17"/>
      <c r="S5" s="17"/>
      <c r="T5" s="17"/>
      <c r="U5" s="17"/>
      <c r="V5" s="17"/>
      <c r="Z5" s="90"/>
      <c r="AA5" s="16"/>
      <c r="AB5" s="16"/>
      <c r="AC5" s="16"/>
      <c r="AD5" s="16"/>
    </row>
    <row r="6" spans="1:30" x14ac:dyDescent="0.25">
      <c r="A6" s="15"/>
      <c r="B6" s="143" t="s">
        <v>60</v>
      </c>
      <c r="C6" s="143"/>
      <c r="D6" s="129">
        <v>46130</v>
      </c>
      <c r="E6" s="12"/>
      <c r="F6" s="15"/>
      <c r="G6" s="12"/>
      <c r="L6" s="15"/>
      <c r="Q6" s="17"/>
      <c r="R6" s="17"/>
      <c r="S6" s="17"/>
      <c r="T6" s="17"/>
      <c r="U6" s="17"/>
      <c r="V6" s="17"/>
      <c r="Y6" s="15"/>
    </row>
    <row r="7" spans="1:30" ht="18.75" x14ac:dyDescent="0.3">
      <c r="A7" s="15"/>
      <c r="B7" s="15"/>
      <c r="C7" s="15"/>
      <c r="D7" s="15"/>
      <c r="E7" s="15"/>
      <c r="F7" s="15"/>
      <c r="G7" s="12"/>
      <c r="H7" s="106"/>
      <c r="I7" s="106"/>
      <c r="J7" s="14"/>
      <c r="K7" s="14"/>
      <c r="R7" s="2"/>
      <c r="S7" s="16"/>
      <c r="Z7" s="142"/>
      <c r="AA7" s="142"/>
    </row>
    <row r="8" spans="1:30" ht="18.75" x14ac:dyDescent="0.3">
      <c r="C8" s="121"/>
      <c r="D8" s="114"/>
      <c r="G8" s="24"/>
      <c r="H8" s="24"/>
      <c r="I8" s="24"/>
      <c r="J8" s="24"/>
      <c r="S8" s="1"/>
    </row>
    <row r="9" spans="1:30" ht="42" customHeight="1" x14ac:dyDescent="0.25">
      <c r="B9" s="122" t="s">
        <v>52</v>
      </c>
      <c r="C9" s="25" t="s">
        <v>55</v>
      </c>
      <c r="D9" s="95"/>
      <c r="E9" s="92"/>
      <c r="G9" s="111"/>
      <c r="H9" s="111"/>
      <c r="I9" s="111"/>
      <c r="J9" s="112"/>
      <c r="K9" s="144" t="s">
        <v>39</v>
      </c>
      <c r="L9" s="145"/>
      <c r="R9" s="2"/>
      <c r="S9" s="1"/>
      <c r="U9" s="27">
        <v>1</v>
      </c>
      <c r="V9" s="27"/>
      <c r="W9" s="27"/>
      <c r="X9" s="27"/>
    </row>
    <row r="10" spans="1:30" ht="15.75" x14ac:dyDescent="0.25">
      <c r="B10" s="56">
        <f>COUNTIF(B12:B211,"&lt;&gt;"&amp;"")</f>
        <v>28</v>
      </c>
      <c r="C10" s="56">
        <f>COUNTIF(C12:C211,"&lt;&gt;"&amp;"")</f>
        <v>7</v>
      </c>
      <c r="G10" s="56">
        <f>COUNTIF(G12:G211,"&lt;&gt;"&amp;"")</f>
        <v>24</v>
      </c>
      <c r="H10" s="56">
        <f>COUNTIF(H12:H211,"&lt;&gt;"&amp;"")</f>
        <v>0</v>
      </c>
      <c r="I10" s="56">
        <f>COUNTIF(I12:I211,"&lt;&gt;"&amp;"")</f>
        <v>0</v>
      </c>
      <c r="J10" s="56">
        <f>COUNTIF(J12:J211,"&lt;&gt;"&amp;"")</f>
        <v>0</v>
      </c>
      <c r="K10" s="56">
        <f>SUM(K12:K211)</f>
        <v>0</v>
      </c>
      <c r="L10" s="56">
        <f t="shared" ref="L10:N10" si="0">SUM(L12:L211)</f>
        <v>0</v>
      </c>
      <c r="M10" s="56">
        <f t="shared" si="0"/>
        <v>0</v>
      </c>
      <c r="N10" s="130">
        <f t="shared" si="0"/>
        <v>0</v>
      </c>
      <c r="O10" s="140" t="s">
        <v>48</v>
      </c>
      <c r="P10" s="90"/>
      <c r="R10" s="118"/>
      <c r="S10" s="118"/>
      <c r="U10" s="27"/>
      <c r="V10" s="27"/>
      <c r="W10" s="27"/>
      <c r="X10" s="27"/>
      <c r="Y10" s="118"/>
    </row>
    <row r="11" spans="1:30" ht="30.75" customHeight="1" x14ac:dyDescent="0.25">
      <c r="B11" s="10" t="s">
        <v>46</v>
      </c>
      <c r="C11" s="25" t="s">
        <v>3</v>
      </c>
      <c r="D11" s="5" t="s">
        <v>0</v>
      </c>
      <c r="E11" s="6" t="s">
        <v>1</v>
      </c>
      <c r="F11" s="7" t="s">
        <v>2</v>
      </c>
      <c r="G11" s="25" t="s">
        <v>50</v>
      </c>
      <c r="H11" s="25" t="s">
        <v>51</v>
      </c>
      <c r="I11" s="25" t="s">
        <v>51</v>
      </c>
      <c r="J11" s="25" t="s">
        <v>51</v>
      </c>
      <c r="K11" s="25" t="s">
        <v>16</v>
      </c>
      <c r="L11" s="25" t="s">
        <v>54</v>
      </c>
      <c r="M11" s="25" t="s">
        <v>17</v>
      </c>
      <c r="N11" s="32" t="s">
        <v>73</v>
      </c>
      <c r="O11" s="141"/>
      <c r="P11" s="90"/>
      <c r="R11" s="23"/>
      <c r="S11" s="23"/>
      <c r="T11" s="23"/>
      <c r="U11" s="27"/>
      <c r="V11" s="27"/>
      <c r="W11" s="27"/>
      <c r="X11" s="27"/>
      <c r="Y11" s="119"/>
      <c r="AB11" s="105"/>
    </row>
    <row r="12" spans="1:30" x14ac:dyDescent="0.25">
      <c r="A12" s="8">
        <v>1</v>
      </c>
      <c r="B12" s="109">
        <v>1</v>
      </c>
      <c r="C12" s="110"/>
      <c r="D12" s="132" t="s">
        <v>80</v>
      </c>
      <c r="E12" s="132"/>
      <c r="F12" s="97" t="s">
        <v>81</v>
      </c>
      <c r="G12" s="109"/>
      <c r="H12" s="110"/>
      <c r="I12" s="110"/>
      <c r="J12" s="110"/>
      <c r="K12" s="110"/>
      <c r="L12" s="110"/>
      <c r="M12" s="110"/>
      <c r="N12" s="72"/>
      <c r="O12" s="117"/>
      <c r="P12" s="125"/>
      <c r="V12" s="1"/>
      <c r="W12" s="1"/>
      <c r="X12" s="1"/>
      <c r="Y12" s="120"/>
      <c r="AB12" s="22"/>
    </row>
    <row r="13" spans="1:30" x14ac:dyDescent="0.25">
      <c r="A13" s="8">
        <f>+A12+1</f>
        <v>2</v>
      </c>
      <c r="B13" s="109">
        <v>1</v>
      </c>
      <c r="C13" s="110"/>
      <c r="D13" s="132" t="s">
        <v>82</v>
      </c>
      <c r="E13" s="132" t="s">
        <v>83</v>
      </c>
      <c r="F13" s="97" t="s">
        <v>84</v>
      </c>
      <c r="G13" s="110">
        <v>1</v>
      </c>
      <c r="H13" s="110"/>
      <c r="I13" s="110"/>
      <c r="J13" s="110"/>
      <c r="K13" s="110"/>
      <c r="L13" s="110"/>
      <c r="M13" s="110"/>
      <c r="N13" s="72"/>
      <c r="O13" s="126"/>
      <c r="P13" s="124"/>
      <c r="V13" s="1"/>
      <c r="W13" s="1"/>
      <c r="X13" s="1"/>
      <c r="Y13" s="120"/>
      <c r="AB13" s="22"/>
    </row>
    <row r="14" spans="1:30" x14ac:dyDescent="0.25">
      <c r="A14" s="8">
        <f t="shared" ref="A14:A77" si="1">+A13+1</f>
        <v>3</v>
      </c>
      <c r="B14" s="109">
        <v>1</v>
      </c>
      <c r="C14" s="110">
        <v>1</v>
      </c>
      <c r="D14" s="132" t="s">
        <v>85</v>
      </c>
      <c r="E14" s="132" t="s">
        <v>86</v>
      </c>
      <c r="F14" s="107" t="s">
        <v>87</v>
      </c>
      <c r="G14" s="109">
        <v>1</v>
      </c>
      <c r="H14" s="110"/>
      <c r="I14" s="110"/>
      <c r="J14" s="110"/>
      <c r="K14" s="110"/>
      <c r="L14" s="110"/>
      <c r="M14" s="110"/>
      <c r="N14" s="72"/>
      <c r="O14" s="126"/>
      <c r="P14" s="124"/>
      <c r="V14" s="1"/>
      <c r="W14" s="1"/>
      <c r="X14" s="1"/>
      <c r="Y14" s="120"/>
      <c r="AB14" s="22"/>
    </row>
    <row r="15" spans="1:30" x14ac:dyDescent="0.25">
      <c r="A15" s="8">
        <f t="shared" si="1"/>
        <v>4</v>
      </c>
      <c r="B15" s="109">
        <v>1</v>
      </c>
      <c r="C15" s="110"/>
      <c r="D15" s="132" t="s">
        <v>88</v>
      </c>
      <c r="E15" s="132" t="s">
        <v>89</v>
      </c>
      <c r="F15" s="107" t="s">
        <v>90</v>
      </c>
      <c r="G15" s="109">
        <v>1</v>
      </c>
      <c r="H15" s="109"/>
      <c r="I15" s="109"/>
      <c r="J15" s="110"/>
      <c r="K15" s="110"/>
      <c r="L15" s="110"/>
      <c r="M15" s="110"/>
      <c r="N15" s="72"/>
      <c r="O15" s="126"/>
      <c r="P15" s="124"/>
      <c r="V15" s="1"/>
      <c r="W15" s="1"/>
      <c r="X15" s="1"/>
      <c r="Y15" s="120"/>
    </row>
    <row r="16" spans="1:30" x14ac:dyDescent="0.25">
      <c r="A16" s="8">
        <f t="shared" si="1"/>
        <v>5</v>
      </c>
      <c r="B16" s="109">
        <v>1</v>
      </c>
      <c r="C16" s="110"/>
      <c r="D16" s="132" t="s">
        <v>91</v>
      </c>
      <c r="E16" s="132" t="s">
        <v>92</v>
      </c>
      <c r="F16" s="107" t="s">
        <v>93</v>
      </c>
      <c r="G16" s="109">
        <v>1</v>
      </c>
      <c r="H16" s="109"/>
      <c r="I16" s="109"/>
      <c r="J16" s="110"/>
      <c r="K16" s="110"/>
      <c r="L16" s="110"/>
      <c r="M16" s="110"/>
      <c r="N16" s="72"/>
      <c r="O16" s="126"/>
      <c r="P16" s="124"/>
      <c r="V16" s="1"/>
      <c r="W16" s="1"/>
      <c r="X16" s="1"/>
      <c r="Y16" s="120"/>
      <c r="AA16" s="1"/>
      <c r="AB16" s="3"/>
      <c r="AC16" s="91"/>
    </row>
    <row r="17" spans="1:29" x14ac:dyDescent="0.25">
      <c r="A17" s="8">
        <f t="shared" si="1"/>
        <v>6</v>
      </c>
      <c r="B17" s="109"/>
      <c r="C17" s="110"/>
      <c r="D17" s="132" t="s">
        <v>94</v>
      </c>
      <c r="E17" s="132" t="s">
        <v>95</v>
      </c>
      <c r="F17" s="107" t="s">
        <v>96</v>
      </c>
      <c r="G17" s="109"/>
      <c r="H17" s="109"/>
      <c r="I17" s="109"/>
      <c r="J17" s="110"/>
      <c r="K17" s="110"/>
      <c r="L17" s="110"/>
      <c r="M17" s="110"/>
      <c r="N17" s="72"/>
      <c r="O17" s="126"/>
      <c r="P17" s="124"/>
      <c r="V17" s="1"/>
      <c r="W17" s="1"/>
      <c r="X17" s="1"/>
      <c r="Y17" s="120"/>
      <c r="AB17" s="3"/>
      <c r="AC17" s="35"/>
    </row>
    <row r="18" spans="1:29" x14ac:dyDescent="0.25">
      <c r="A18" s="8">
        <f t="shared" si="1"/>
        <v>7</v>
      </c>
      <c r="B18" s="109">
        <v>1</v>
      </c>
      <c r="C18" s="110"/>
      <c r="D18" s="132" t="s">
        <v>97</v>
      </c>
      <c r="E18" s="132" t="s">
        <v>98</v>
      </c>
      <c r="F18" s="97" t="s">
        <v>99</v>
      </c>
      <c r="G18" s="109">
        <v>1</v>
      </c>
      <c r="H18" s="109"/>
      <c r="I18" s="109"/>
      <c r="J18" s="110"/>
      <c r="K18" s="110"/>
      <c r="L18" s="110"/>
      <c r="M18" s="110"/>
      <c r="N18" s="72"/>
      <c r="O18" s="126"/>
      <c r="P18" s="124"/>
      <c r="V18" s="1"/>
      <c r="W18" s="1"/>
      <c r="X18" s="1"/>
      <c r="Y18" s="120"/>
      <c r="AA18" s="12"/>
      <c r="AB18" s="18"/>
      <c r="AC18" s="91"/>
    </row>
    <row r="19" spans="1:29" x14ac:dyDescent="0.25">
      <c r="A19" s="8">
        <f t="shared" si="1"/>
        <v>8</v>
      </c>
      <c r="B19" s="109">
        <v>1</v>
      </c>
      <c r="C19" s="110"/>
      <c r="D19" s="132" t="s">
        <v>100</v>
      </c>
      <c r="E19" s="132" t="s">
        <v>101</v>
      </c>
      <c r="F19" s="107" t="s">
        <v>102</v>
      </c>
      <c r="G19" s="109">
        <v>1</v>
      </c>
      <c r="H19" s="109"/>
      <c r="I19" s="109"/>
      <c r="J19" s="110"/>
      <c r="K19" s="110"/>
      <c r="L19" s="110"/>
      <c r="M19" s="110"/>
      <c r="N19" s="72"/>
      <c r="O19" s="126"/>
      <c r="P19" s="124"/>
      <c r="V19" s="1"/>
      <c r="W19" s="1"/>
      <c r="X19" s="1"/>
      <c r="Y19" s="120"/>
    </row>
    <row r="20" spans="1:29" x14ac:dyDescent="0.25">
      <c r="A20" s="8">
        <f t="shared" si="1"/>
        <v>9</v>
      </c>
      <c r="B20" s="109"/>
      <c r="C20" s="110"/>
      <c r="D20" s="132" t="s">
        <v>103</v>
      </c>
      <c r="E20" s="132" t="s">
        <v>104</v>
      </c>
      <c r="F20" s="97" t="s">
        <v>105</v>
      </c>
      <c r="G20" s="109"/>
      <c r="H20" s="110"/>
      <c r="I20" s="110"/>
      <c r="J20" s="110"/>
      <c r="K20" s="110"/>
      <c r="L20" s="110"/>
      <c r="M20" s="110"/>
      <c r="N20" s="72"/>
      <c r="O20" s="117"/>
      <c r="P20" s="125"/>
      <c r="V20" s="1"/>
      <c r="W20" s="1"/>
      <c r="X20" s="1"/>
      <c r="Y20" s="120"/>
      <c r="AB20" s="22"/>
    </row>
    <row r="21" spans="1:29" x14ac:dyDescent="0.25">
      <c r="A21" s="8">
        <f t="shared" si="1"/>
        <v>10</v>
      </c>
      <c r="B21" s="109">
        <v>1</v>
      </c>
      <c r="C21" s="110"/>
      <c r="D21" s="132" t="s">
        <v>106</v>
      </c>
      <c r="E21" s="132" t="s">
        <v>101</v>
      </c>
      <c r="F21" s="107" t="s">
        <v>107</v>
      </c>
      <c r="G21" s="109">
        <v>1</v>
      </c>
      <c r="H21" s="110"/>
      <c r="I21" s="110"/>
      <c r="J21" s="110"/>
      <c r="K21" s="110"/>
      <c r="L21" s="110"/>
      <c r="M21" s="110"/>
      <c r="N21" s="72"/>
      <c r="O21" s="117"/>
      <c r="P21" s="125"/>
      <c r="V21" s="1"/>
      <c r="W21" s="1"/>
      <c r="X21" s="1"/>
      <c r="Y21" s="120"/>
      <c r="AB21" s="22"/>
    </row>
    <row r="22" spans="1:29" x14ac:dyDescent="0.25">
      <c r="A22" s="8">
        <f t="shared" si="1"/>
        <v>11</v>
      </c>
      <c r="B22" s="109">
        <v>1</v>
      </c>
      <c r="C22" s="110"/>
      <c r="D22" s="132" t="s">
        <v>108</v>
      </c>
      <c r="E22" s="132" t="s">
        <v>109</v>
      </c>
      <c r="F22" s="97" t="s">
        <v>110</v>
      </c>
      <c r="G22" s="109">
        <v>1</v>
      </c>
      <c r="H22" s="109"/>
      <c r="I22" s="109"/>
      <c r="J22" s="110"/>
      <c r="K22" s="110"/>
      <c r="L22" s="110"/>
      <c r="M22" s="110"/>
      <c r="N22" s="72"/>
      <c r="O22" s="126"/>
      <c r="P22" s="124"/>
      <c r="V22" s="1"/>
      <c r="W22" s="1"/>
      <c r="X22" s="1"/>
      <c r="Y22" s="120"/>
      <c r="AB22" s="22"/>
    </row>
    <row r="23" spans="1:29" x14ac:dyDescent="0.25">
      <c r="A23" s="8">
        <f t="shared" si="1"/>
        <v>12</v>
      </c>
      <c r="B23" s="109">
        <v>1</v>
      </c>
      <c r="C23" s="110">
        <v>1</v>
      </c>
      <c r="D23" s="132" t="s">
        <v>111</v>
      </c>
      <c r="E23" s="132" t="s">
        <v>112</v>
      </c>
      <c r="F23" s="107" t="s">
        <v>113</v>
      </c>
      <c r="G23" s="110">
        <v>1</v>
      </c>
      <c r="H23" s="110"/>
      <c r="I23" s="110"/>
      <c r="J23" s="110"/>
      <c r="K23" s="110"/>
      <c r="L23" s="110"/>
      <c r="M23" s="110"/>
      <c r="N23" s="72"/>
      <c r="O23" s="126"/>
      <c r="P23" s="124"/>
      <c r="V23" s="1"/>
      <c r="W23" s="1"/>
      <c r="X23" s="1"/>
      <c r="Y23" s="120"/>
      <c r="AB23" s="22"/>
    </row>
    <row r="24" spans="1:29" x14ac:dyDescent="0.25">
      <c r="A24" s="8">
        <f t="shared" si="1"/>
        <v>13</v>
      </c>
      <c r="B24" s="109"/>
      <c r="C24" s="110"/>
      <c r="D24" s="132" t="s">
        <v>114</v>
      </c>
      <c r="E24" s="132" t="s">
        <v>83</v>
      </c>
      <c r="F24" s="107" t="s">
        <v>115</v>
      </c>
      <c r="G24" s="109"/>
      <c r="H24" s="110"/>
      <c r="I24" s="110"/>
      <c r="J24" s="110"/>
      <c r="K24" s="110"/>
      <c r="L24" s="110"/>
      <c r="M24" s="110"/>
      <c r="N24" s="72"/>
      <c r="O24" s="126"/>
      <c r="P24" s="124"/>
      <c r="V24" s="1"/>
      <c r="W24" s="1"/>
      <c r="X24" s="1"/>
      <c r="Y24" s="120"/>
      <c r="AB24" s="22"/>
    </row>
    <row r="25" spans="1:29" x14ac:dyDescent="0.25">
      <c r="A25" s="8">
        <f t="shared" si="1"/>
        <v>14</v>
      </c>
      <c r="B25" s="109">
        <v>1</v>
      </c>
      <c r="C25" s="110"/>
      <c r="D25" s="132" t="s">
        <v>217</v>
      </c>
      <c r="E25" s="132"/>
      <c r="F25" s="107" t="s">
        <v>218</v>
      </c>
      <c r="G25" s="109"/>
      <c r="H25" s="110"/>
      <c r="I25" s="109"/>
      <c r="J25" s="110"/>
      <c r="K25" s="110"/>
      <c r="L25" s="110"/>
      <c r="M25" s="110"/>
      <c r="N25" s="72"/>
      <c r="O25" s="126"/>
      <c r="P25" s="124"/>
      <c r="V25" s="1"/>
      <c r="W25" s="1"/>
      <c r="X25" s="1"/>
      <c r="Y25" s="120"/>
      <c r="AB25" s="22"/>
    </row>
    <row r="26" spans="1:29" x14ac:dyDescent="0.25">
      <c r="A26" s="8">
        <f t="shared" si="1"/>
        <v>15</v>
      </c>
      <c r="B26" s="109">
        <v>1</v>
      </c>
      <c r="C26" s="110">
        <v>1</v>
      </c>
      <c r="D26" s="132" t="s">
        <v>116</v>
      </c>
      <c r="E26" s="132" t="s">
        <v>101</v>
      </c>
      <c r="F26" s="97" t="s">
        <v>117</v>
      </c>
      <c r="G26" s="109">
        <v>1</v>
      </c>
      <c r="H26" s="110"/>
      <c r="I26" s="110"/>
      <c r="J26" s="110"/>
      <c r="K26" s="110"/>
      <c r="L26" s="110"/>
      <c r="M26" s="110"/>
      <c r="N26" s="72"/>
      <c r="O26" s="126"/>
      <c r="P26" s="124"/>
      <c r="V26" s="1"/>
      <c r="W26" s="1"/>
      <c r="X26" s="1"/>
      <c r="Y26" s="120"/>
      <c r="AB26" s="22"/>
    </row>
    <row r="27" spans="1:29" x14ac:dyDescent="0.25">
      <c r="A27" s="8">
        <f t="shared" si="1"/>
        <v>16</v>
      </c>
      <c r="B27" s="109"/>
      <c r="C27" s="110"/>
      <c r="D27" s="132" t="s">
        <v>118</v>
      </c>
      <c r="E27" s="132" t="s">
        <v>119</v>
      </c>
      <c r="F27" s="107" t="s">
        <v>120</v>
      </c>
      <c r="G27" s="110"/>
      <c r="H27" s="110"/>
      <c r="I27" s="110"/>
      <c r="J27" s="110"/>
      <c r="K27" s="110"/>
      <c r="L27" s="110"/>
      <c r="M27" s="110"/>
      <c r="N27" s="72"/>
      <c r="O27" s="126"/>
      <c r="P27" s="124"/>
      <c r="V27" s="1"/>
      <c r="W27" s="1"/>
      <c r="X27" s="1"/>
      <c r="Y27" s="120"/>
      <c r="AB27" s="22"/>
    </row>
    <row r="28" spans="1:29" x14ac:dyDescent="0.25">
      <c r="A28" s="8">
        <f t="shared" si="1"/>
        <v>17</v>
      </c>
      <c r="B28" s="109"/>
      <c r="C28" s="110"/>
      <c r="D28" s="132" t="s">
        <v>121</v>
      </c>
      <c r="E28" s="132" t="s">
        <v>109</v>
      </c>
      <c r="F28" s="107" t="s">
        <v>122</v>
      </c>
      <c r="G28" s="109"/>
      <c r="H28" s="109"/>
      <c r="I28" s="109"/>
      <c r="J28" s="110"/>
      <c r="K28" s="110"/>
      <c r="L28" s="110"/>
      <c r="M28" s="110"/>
      <c r="N28" s="72"/>
      <c r="O28" s="126"/>
      <c r="P28" s="124"/>
      <c r="V28" s="1"/>
      <c r="W28" s="1"/>
      <c r="X28" s="1"/>
      <c r="Y28" s="120"/>
      <c r="AB28" s="22"/>
    </row>
    <row r="29" spans="1:29" x14ac:dyDescent="0.25">
      <c r="A29" s="8">
        <f t="shared" si="1"/>
        <v>18</v>
      </c>
      <c r="B29" s="109">
        <v>1</v>
      </c>
      <c r="C29" s="110"/>
      <c r="D29" s="132" t="s">
        <v>123</v>
      </c>
      <c r="E29" s="132" t="s">
        <v>124</v>
      </c>
      <c r="F29" s="107" t="s">
        <v>125</v>
      </c>
      <c r="G29" s="109">
        <v>1</v>
      </c>
      <c r="H29" s="110"/>
      <c r="I29" s="110"/>
      <c r="J29" s="110"/>
      <c r="K29" s="110"/>
      <c r="L29" s="110"/>
      <c r="M29" s="110"/>
      <c r="N29" s="72"/>
      <c r="O29" s="126"/>
      <c r="P29" s="124"/>
      <c r="V29" s="1"/>
      <c r="W29" s="1"/>
      <c r="X29" s="1"/>
      <c r="Y29" s="120"/>
      <c r="AB29" s="22"/>
    </row>
    <row r="30" spans="1:29" x14ac:dyDescent="0.25">
      <c r="A30" s="8">
        <f t="shared" si="1"/>
        <v>19</v>
      </c>
      <c r="B30" s="109">
        <v>1</v>
      </c>
      <c r="C30" s="110"/>
      <c r="D30" s="132" t="s">
        <v>126</v>
      </c>
      <c r="E30" s="132" t="s">
        <v>127</v>
      </c>
      <c r="F30" s="97" t="s">
        <v>128</v>
      </c>
      <c r="G30" s="109">
        <v>1</v>
      </c>
      <c r="H30" s="109"/>
      <c r="I30" s="109"/>
      <c r="J30" s="110"/>
      <c r="K30" s="110"/>
      <c r="L30" s="110"/>
      <c r="M30" s="110"/>
      <c r="N30" s="72"/>
      <c r="O30" s="117"/>
      <c r="P30" s="125"/>
      <c r="V30" s="1"/>
      <c r="W30" s="1"/>
      <c r="X30" s="1"/>
      <c r="Y30" s="120"/>
      <c r="AB30" s="22"/>
    </row>
    <row r="31" spans="1:29" x14ac:dyDescent="0.25">
      <c r="A31" s="8">
        <f t="shared" si="1"/>
        <v>20</v>
      </c>
      <c r="B31" s="109"/>
      <c r="C31" s="110"/>
      <c r="D31" s="132" t="s">
        <v>129</v>
      </c>
      <c r="E31" s="132" t="s">
        <v>130</v>
      </c>
      <c r="F31" s="97" t="s">
        <v>131</v>
      </c>
      <c r="G31" s="109"/>
      <c r="H31" s="110"/>
      <c r="I31" s="110"/>
      <c r="J31" s="110"/>
      <c r="K31" s="110"/>
      <c r="L31" s="110"/>
      <c r="M31" s="110"/>
      <c r="N31" s="72"/>
      <c r="O31" s="126"/>
      <c r="P31" s="124"/>
      <c r="V31" s="1"/>
      <c r="W31" s="1"/>
      <c r="X31" s="1"/>
      <c r="Y31" s="120"/>
      <c r="AB31" s="22"/>
    </row>
    <row r="32" spans="1:29" x14ac:dyDescent="0.25">
      <c r="A32" s="8">
        <f t="shared" si="1"/>
        <v>21</v>
      </c>
      <c r="B32" s="109">
        <v>1</v>
      </c>
      <c r="C32" s="110"/>
      <c r="D32" s="132" t="s">
        <v>132</v>
      </c>
      <c r="E32" s="132" t="s">
        <v>133</v>
      </c>
      <c r="F32" s="134" t="s">
        <v>134</v>
      </c>
      <c r="G32" s="109">
        <v>1</v>
      </c>
      <c r="H32" s="110"/>
      <c r="I32" s="109"/>
      <c r="J32" s="110"/>
      <c r="K32" s="110"/>
      <c r="L32" s="110"/>
      <c r="M32" s="110"/>
      <c r="N32" s="72"/>
      <c r="O32" s="117"/>
      <c r="P32" s="125"/>
      <c r="V32" s="1"/>
      <c r="W32" s="1"/>
      <c r="X32" s="1"/>
      <c r="Y32" s="120"/>
      <c r="AB32" s="22"/>
    </row>
    <row r="33" spans="1:28" x14ac:dyDescent="0.25">
      <c r="A33" s="8">
        <f t="shared" si="1"/>
        <v>22</v>
      </c>
      <c r="B33" s="109">
        <v>1</v>
      </c>
      <c r="C33" s="110">
        <v>1</v>
      </c>
      <c r="D33" s="132" t="s">
        <v>135</v>
      </c>
      <c r="E33" s="132" t="s">
        <v>136</v>
      </c>
      <c r="F33" s="107" t="s">
        <v>137</v>
      </c>
      <c r="G33" s="110">
        <v>1</v>
      </c>
      <c r="H33" s="110"/>
      <c r="I33" s="110"/>
      <c r="J33" s="110"/>
      <c r="K33" s="110"/>
      <c r="L33" s="110"/>
      <c r="M33" s="110"/>
      <c r="N33" s="72"/>
      <c r="O33" s="117"/>
      <c r="P33" s="125"/>
      <c r="V33" s="1"/>
      <c r="W33" s="1"/>
      <c r="X33" s="1"/>
      <c r="Y33" s="120"/>
      <c r="AB33" s="22"/>
    </row>
    <row r="34" spans="1:28" x14ac:dyDescent="0.25">
      <c r="A34" s="8">
        <f t="shared" si="1"/>
        <v>23</v>
      </c>
      <c r="B34" s="109"/>
      <c r="C34" s="110"/>
      <c r="D34" s="132" t="s">
        <v>138</v>
      </c>
      <c r="E34" s="132" t="s">
        <v>133</v>
      </c>
      <c r="F34" s="107" t="s">
        <v>139</v>
      </c>
      <c r="G34" s="109"/>
      <c r="H34" s="110"/>
      <c r="I34" s="110"/>
      <c r="J34" s="110"/>
      <c r="K34" s="110"/>
      <c r="L34" s="110"/>
      <c r="M34" s="110"/>
      <c r="N34" s="72"/>
      <c r="O34" s="126"/>
      <c r="P34" s="124"/>
      <c r="V34" s="1"/>
      <c r="W34" s="1"/>
      <c r="X34" s="1"/>
      <c r="Y34" s="120"/>
      <c r="AB34" s="22"/>
    </row>
    <row r="35" spans="1:28" x14ac:dyDescent="0.25">
      <c r="A35" s="8">
        <f t="shared" si="1"/>
        <v>24</v>
      </c>
      <c r="B35" s="109">
        <v>1</v>
      </c>
      <c r="C35" s="110"/>
      <c r="D35" s="132" t="s">
        <v>140</v>
      </c>
      <c r="E35" s="132" t="s">
        <v>141</v>
      </c>
      <c r="F35" s="97" t="s">
        <v>142</v>
      </c>
      <c r="G35" s="109"/>
      <c r="H35" s="110"/>
      <c r="I35" s="110"/>
      <c r="J35" s="110"/>
      <c r="K35" s="110"/>
      <c r="L35" s="110"/>
      <c r="M35" s="110"/>
      <c r="N35" s="72"/>
      <c r="O35" s="117"/>
      <c r="P35" s="125"/>
      <c r="V35" s="1"/>
      <c r="W35" s="1"/>
      <c r="X35" s="1"/>
      <c r="Y35" s="120"/>
      <c r="AB35" s="22"/>
    </row>
    <row r="36" spans="1:28" x14ac:dyDescent="0.25">
      <c r="A36" s="8">
        <f t="shared" si="1"/>
        <v>25</v>
      </c>
      <c r="B36" s="109"/>
      <c r="C36" s="110"/>
      <c r="D36" s="132" t="s">
        <v>143</v>
      </c>
      <c r="E36" s="132" t="s">
        <v>144</v>
      </c>
      <c r="F36" s="97" t="s">
        <v>145</v>
      </c>
      <c r="G36" s="109"/>
      <c r="H36" s="110"/>
      <c r="I36" s="110"/>
      <c r="J36" s="110"/>
      <c r="K36" s="110"/>
      <c r="L36" s="110"/>
      <c r="M36" s="110"/>
      <c r="N36" s="72"/>
      <c r="O36" s="126"/>
      <c r="P36" s="124"/>
      <c r="V36" s="1"/>
      <c r="W36" s="1"/>
      <c r="X36" s="1"/>
      <c r="Y36" s="120"/>
      <c r="AB36" s="22"/>
    </row>
    <row r="37" spans="1:28" x14ac:dyDescent="0.25">
      <c r="A37" s="8">
        <f t="shared" si="1"/>
        <v>26</v>
      </c>
      <c r="B37" s="109">
        <v>1</v>
      </c>
      <c r="C37" s="110"/>
      <c r="D37" s="132" t="s">
        <v>146</v>
      </c>
      <c r="E37" s="132" t="s">
        <v>147</v>
      </c>
      <c r="F37" s="107" t="s">
        <v>148</v>
      </c>
      <c r="G37" s="109">
        <v>1</v>
      </c>
      <c r="H37" s="109"/>
      <c r="I37" s="109"/>
      <c r="J37" s="110"/>
      <c r="K37" s="110"/>
      <c r="L37" s="110"/>
      <c r="M37" s="110"/>
      <c r="N37" s="72"/>
      <c r="O37" s="126"/>
      <c r="P37" s="124"/>
      <c r="V37" s="1"/>
      <c r="W37" s="1"/>
      <c r="X37" s="1"/>
      <c r="Y37" s="120"/>
      <c r="AB37" s="22"/>
    </row>
    <row r="38" spans="1:28" x14ac:dyDescent="0.25">
      <c r="A38" s="8">
        <f t="shared" si="1"/>
        <v>27</v>
      </c>
      <c r="B38" s="109">
        <v>1</v>
      </c>
      <c r="C38" s="110">
        <v>1</v>
      </c>
      <c r="D38" s="132" t="s">
        <v>149</v>
      </c>
      <c r="E38" s="132" t="s">
        <v>150</v>
      </c>
      <c r="F38" s="97" t="s">
        <v>151</v>
      </c>
      <c r="G38" s="109">
        <v>1</v>
      </c>
      <c r="H38" s="109"/>
      <c r="I38" s="109"/>
      <c r="J38" s="110"/>
      <c r="K38" s="110"/>
      <c r="L38" s="110"/>
      <c r="M38" s="110"/>
      <c r="N38" s="72"/>
      <c r="O38" s="126"/>
      <c r="P38" s="124"/>
      <c r="V38" s="1"/>
      <c r="W38" s="1"/>
      <c r="X38" s="1"/>
      <c r="Y38" s="120"/>
      <c r="AB38" s="22"/>
    </row>
    <row r="39" spans="1:28" x14ac:dyDescent="0.25">
      <c r="A39" s="8">
        <f t="shared" si="1"/>
        <v>28</v>
      </c>
      <c r="B39" s="109">
        <v>1</v>
      </c>
      <c r="C39" s="110"/>
      <c r="D39" s="132" t="s">
        <v>152</v>
      </c>
      <c r="E39" s="132" t="s">
        <v>153</v>
      </c>
      <c r="F39" s="107" t="s">
        <v>154</v>
      </c>
      <c r="G39" s="109"/>
      <c r="H39" s="110"/>
      <c r="I39" s="110"/>
      <c r="J39" s="110"/>
      <c r="K39" s="110"/>
      <c r="L39" s="110"/>
      <c r="M39" s="110"/>
      <c r="N39" s="72"/>
      <c r="O39" s="126"/>
      <c r="P39" s="124"/>
      <c r="V39" s="1"/>
      <c r="W39" s="1"/>
      <c r="X39" s="1"/>
      <c r="Y39" s="120"/>
      <c r="AB39" s="22"/>
    </row>
    <row r="40" spans="1:28" x14ac:dyDescent="0.25">
      <c r="A40" s="8">
        <f t="shared" si="1"/>
        <v>29</v>
      </c>
      <c r="B40" s="109">
        <v>1</v>
      </c>
      <c r="C40" s="110"/>
      <c r="D40" s="132" t="s">
        <v>155</v>
      </c>
      <c r="E40" s="132" t="s">
        <v>109</v>
      </c>
      <c r="F40" s="97" t="s">
        <v>156</v>
      </c>
      <c r="G40" s="109">
        <v>1</v>
      </c>
      <c r="H40" s="109"/>
      <c r="I40" s="109"/>
      <c r="J40" s="110"/>
      <c r="K40" s="110"/>
      <c r="L40" s="110"/>
      <c r="M40" s="110"/>
      <c r="N40" s="72"/>
      <c r="O40" s="117"/>
      <c r="P40" s="125"/>
      <c r="V40" s="1"/>
      <c r="W40" s="1"/>
      <c r="X40" s="1"/>
      <c r="Y40" s="120"/>
      <c r="AB40" s="22"/>
    </row>
    <row r="41" spans="1:28" x14ac:dyDescent="0.25">
      <c r="A41" s="8">
        <f t="shared" si="1"/>
        <v>30</v>
      </c>
      <c r="B41" s="109"/>
      <c r="C41" s="110"/>
      <c r="D41" s="132" t="s">
        <v>157</v>
      </c>
      <c r="E41" s="132" t="s">
        <v>158</v>
      </c>
      <c r="F41" s="107" t="s">
        <v>159</v>
      </c>
      <c r="G41" s="109"/>
      <c r="H41" s="109"/>
      <c r="I41" s="109"/>
      <c r="J41" s="110"/>
      <c r="K41" s="110"/>
      <c r="L41" s="110"/>
      <c r="M41" s="110"/>
      <c r="N41" s="72"/>
      <c r="O41" s="126"/>
      <c r="P41" s="124"/>
      <c r="V41" s="1"/>
      <c r="W41" s="1"/>
      <c r="X41" s="1"/>
      <c r="Y41" s="120"/>
      <c r="AB41" s="22"/>
    </row>
    <row r="42" spans="1:28" x14ac:dyDescent="0.25">
      <c r="A42" s="8">
        <f t="shared" si="1"/>
        <v>31</v>
      </c>
      <c r="B42" s="109"/>
      <c r="C42" s="110"/>
      <c r="D42" s="132" t="s">
        <v>160</v>
      </c>
      <c r="E42" s="132" t="s">
        <v>109</v>
      </c>
      <c r="F42" s="107" t="s">
        <v>161</v>
      </c>
      <c r="G42" s="109"/>
      <c r="H42" s="110"/>
      <c r="I42" s="110"/>
      <c r="J42" s="110"/>
      <c r="K42" s="110"/>
      <c r="L42" s="110"/>
      <c r="M42" s="110"/>
      <c r="N42" s="72"/>
      <c r="O42" s="126"/>
      <c r="P42" s="124"/>
      <c r="V42" s="1"/>
      <c r="W42" s="1"/>
      <c r="X42" s="1"/>
      <c r="Y42" s="120"/>
      <c r="AB42" s="22"/>
    </row>
    <row r="43" spans="1:28" x14ac:dyDescent="0.25">
      <c r="A43" s="8">
        <f t="shared" si="1"/>
        <v>32</v>
      </c>
      <c r="B43" s="109"/>
      <c r="C43" s="110"/>
      <c r="D43" s="132" t="s">
        <v>162</v>
      </c>
      <c r="E43" s="132" t="s">
        <v>127</v>
      </c>
      <c r="F43" s="107" t="s">
        <v>163</v>
      </c>
      <c r="G43" s="109"/>
      <c r="H43" s="110"/>
      <c r="I43" s="110"/>
      <c r="J43" s="110"/>
      <c r="K43" s="110"/>
      <c r="L43" s="110"/>
      <c r="M43" s="110"/>
      <c r="N43" s="72"/>
      <c r="O43" s="126"/>
      <c r="P43" s="124"/>
      <c r="V43" s="1"/>
      <c r="W43" s="1"/>
      <c r="X43" s="1"/>
      <c r="Y43" s="120"/>
      <c r="AB43" s="22"/>
    </row>
    <row r="44" spans="1:28" x14ac:dyDescent="0.25">
      <c r="A44" s="8">
        <f t="shared" si="1"/>
        <v>33</v>
      </c>
      <c r="B44" s="109"/>
      <c r="C44" s="110"/>
      <c r="D44" s="132" t="s">
        <v>164</v>
      </c>
      <c r="E44" s="132" t="s">
        <v>165</v>
      </c>
      <c r="F44" s="107" t="s">
        <v>166</v>
      </c>
      <c r="G44" s="109"/>
      <c r="H44" s="109"/>
      <c r="I44" s="109"/>
      <c r="J44" s="110"/>
      <c r="K44" s="110"/>
      <c r="L44" s="110"/>
      <c r="M44" s="110"/>
      <c r="N44" s="72"/>
      <c r="O44" s="126"/>
      <c r="P44" s="124"/>
      <c r="V44" s="1"/>
      <c r="W44" s="1"/>
      <c r="X44" s="1"/>
      <c r="Y44" s="120"/>
      <c r="AB44" s="22"/>
    </row>
    <row r="45" spans="1:28" x14ac:dyDescent="0.25">
      <c r="A45" s="8">
        <f t="shared" si="1"/>
        <v>34</v>
      </c>
      <c r="B45" s="109"/>
      <c r="C45" s="110"/>
      <c r="D45" s="132" t="s">
        <v>167</v>
      </c>
      <c r="E45" s="132" t="s">
        <v>168</v>
      </c>
      <c r="F45" s="107" t="s">
        <v>169</v>
      </c>
      <c r="G45" s="109"/>
      <c r="H45" s="110"/>
      <c r="I45" s="110"/>
      <c r="J45" s="110"/>
      <c r="K45" s="110"/>
      <c r="L45" s="110"/>
      <c r="M45" s="110"/>
      <c r="N45" s="72"/>
      <c r="O45" s="126"/>
      <c r="P45" s="124"/>
      <c r="V45" s="1"/>
      <c r="W45" s="1"/>
      <c r="X45" s="1"/>
      <c r="Y45" s="120"/>
      <c r="AB45" s="22"/>
    </row>
    <row r="46" spans="1:28" x14ac:dyDescent="0.25">
      <c r="A46" s="8">
        <f t="shared" si="1"/>
        <v>35</v>
      </c>
      <c r="B46" s="109">
        <v>1</v>
      </c>
      <c r="C46" s="110"/>
      <c r="D46" s="132" t="s">
        <v>170</v>
      </c>
      <c r="E46" s="132" t="s">
        <v>171</v>
      </c>
      <c r="F46" s="97" t="s">
        <v>172</v>
      </c>
      <c r="G46" s="109">
        <v>1</v>
      </c>
      <c r="H46" s="109"/>
      <c r="I46" s="109"/>
      <c r="J46" s="109"/>
      <c r="K46" s="110"/>
      <c r="L46" s="110"/>
      <c r="M46" s="110"/>
      <c r="N46" s="72"/>
      <c r="O46" s="126"/>
      <c r="P46" s="124"/>
      <c r="V46" s="1"/>
      <c r="W46" s="1"/>
      <c r="X46" s="1"/>
      <c r="Y46" s="120"/>
      <c r="AB46" s="22"/>
    </row>
    <row r="47" spans="1:28" x14ac:dyDescent="0.25">
      <c r="A47" s="8">
        <f t="shared" si="1"/>
        <v>36</v>
      </c>
      <c r="B47" s="109">
        <v>1</v>
      </c>
      <c r="C47" s="110"/>
      <c r="D47" s="132" t="s">
        <v>173</v>
      </c>
      <c r="E47" s="132" t="s">
        <v>174</v>
      </c>
      <c r="F47" s="107" t="s">
        <v>175</v>
      </c>
      <c r="G47" s="109">
        <v>1</v>
      </c>
      <c r="H47" s="110"/>
      <c r="I47" s="110"/>
      <c r="J47" s="110"/>
      <c r="K47" s="110"/>
      <c r="L47" s="110"/>
      <c r="M47" s="110"/>
      <c r="N47" s="72"/>
      <c r="O47" s="126"/>
      <c r="P47" s="124"/>
      <c r="V47" s="1"/>
      <c r="W47" s="1"/>
      <c r="X47" s="1"/>
      <c r="Y47" s="120"/>
      <c r="AB47" s="22"/>
    </row>
    <row r="48" spans="1:28" x14ac:dyDescent="0.25">
      <c r="A48" s="8">
        <f t="shared" si="1"/>
        <v>37</v>
      </c>
      <c r="B48" s="109"/>
      <c r="C48" s="110"/>
      <c r="D48" s="132" t="s">
        <v>176</v>
      </c>
      <c r="E48" s="132" t="s">
        <v>109</v>
      </c>
      <c r="F48" s="107" t="s">
        <v>177</v>
      </c>
      <c r="G48" s="109"/>
      <c r="H48" s="110"/>
      <c r="I48" s="110"/>
      <c r="J48" s="110"/>
      <c r="K48" s="110"/>
      <c r="L48" s="110"/>
      <c r="M48" s="110"/>
      <c r="N48" s="72"/>
      <c r="O48" s="126"/>
      <c r="P48" s="124"/>
      <c r="V48" s="1"/>
      <c r="W48" s="1"/>
      <c r="X48" s="1"/>
      <c r="Y48" s="120"/>
      <c r="AB48" s="22"/>
    </row>
    <row r="49" spans="1:28" x14ac:dyDescent="0.25">
      <c r="A49" s="8">
        <f t="shared" si="1"/>
        <v>38</v>
      </c>
      <c r="B49" s="109">
        <v>1</v>
      </c>
      <c r="C49" s="110">
        <v>1</v>
      </c>
      <c r="D49" s="133" t="s">
        <v>178</v>
      </c>
      <c r="E49" s="133" t="s">
        <v>165</v>
      </c>
      <c r="F49" s="107" t="s">
        <v>179</v>
      </c>
      <c r="G49" s="109">
        <v>1</v>
      </c>
      <c r="H49" s="109"/>
      <c r="I49" s="109"/>
      <c r="J49" s="110"/>
      <c r="K49" s="110"/>
      <c r="L49" s="110"/>
      <c r="M49" s="110"/>
      <c r="N49" s="72"/>
      <c r="O49" s="126"/>
      <c r="P49" s="124"/>
      <c r="V49" s="1"/>
      <c r="W49" s="1"/>
      <c r="X49" s="1"/>
      <c r="Y49" s="120"/>
      <c r="AB49" s="22"/>
    </row>
    <row r="50" spans="1:28" x14ac:dyDescent="0.25">
      <c r="A50" s="8">
        <f t="shared" si="1"/>
        <v>39</v>
      </c>
      <c r="B50" s="109">
        <v>1</v>
      </c>
      <c r="C50" s="110"/>
      <c r="D50" s="132" t="s">
        <v>180</v>
      </c>
      <c r="E50" s="132" t="s">
        <v>109</v>
      </c>
      <c r="F50" s="107" t="s">
        <v>181</v>
      </c>
      <c r="G50" s="110">
        <v>1</v>
      </c>
      <c r="H50" s="110"/>
      <c r="I50" s="110"/>
      <c r="J50" s="110"/>
      <c r="K50" s="110"/>
      <c r="L50" s="110"/>
      <c r="M50" s="110"/>
      <c r="N50" s="72"/>
      <c r="O50" s="126"/>
      <c r="P50" s="124"/>
      <c r="V50" s="1"/>
      <c r="W50" s="1"/>
      <c r="X50" s="1"/>
      <c r="Y50" s="120"/>
      <c r="AB50" s="22"/>
    </row>
    <row r="51" spans="1:28" x14ac:dyDescent="0.25">
      <c r="A51" s="8">
        <f t="shared" si="1"/>
        <v>40</v>
      </c>
      <c r="B51" s="109">
        <v>1</v>
      </c>
      <c r="C51" s="110">
        <v>1</v>
      </c>
      <c r="D51" s="132" t="s">
        <v>182</v>
      </c>
      <c r="E51" s="132" t="s">
        <v>183</v>
      </c>
      <c r="F51" s="97" t="s">
        <v>184</v>
      </c>
      <c r="G51" s="110">
        <v>1</v>
      </c>
      <c r="H51" s="110"/>
      <c r="I51" s="110"/>
      <c r="J51" s="110"/>
      <c r="K51" s="110"/>
      <c r="L51" s="110"/>
      <c r="M51" s="110"/>
      <c r="N51" s="72"/>
      <c r="O51" s="126"/>
      <c r="P51" s="124"/>
      <c r="V51" s="1"/>
      <c r="W51" s="1"/>
      <c r="X51" s="1"/>
      <c r="Y51" s="120"/>
      <c r="AB51" s="22"/>
    </row>
    <row r="52" spans="1:28" x14ac:dyDescent="0.25">
      <c r="A52" s="8">
        <f t="shared" si="1"/>
        <v>41</v>
      </c>
      <c r="B52" s="109"/>
      <c r="C52" s="110"/>
      <c r="D52" s="132" t="s">
        <v>185</v>
      </c>
      <c r="E52" s="132" t="s">
        <v>186</v>
      </c>
      <c r="F52" s="97" t="s">
        <v>187</v>
      </c>
      <c r="G52" s="109"/>
      <c r="H52" s="110"/>
      <c r="I52" s="110"/>
      <c r="J52" s="110"/>
      <c r="K52" s="110"/>
      <c r="L52" s="110"/>
      <c r="M52" s="110"/>
      <c r="N52" s="72"/>
      <c r="O52" s="126"/>
      <c r="P52" s="124"/>
      <c r="V52" s="1"/>
      <c r="W52" s="1"/>
      <c r="X52" s="1"/>
      <c r="Y52" s="120"/>
      <c r="AB52" s="22"/>
    </row>
    <row r="53" spans="1:28" x14ac:dyDescent="0.25">
      <c r="A53" s="8">
        <f t="shared" si="1"/>
        <v>42</v>
      </c>
      <c r="B53" s="109"/>
      <c r="C53" s="110"/>
      <c r="D53" s="132" t="s">
        <v>188</v>
      </c>
      <c r="E53" s="132" t="s">
        <v>189</v>
      </c>
      <c r="F53" s="107" t="s">
        <v>190</v>
      </c>
      <c r="G53" s="109"/>
      <c r="H53" s="109"/>
      <c r="I53" s="109"/>
      <c r="J53" s="110"/>
      <c r="K53" s="110"/>
      <c r="L53" s="110"/>
      <c r="M53" s="110"/>
      <c r="N53" s="72"/>
      <c r="O53" s="126"/>
      <c r="P53" s="124"/>
      <c r="V53" s="1"/>
      <c r="W53" s="1"/>
      <c r="X53" s="1"/>
      <c r="Y53" s="120"/>
      <c r="AB53" s="22"/>
    </row>
    <row r="54" spans="1:28" x14ac:dyDescent="0.25">
      <c r="A54" s="8">
        <f t="shared" si="1"/>
        <v>43</v>
      </c>
      <c r="B54" s="109"/>
      <c r="C54" s="110"/>
      <c r="D54" s="132" t="s">
        <v>191</v>
      </c>
      <c r="E54" s="132" t="s">
        <v>189</v>
      </c>
      <c r="F54" s="97" t="s">
        <v>192</v>
      </c>
      <c r="G54" s="109"/>
      <c r="H54" s="110"/>
      <c r="I54" s="110"/>
      <c r="J54" s="110"/>
      <c r="K54" s="110"/>
      <c r="L54" s="110"/>
      <c r="M54" s="110"/>
      <c r="N54" s="72"/>
      <c r="O54" s="126"/>
      <c r="P54" s="124"/>
      <c r="V54" s="1"/>
      <c r="W54" s="1"/>
      <c r="X54" s="1"/>
      <c r="Y54" s="120"/>
      <c r="AB54" s="22"/>
    </row>
    <row r="55" spans="1:28" x14ac:dyDescent="0.25">
      <c r="A55" s="8">
        <f t="shared" si="1"/>
        <v>44</v>
      </c>
      <c r="B55" s="109"/>
      <c r="C55" s="110"/>
      <c r="D55" s="132" t="s">
        <v>193</v>
      </c>
      <c r="E55" s="132" t="s">
        <v>158</v>
      </c>
      <c r="F55" s="107" t="s">
        <v>194</v>
      </c>
      <c r="G55" s="109"/>
      <c r="H55" s="109"/>
      <c r="I55" s="109"/>
      <c r="J55" s="110"/>
      <c r="K55" s="110"/>
      <c r="L55" s="110"/>
      <c r="M55" s="110"/>
      <c r="N55" s="72"/>
      <c r="O55" s="126"/>
      <c r="P55" s="124"/>
      <c r="V55" s="1"/>
      <c r="W55" s="1"/>
      <c r="X55" s="1"/>
      <c r="Y55" s="120"/>
      <c r="AB55" s="22"/>
    </row>
    <row r="56" spans="1:28" x14ac:dyDescent="0.25">
      <c r="A56" s="8">
        <f t="shared" si="1"/>
        <v>45</v>
      </c>
      <c r="B56" s="109"/>
      <c r="C56" s="110"/>
      <c r="D56" s="132" t="s">
        <v>195</v>
      </c>
      <c r="E56" s="132" t="s">
        <v>109</v>
      </c>
      <c r="F56" s="97" t="s">
        <v>196</v>
      </c>
      <c r="G56" s="109"/>
      <c r="H56" s="110"/>
      <c r="I56" s="110"/>
      <c r="J56" s="110"/>
      <c r="K56" s="110"/>
      <c r="L56" s="110"/>
      <c r="M56" s="110"/>
      <c r="N56" s="72"/>
      <c r="O56" s="126"/>
      <c r="P56" s="124"/>
      <c r="V56" s="1"/>
      <c r="W56" s="1"/>
      <c r="X56" s="1"/>
      <c r="Y56" s="120"/>
      <c r="AB56" s="22"/>
    </row>
    <row r="57" spans="1:28" x14ac:dyDescent="0.25">
      <c r="A57" s="8">
        <f t="shared" si="1"/>
        <v>46</v>
      </c>
      <c r="B57" s="109"/>
      <c r="C57" s="109"/>
      <c r="D57" s="132" t="s">
        <v>197</v>
      </c>
      <c r="E57" s="132" t="s">
        <v>109</v>
      </c>
      <c r="F57" s="107"/>
      <c r="G57" s="109"/>
      <c r="H57" s="110"/>
      <c r="I57" s="110"/>
      <c r="J57" s="110"/>
      <c r="K57" s="110"/>
      <c r="L57" s="110"/>
      <c r="M57" s="110"/>
      <c r="N57" s="72"/>
      <c r="O57" s="126"/>
      <c r="P57" s="124"/>
      <c r="V57" s="1"/>
      <c r="W57" s="1"/>
      <c r="X57" s="1"/>
      <c r="Y57" s="120"/>
      <c r="AB57" s="22"/>
    </row>
    <row r="58" spans="1:28" x14ac:dyDescent="0.25">
      <c r="A58" s="8">
        <f t="shared" si="1"/>
        <v>47</v>
      </c>
      <c r="B58" s="109">
        <v>1</v>
      </c>
      <c r="C58" s="110"/>
      <c r="D58" s="132" t="s">
        <v>198</v>
      </c>
      <c r="E58" s="132" t="s">
        <v>109</v>
      </c>
      <c r="F58" s="107" t="s">
        <v>199</v>
      </c>
      <c r="G58" s="109">
        <v>1</v>
      </c>
      <c r="H58" s="109"/>
      <c r="I58" s="109"/>
      <c r="J58" s="110"/>
      <c r="K58" s="110"/>
      <c r="L58" s="110"/>
      <c r="M58" s="110"/>
      <c r="N58" s="72"/>
      <c r="O58" s="126"/>
      <c r="P58" s="124"/>
      <c r="V58" s="1"/>
      <c r="W58" s="1"/>
      <c r="X58" s="1"/>
      <c r="Y58" s="120"/>
      <c r="AB58" s="22"/>
    </row>
    <row r="59" spans="1:28" x14ac:dyDescent="0.25">
      <c r="A59" s="8">
        <f t="shared" si="1"/>
        <v>48</v>
      </c>
      <c r="B59" s="109">
        <v>1</v>
      </c>
      <c r="C59" s="110"/>
      <c r="D59" s="132" t="s">
        <v>200</v>
      </c>
      <c r="E59" s="132" t="s">
        <v>109</v>
      </c>
      <c r="F59" s="107" t="s">
        <v>201</v>
      </c>
      <c r="G59" s="109">
        <v>1</v>
      </c>
      <c r="H59" s="110"/>
      <c r="I59" s="110"/>
      <c r="J59" s="110"/>
      <c r="K59" s="110"/>
      <c r="L59" s="110"/>
      <c r="M59" s="110"/>
      <c r="N59" s="72"/>
      <c r="O59" s="126"/>
      <c r="P59" s="124"/>
      <c r="V59" s="1"/>
      <c r="W59" s="1"/>
      <c r="X59" s="1"/>
      <c r="Y59" s="120"/>
      <c r="AB59" s="22"/>
    </row>
    <row r="60" spans="1:28" x14ac:dyDescent="0.25">
      <c r="A60" s="8">
        <f t="shared" si="1"/>
        <v>49</v>
      </c>
      <c r="B60" s="109"/>
      <c r="C60" s="110"/>
      <c r="D60" s="132" t="s">
        <v>202</v>
      </c>
      <c r="E60" s="132" t="s">
        <v>109</v>
      </c>
      <c r="F60" s="97" t="s">
        <v>203</v>
      </c>
      <c r="G60" s="109"/>
      <c r="H60" s="110"/>
      <c r="I60" s="110"/>
      <c r="J60" s="110"/>
      <c r="K60" s="110"/>
      <c r="L60" s="110"/>
      <c r="M60" s="110"/>
      <c r="N60" s="72"/>
      <c r="O60" s="126"/>
      <c r="P60" s="124"/>
      <c r="V60" s="1"/>
      <c r="W60" s="1"/>
      <c r="X60" s="1"/>
      <c r="Y60" s="120"/>
      <c r="AB60" s="22"/>
    </row>
    <row r="61" spans="1:28" x14ac:dyDescent="0.25">
      <c r="A61" s="8">
        <f t="shared" si="1"/>
        <v>50</v>
      </c>
      <c r="B61" s="109"/>
      <c r="C61" s="110"/>
      <c r="D61" s="132" t="s">
        <v>204</v>
      </c>
      <c r="E61" s="132" t="s">
        <v>205</v>
      </c>
      <c r="F61" s="107" t="s">
        <v>206</v>
      </c>
      <c r="G61" s="109"/>
      <c r="H61" s="109"/>
      <c r="I61" s="109"/>
      <c r="J61" s="110"/>
      <c r="K61" s="110"/>
      <c r="L61" s="110"/>
      <c r="M61" s="110"/>
      <c r="N61" s="72"/>
      <c r="O61" s="126"/>
      <c r="P61" s="124"/>
      <c r="V61" s="1"/>
      <c r="W61" s="1"/>
      <c r="X61" s="1"/>
      <c r="Y61" s="120"/>
      <c r="AB61" s="22"/>
    </row>
    <row r="62" spans="1:28" x14ac:dyDescent="0.25">
      <c r="A62" s="8">
        <f t="shared" si="1"/>
        <v>51</v>
      </c>
      <c r="B62" s="109"/>
      <c r="C62" s="110"/>
      <c r="D62" s="132" t="s">
        <v>207</v>
      </c>
      <c r="E62" s="132" t="s">
        <v>208</v>
      </c>
      <c r="F62" s="107" t="s">
        <v>209</v>
      </c>
      <c r="G62" s="109"/>
      <c r="H62" s="109"/>
      <c r="I62" s="109"/>
      <c r="J62" s="110"/>
      <c r="K62" s="110"/>
      <c r="L62" s="110"/>
      <c r="M62" s="110"/>
      <c r="N62" s="72"/>
      <c r="O62" s="126"/>
      <c r="P62" s="124"/>
      <c r="V62" s="1"/>
      <c r="W62" s="1"/>
      <c r="X62" s="1"/>
      <c r="Y62" s="120"/>
      <c r="AB62" s="22"/>
    </row>
    <row r="63" spans="1:28" x14ac:dyDescent="0.25">
      <c r="A63" s="8">
        <f t="shared" si="1"/>
        <v>52</v>
      </c>
      <c r="B63" s="109"/>
      <c r="C63" s="110"/>
      <c r="D63" s="132" t="s">
        <v>210</v>
      </c>
      <c r="E63" s="132" t="s">
        <v>211</v>
      </c>
      <c r="F63" s="136" t="s">
        <v>212</v>
      </c>
      <c r="G63" s="109"/>
      <c r="H63" s="109"/>
      <c r="I63" s="109"/>
      <c r="J63" s="110"/>
      <c r="K63" s="110"/>
      <c r="L63" s="110"/>
      <c r="M63" s="110"/>
      <c r="N63" s="72"/>
      <c r="O63" s="126"/>
      <c r="P63" s="124"/>
      <c r="V63" s="1"/>
      <c r="W63" s="1"/>
      <c r="X63" s="1"/>
      <c r="Y63" s="120"/>
      <c r="AB63" s="22"/>
    </row>
    <row r="64" spans="1:28" x14ac:dyDescent="0.25">
      <c r="A64" s="8">
        <f t="shared" si="1"/>
        <v>53</v>
      </c>
      <c r="B64" s="109"/>
      <c r="C64" s="110"/>
      <c r="D64" s="132" t="s">
        <v>213</v>
      </c>
      <c r="E64" s="132" t="s">
        <v>109</v>
      </c>
      <c r="F64" s="107" t="s">
        <v>214</v>
      </c>
      <c r="G64" s="109"/>
      <c r="H64" s="110"/>
      <c r="I64" s="110"/>
      <c r="J64" s="110"/>
      <c r="K64" s="110"/>
      <c r="L64" s="110"/>
      <c r="M64" s="110"/>
      <c r="N64" s="72"/>
      <c r="O64" s="126"/>
      <c r="P64" s="124"/>
      <c r="V64" s="1"/>
      <c r="W64" s="1"/>
      <c r="X64" s="1"/>
      <c r="Y64" s="120"/>
      <c r="AB64" s="22"/>
    </row>
    <row r="65" spans="1:28" x14ac:dyDescent="0.25">
      <c r="A65" s="8">
        <f t="shared" si="1"/>
        <v>54</v>
      </c>
      <c r="B65" s="109"/>
      <c r="C65" s="110"/>
      <c r="D65" s="132" t="s">
        <v>215</v>
      </c>
      <c r="E65" s="132" t="s">
        <v>165</v>
      </c>
      <c r="F65" s="107" t="s">
        <v>216</v>
      </c>
      <c r="G65" s="109"/>
      <c r="H65" s="109"/>
      <c r="I65" s="109"/>
      <c r="J65" s="110"/>
      <c r="K65" s="110"/>
      <c r="L65" s="110"/>
      <c r="M65" s="110"/>
      <c r="N65" s="72"/>
      <c r="O65" s="126"/>
      <c r="P65" s="124"/>
      <c r="V65" s="1"/>
      <c r="W65" s="1"/>
      <c r="X65" s="1"/>
      <c r="Y65" s="120"/>
      <c r="AB65" s="22"/>
    </row>
    <row r="66" spans="1:28" x14ac:dyDescent="0.25">
      <c r="A66" s="8">
        <f t="shared" si="1"/>
        <v>55</v>
      </c>
      <c r="B66" s="109"/>
      <c r="C66" s="110"/>
      <c r="D66" s="132"/>
      <c r="E66" s="132"/>
      <c r="F66" s="107"/>
      <c r="G66" s="110"/>
      <c r="H66" s="110"/>
      <c r="I66" s="110"/>
      <c r="J66" s="110"/>
      <c r="K66" s="110"/>
      <c r="L66" s="110"/>
      <c r="M66" s="110"/>
      <c r="N66" s="72"/>
      <c r="O66" s="126"/>
      <c r="P66" s="124"/>
      <c r="V66" s="1"/>
      <c r="W66" s="1"/>
      <c r="X66" s="1"/>
      <c r="Y66" s="120"/>
      <c r="AB66" s="22"/>
    </row>
    <row r="67" spans="1:28" x14ac:dyDescent="0.25">
      <c r="A67" s="8">
        <f t="shared" si="1"/>
        <v>56</v>
      </c>
      <c r="B67" s="109"/>
      <c r="C67" s="110"/>
      <c r="D67" s="132"/>
      <c r="E67" s="132"/>
      <c r="F67" s="107"/>
      <c r="G67" s="109"/>
      <c r="H67" s="109"/>
      <c r="I67" s="109"/>
      <c r="J67" s="110"/>
      <c r="K67" s="110"/>
      <c r="L67" s="110"/>
      <c r="M67" s="110"/>
      <c r="N67" s="72"/>
      <c r="O67" s="126"/>
      <c r="P67" s="124"/>
      <c r="V67" s="1"/>
      <c r="W67" s="1"/>
      <c r="X67" s="1"/>
      <c r="Y67" s="120"/>
      <c r="AB67" s="22"/>
    </row>
    <row r="68" spans="1:28" x14ac:dyDescent="0.25">
      <c r="A68" s="8">
        <f t="shared" si="1"/>
        <v>57</v>
      </c>
      <c r="B68" s="109"/>
      <c r="C68" s="110"/>
      <c r="D68" s="132"/>
      <c r="E68" s="132"/>
      <c r="F68" s="107"/>
      <c r="G68" s="109"/>
      <c r="H68" s="109"/>
      <c r="I68" s="109"/>
      <c r="J68" s="110"/>
      <c r="K68" s="110"/>
      <c r="L68" s="110"/>
      <c r="M68" s="110"/>
      <c r="N68" s="72"/>
      <c r="O68" s="126"/>
      <c r="P68" s="124"/>
      <c r="V68" s="1"/>
      <c r="W68" s="1"/>
      <c r="X68" s="1"/>
      <c r="Y68" s="120"/>
      <c r="AB68" s="22"/>
    </row>
    <row r="69" spans="1:28" x14ac:dyDescent="0.25">
      <c r="A69" s="8">
        <f t="shared" si="1"/>
        <v>58</v>
      </c>
      <c r="B69" s="109"/>
      <c r="C69" s="110"/>
      <c r="D69" s="132"/>
      <c r="E69" s="132"/>
      <c r="F69" s="107"/>
      <c r="G69" s="109"/>
      <c r="H69" s="109"/>
      <c r="I69" s="109"/>
      <c r="J69" s="110"/>
      <c r="K69" s="110"/>
      <c r="L69" s="110"/>
      <c r="M69" s="110"/>
      <c r="N69" s="72"/>
      <c r="O69" s="126"/>
      <c r="P69" s="124"/>
      <c r="V69" s="1"/>
      <c r="W69" s="1"/>
      <c r="X69" s="1"/>
      <c r="Y69" s="120"/>
      <c r="AB69" s="22"/>
    </row>
    <row r="70" spans="1:28" x14ac:dyDescent="0.25">
      <c r="A70" s="8">
        <f t="shared" si="1"/>
        <v>59</v>
      </c>
      <c r="B70" s="109"/>
      <c r="C70" s="110"/>
      <c r="D70" s="132"/>
      <c r="E70" s="132"/>
      <c r="F70" s="107"/>
      <c r="G70" s="109"/>
      <c r="H70" s="109"/>
      <c r="I70" s="110"/>
      <c r="J70" s="110"/>
      <c r="K70" s="110"/>
      <c r="L70" s="110"/>
      <c r="M70" s="110"/>
      <c r="N70" s="72"/>
      <c r="O70" s="126"/>
      <c r="P70" s="124"/>
      <c r="V70" s="1"/>
      <c r="W70" s="1"/>
      <c r="X70" s="1"/>
      <c r="Y70" s="120"/>
      <c r="AB70" s="22"/>
    </row>
    <row r="71" spans="1:28" x14ac:dyDescent="0.25">
      <c r="A71" s="8">
        <f t="shared" si="1"/>
        <v>60</v>
      </c>
      <c r="B71" s="109"/>
      <c r="C71" s="110"/>
      <c r="D71" s="132"/>
      <c r="E71" s="132"/>
      <c r="F71" s="107"/>
      <c r="G71" s="109"/>
      <c r="H71" s="109"/>
      <c r="I71" s="109"/>
      <c r="J71" s="110"/>
      <c r="K71" s="110"/>
      <c r="L71" s="110"/>
      <c r="M71" s="110"/>
      <c r="N71" s="72"/>
      <c r="O71" s="126"/>
      <c r="P71" s="124"/>
      <c r="V71" s="1"/>
      <c r="W71" s="1"/>
      <c r="X71" s="1"/>
      <c r="Y71" s="120"/>
      <c r="AB71" s="22"/>
    </row>
    <row r="72" spans="1:28" x14ac:dyDescent="0.25">
      <c r="A72" s="8">
        <f t="shared" si="1"/>
        <v>61</v>
      </c>
      <c r="B72" s="109"/>
      <c r="C72" s="110"/>
      <c r="D72" s="135"/>
      <c r="E72" s="135"/>
      <c r="F72" s="108"/>
      <c r="G72" s="109"/>
      <c r="H72" s="109"/>
      <c r="I72" s="109"/>
      <c r="J72" s="110"/>
      <c r="K72" s="110"/>
      <c r="L72" s="110"/>
      <c r="M72" s="110"/>
      <c r="N72" s="72"/>
      <c r="O72" s="126"/>
      <c r="P72" s="124"/>
      <c r="V72" s="1"/>
      <c r="W72" s="1"/>
      <c r="X72" s="1"/>
      <c r="Y72" s="120"/>
      <c r="AB72" s="22"/>
    </row>
    <row r="73" spans="1:28" x14ac:dyDescent="0.25">
      <c r="A73" s="8">
        <f t="shared" si="1"/>
        <v>62</v>
      </c>
      <c r="B73" s="109"/>
      <c r="C73" s="110"/>
      <c r="D73" s="135"/>
      <c r="E73" s="135"/>
      <c r="F73" s="108"/>
      <c r="G73" s="109"/>
      <c r="H73" s="109"/>
      <c r="I73" s="109"/>
      <c r="J73" s="110"/>
      <c r="K73" s="110"/>
      <c r="L73" s="110"/>
      <c r="M73" s="110"/>
      <c r="N73" s="72"/>
      <c r="O73" s="117"/>
      <c r="P73" s="125"/>
      <c r="V73" s="1"/>
      <c r="W73" s="1"/>
      <c r="X73" s="1"/>
      <c r="Y73" s="120"/>
      <c r="AB73" s="22"/>
    </row>
    <row r="74" spans="1:28" x14ac:dyDescent="0.25">
      <c r="A74" s="8">
        <f t="shared" si="1"/>
        <v>63</v>
      </c>
      <c r="B74" s="109"/>
      <c r="C74" s="110"/>
      <c r="D74" s="107"/>
      <c r="E74" s="107"/>
      <c r="F74" s="108"/>
      <c r="G74" s="109"/>
      <c r="H74" s="109"/>
      <c r="I74" s="109"/>
      <c r="J74" s="110"/>
      <c r="K74" s="110"/>
      <c r="L74" s="110"/>
      <c r="M74" s="110"/>
      <c r="N74" s="72"/>
      <c r="O74" s="126"/>
      <c r="P74" s="124"/>
      <c r="V74" s="1"/>
      <c r="W74" s="1"/>
      <c r="X74" s="1"/>
      <c r="Y74" s="120"/>
      <c r="AB74" s="22"/>
    </row>
    <row r="75" spans="1:28" x14ac:dyDescent="0.25">
      <c r="A75" s="8">
        <f t="shared" si="1"/>
        <v>64</v>
      </c>
      <c r="B75" s="109"/>
      <c r="C75" s="110"/>
      <c r="D75" s="107"/>
      <c r="E75" s="107"/>
      <c r="F75" s="108"/>
      <c r="G75" s="109"/>
      <c r="H75" s="109"/>
      <c r="I75" s="109"/>
      <c r="J75" s="110"/>
      <c r="K75" s="110"/>
      <c r="L75" s="110"/>
      <c r="M75" s="110"/>
      <c r="N75" s="72"/>
      <c r="O75" s="126"/>
      <c r="P75" s="124"/>
      <c r="V75" s="1"/>
      <c r="W75" s="1"/>
      <c r="X75" s="1"/>
      <c r="Y75" s="120"/>
      <c r="AB75" s="22"/>
    </row>
    <row r="76" spans="1:28" x14ac:dyDescent="0.25">
      <c r="A76" s="8">
        <f t="shared" si="1"/>
        <v>65</v>
      </c>
      <c r="B76" s="109"/>
      <c r="C76" s="110"/>
      <c r="D76" s="107"/>
      <c r="E76" s="107"/>
      <c r="F76" s="108"/>
      <c r="G76" s="109"/>
      <c r="H76" s="110"/>
      <c r="I76" s="110"/>
      <c r="J76" s="110"/>
      <c r="K76" s="110"/>
      <c r="L76" s="110"/>
      <c r="M76" s="110"/>
      <c r="N76" s="72"/>
      <c r="O76" s="126"/>
      <c r="P76" s="124"/>
      <c r="V76" s="1"/>
      <c r="W76" s="1"/>
      <c r="X76" s="1"/>
      <c r="Y76" s="120"/>
      <c r="AB76" s="22"/>
    </row>
    <row r="77" spans="1:28" x14ac:dyDescent="0.25">
      <c r="A77" s="8">
        <f t="shared" si="1"/>
        <v>66</v>
      </c>
      <c r="B77" s="109"/>
      <c r="C77" s="110"/>
      <c r="D77" s="107"/>
      <c r="E77" s="107"/>
      <c r="F77" s="108"/>
      <c r="G77" s="109"/>
      <c r="H77" s="110"/>
      <c r="I77" s="110"/>
      <c r="J77" s="110"/>
      <c r="K77" s="110"/>
      <c r="L77" s="110"/>
      <c r="M77" s="110"/>
      <c r="N77" s="72"/>
      <c r="O77" s="126"/>
      <c r="P77" s="124"/>
      <c r="V77" s="1"/>
      <c r="W77" s="1"/>
      <c r="X77" s="1"/>
      <c r="Y77" s="120"/>
      <c r="AB77" s="22"/>
    </row>
    <row r="78" spans="1:28" x14ac:dyDescent="0.25">
      <c r="A78" s="8">
        <f t="shared" ref="A78:A141" si="2">+A77+1</f>
        <v>67</v>
      </c>
      <c r="B78" s="109"/>
      <c r="C78" s="110"/>
      <c r="D78" s="107"/>
      <c r="E78" s="107"/>
      <c r="F78" s="108"/>
      <c r="G78" s="109"/>
      <c r="H78" s="109"/>
      <c r="I78" s="109"/>
      <c r="J78" s="110"/>
      <c r="K78" s="110"/>
      <c r="L78" s="110"/>
      <c r="M78" s="110"/>
      <c r="N78" s="72"/>
      <c r="O78" s="126"/>
      <c r="P78" s="124"/>
      <c r="V78" s="1"/>
      <c r="W78" s="1"/>
      <c r="X78" s="1"/>
      <c r="Y78" s="120"/>
      <c r="AB78" s="22"/>
    </row>
    <row r="79" spans="1:28" x14ac:dyDescent="0.25">
      <c r="A79" s="8">
        <f t="shared" si="2"/>
        <v>68</v>
      </c>
      <c r="B79" s="109"/>
      <c r="C79" s="110"/>
      <c r="D79" s="107"/>
      <c r="E79" s="107"/>
      <c r="F79" s="108"/>
      <c r="G79" s="109"/>
      <c r="H79" s="109"/>
      <c r="I79" s="109"/>
      <c r="J79" s="110"/>
      <c r="K79" s="110"/>
      <c r="L79" s="110"/>
      <c r="M79" s="110"/>
      <c r="N79" s="72"/>
      <c r="O79" s="126"/>
      <c r="P79" s="124"/>
      <c r="V79" s="1"/>
      <c r="W79" s="1"/>
      <c r="X79" s="1"/>
      <c r="Y79" s="120"/>
      <c r="AB79" s="22"/>
    </row>
    <row r="80" spans="1:28" x14ac:dyDescent="0.25">
      <c r="A80" s="8">
        <f t="shared" si="2"/>
        <v>69</v>
      </c>
      <c r="B80" s="109"/>
      <c r="C80" s="110"/>
      <c r="D80" s="107"/>
      <c r="E80" s="107"/>
      <c r="F80" s="108"/>
      <c r="G80" s="109"/>
      <c r="H80" s="109"/>
      <c r="I80" s="109"/>
      <c r="J80" s="110"/>
      <c r="K80" s="110"/>
      <c r="L80" s="110"/>
      <c r="M80" s="110"/>
      <c r="N80" s="72"/>
      <c r="O80" s="126"/>
      <c r="P80" s="124"/>
      <c r="V80" s="1"/>
      <c r="W80" s="1"/>
      <c r="X80" s="1"/>
      <c r="Y80" s="120"/>
    </row>
    <row r="81" spans="1:25" x14ac:dyDescent="0.25">
      <c r="A81" s="8">
        <f t="shared" si="2"/>
        <v>70</v>
      </c>
      <c r="B81" s="109"/>
      <c r="C81" s="110"/>
      <c r="D81" s="107"/>
      <c r="E81" s="107"/>
      <c r="F81" s="108"/>
      <c r="G81" s="109"/>
      <c r="H81" s="109"/>
      <c r="I81" s="109"/>
      <c r="J81" s="109"/>
      <c r="K81" s="110"/>
      <c r="L81" s="110"/>
      <c r="M81" s="110"/>
      <c r="N81" s="72"/>
      <c r="O81" s="126"/>
      <c r="P81" s="124"/>
      <c r="V81" s="1"/>
      <c r="W81" s="1"/>
      <c r="X81" s="1"/>
      <c r="Y81" s="120"/>
    </row>
    <row r="82" spans="1:25" x14ac:dyDescent="0.25">
      <c r="A82" s="8">
        <f t="shared" si="2"/>
        <v>71</v>
      </c>
      <c r="B82" s="109"/>
      <c r="C82" s="110"/>
      <c r="D82" s="107"/>
      <c r="E82" s="107"/>
      <c r="F82" s="108"/>
      <c r="G82" s="109"/>
      <c r="H82" s="110"/>
      <c r="I82" s="110"/>
      <c r="J82" s="110"/>
      <c r="K82" s="110"/>
      <c r="L82" s="110"/>
      <c r="M82" s="110"/>
      <c r="N82" s="72"/>
      <c r="O82" s="126"/>
      <c r="P82" s="124"/>
      <c r="V82" s="1"/>
      <c r="W82" s="1"/>
      <c r="X82" s="1"/>
      <c r="Y82" s="120"/>
    </row>
    <row r="83" spans="1:25" x14ac:dyDescent="0.25">
      <c r="A83" s="8">
        <f t="shared" si="2"/>
        <v>72</v>
      </c>
      <c r="B83" s="109"/>
      <c r="C83" s="110"/>
      <c r="D83" s="107"/>
      <c r="E83" s="107"/>
      <c r="F83" s="108"/>
      <c r="G83" s="109"/>
      <c r="H83" s="110"/>
      <c r="I83" s="110"/>
      <c r="J83" s="110"/>
      <c r="K83" s="110"/>
      <c r="L83" s="110"/>
      <c r="M83" s="110"/>
      <c r="N83" s="72"/>
      <c r="O83" s="126"/>
      <c r="P83" s="124"/>
      <c r="V83" s="1"/>
      <c r="W83" s="1"/>
      <c r="X83" s="1"/>
      <c r="Y83" s="120"/>
    </row>
    <row r="84" spans="1:25" x14ac:dyDescent="0.25">
      <c r="A84" s="8">
        <f t="shared" si="2"/>
        <v>73</v>
      </c>
      <c r="B84" s="109"/>
      <c r="C84" s="110"/>
      <c r="D84" s="107"/>
      <c r="E84" s="107"/>
      <c r="F84" s="108"/>
      <c r="G84" s="109"/>
      <c r="H84" s="110"/>
      <c r="I84" s="110"/>
      <c r="J84" s="110"/>
      <c r="K84" s="110"/>
      <c r="L84" s="110"/>
      <c r="M84" s="110"/>
      <c r="N84" s="72"/>
      <c r="O84" s="126"/>
      <c r="P84" s="124"/>
      <c r="V84" s="1"/>
      <c r="W84" s="1"/>
      <c r="X84" s="1"/>
      <c r="Y84" s="120"/>
    </row>
    <row r="85" spans="1:25" x14ac:dyDescent="0.25">
      <c r="A85" s="8">
        <f t="shared" si="2"/>
        <v>74</v>
      </c>
      <c r="B85" s="109"/>
      <c r="C85" s="110"/>
      <c r="D85" s="107"/>
      <c r="E85" s="107"/>
      <c r="F85" s="108"/>
      <c r="G85" s="109"/>
      <c r="H85" s="110"/>
      <c r="I85" s="110"/>
      <c r="J85" s="110"/>
      <c r="K85" s="110"/>
      <c r="L85" s="110"/>
      <c r="M85" s="110"/>
      <c r="N85" s="72"/>
      <c r="O85" s="117"/>
      <c r="P85" s="125"/>
      <c r="V85" s="1"/>
      <c r="W85" s="1"/>
      <c r="X85" s="1"/>
      <c r="Y85" s="120"/>
    </row>
    <row r="86" spans="1:25" x14ac:dyDescent="0.25">
      <c r="A86" s="8">
        <f t="shared" si="2"/>
        <v>75</v>
      </c>
      <c r="B86" s="109"/>
      <c r="C86" s="110"/>
      <c r="D86" s="116"/>
      <c r="E86" s="116"/>
      <c r="F86" s="110"/>
      <c r="G86" s="109"/>
      <c r="H86" s="110"/>
      <c r="I86" s="110"/>
      <c r="J86" s="110"/>
      <c r="K86" s="110"/>
      <c r="L86" s="110"/>
      <c r="M86" s="110"/>
      <c r="N86" s="72"/>
      <c r="O86" s="117"/>
      <c r="P86" s="125"/>
      <c r="V86" s="1"/>
      <c r="W86" s="1"/>
      <c r="X86" s="1"/>
      <c r="Y86" s="120"/>
    </row>
    <row r="87" spans="1:25" x14ac:dyDescent="0.25">
      <c r="A87" s="8">
        <f t="shared" si="2"/>
        <v>76</v>
      </c>
      <c r="B87" s="109"/>
      <c r="C87" s="110"/>
      <c r="D87" s="107"/>
      <c r="E87" s="107"/>
      <c r="F87" s="108"/>
      <c r="G87" s="109"/>
      <c r="H87" s="110"/>
      <c r="I87" s="110"/>
      <c r="J87" s="110"/>
      <c r="K87" s="110"/>
      <c r="L87" s="110"/>
      <c r="M87" s="110"/>
      <c r="N87" s="72"/>
      <c r="O87" s="117"/>
      <c r="P87" s="125"/>
      <c r="V87" s="1"/>
      <c r="W87" s="1"/>
      <c r="X87" s="1"/>
      <c r="Y87" s="120"/>
    </row>
    <row r="88" spans="1:25" x14ac:dyDescent="0.25">
      <c r="A88" s="8">
        <f t="shared" si="2"/>
        <v>77</v>
      </c>
      <c r="B88" s="109"/>
      <c r="C88" s="110"/>
      <c r="D88" s="107"/>
      <c r="E88" s="107"/>
      <c r="F88" s="108"/>
      <c r="G88" s="110"/>
      <c r="H88" s="110"/>
      <c r="I88" s="110"/>
      <c r="J88" s="110"/>
      <c r="K88" s="110"/>
      <c r="L88" s="110"/>
      <c r="M88" s="110"/>
      <c r="N88" s="72"/>
      <c r="O88" s="117"/>
      <c r="P88" s="125"/>
      <c r="V88" s="1"/>
      <c r="W88" s="1"/>
      <c r="X88" s="1"/>
      <c r="Y88" s="120"/>
    </row>
    <row r="89" spans="1:25" x14ac:dyDescent="0.25">
      <c r="A89" s="8">
        <f t="shared" si="2"/>
        <v>78</v>
      </c>
      <c r="B89" s="109"/>
      <c r="C89" s="110"/>
      <c r="D89" s="107"/>
      <c r="E89" s="107"/>
      <c r="F89" s="108"/>
      <c r="G89" s="110"/>
      <c r="H89" s="110"/>
      <c r="I89" s="110"/>
      <c r="J89" s="110"/>
      <c r="K89" s="110"/>
      <c r="L89" s="110"/>
      <c r="M89" s="110"/>
      <c r="N89" s="72"/>
      <c r="O89" s="117"/>
      <c r="P89" s="125"/>
      <c r="V89" s="1"/>
      <c r="W89" s="1"/>
      <c r="X89" s="1"/>
      <c r="Y89" s="120"/>
    </row>
    <row r="90" spans="1:25" x14ac:dyDescent="0.25">
      <c r="A90" s="8">
        <f t="shared" si="2"/>
        <v>79</v>
      </c>
      <c r="B90" s="109"/>
      <c r="C90" s="110"/>
      <c r="D90" s="107"/>
      <c r="E90" s="107"/>
      <c r="F90" s="108"/>
      <c r="G90" s="110"/>
      <c r="H90" s="110"/>
      <c r="I90" s="110"/>
      <c r="J90" s="110"/>
      <c r="K90" s="110"/>
      <c r="L90" s="110"/>
      <c r="M90" s="110"/>
      <c r="N90" s="72"/>
      <c r="O90" s="117"/>
      <c r="P90" s="125"/>
      <c r="V90" s="1"/>
      <c r="W90" s="1"/>
      <c r="X90" s="1"/>
      <c r="Y90" s="120"/>
    </row>
    <row r="91" spans="1:25" x14ac:dyDescent="0.25">
      <c r="A91" s="8">
        <f t="shared" si="2"/>
        <v>80</v>
      </c>
      <c r="B91" s="109"/>
      <c r="C91" s="110"/>
      <c r="D91" s="107"/>
      <c r="E91" s="107"/>
      <c r="F91" s="108"/>
      <c r="G91" s="110"/>
      <c r="H91" s="110"/>
      <c r="I91" s="110"/>
      <c r="J91" s="110"/>
      <c r="K91" s="110"/>
      <c r="L91" s="110"/>
      <c r="M91" s="110"/>
      <c r="N91" s="72"/>
      <c r="O91" s="117"/>
      <c r="P91" s="125"/>
      <c r="V91" s="1"/>
      <c r="W91" s="1"/>
      <c r="X91" s="1"/>
      <c r="Y91" s="120"/>
    </row>
    <row r="92" spans="1:25" x14ac:dyDescent="0.25">
      <c r="A92" s="8">
        <f t="shared" si="2"/>
        <v>81</v>
      </c>
      <c r="B92" s="109"/>
      <c r="C92" s="110"/>
      <c r="D92" s="107"/>
      <c r="E92" s="107"/>
      <c r="F92" s="108"/>
      <c r="G92" s="110"/>
      <c r="H92" s="110"/>
      <c r="I92" s="110"/>
      <c r="J92" s="110"/>
      <c r="K92" s="110"/>
      <c r="L92" s="110"/>
      <c r="M92" s="110"/>
      <c r="N92" s="72"/>
      <c r="O92" s="117"/>
      <c r="P92" s="125"/>
      <c r="V92" s="1"/>
      <c r="W92" s="1"/>
      <c r="X92" s="1"/>
      <c r="Y92" s="120"/>
    </row>
    <row r="93" spans="1:25" x14ac:dyDescent="0.25">
      <c r="A93" s="8">
        <f t="shared" si="2"/>
        <v>82</v>
      </c>
      <c r="B93" s="109"/>
      <c r="C93" s="110"/>
      <c r="D93" s="107"/>
      <c r="E93" s="107"/>
      <c r="F93" s="108"/>
      <c r="G93" s="110"/>
      <c r="H93" s="110"/>
      <c r="I93" s="110"/>
      <c r="J93" s="110"/>
      <c r="K93" s="110"/>
      <c r="L93" s="110"/>
      <c r="M93" s="110"/>
      <c r="N93" s="72"/>
      <c r="O93" s="117"/>
      <c r="P93" s="125"/>
      <c r="V93" s="1"/>
      <c r="W93" s="1"/>
      <c r="X93" s="1"/>
      <c r="Y93" s="120"/>
    </row>
    <row r="94" spans="1:25" x14ac:dyDescent="0.25">
      <c r="A94" s="8">
        <f t="shared" si="2"/>
        <v>83</v>
      </c>
      <c r="B94" s="109"/>
      <c r="C94" s="110"/>
      <c r="D94" s="107"/>
      <c r="E94" s="107"/>
      <c r="F94" s="108"/>
      <c r="G94" s="110"/>
      <c r="H94" s="110"/>
      <c r="I94" s="110"/>
      <c r="J94" s="110"/>
      <c r="K94" s="110"/>
      <c r="L94" s="110"/>
      <c r="M94" s="110"/>
      <c r="N94" s="72"/>
      <c r="O94" s="117"/>
      <c r="P94" s="125"/>
      <c r="V94" s="1"/>
      <c r="W94" s="1"/>
      <c r="X94" s="1"/>
      <c r="Y94" s="120"/>
    </row>
    <row r="95" spans="1:25" x14ac:dyDescent="0.25">
      <c r="A95" s="8">
        <f t="shared" si="2"/>
        <v>84</v>
      </c>
      <c r="B95" s="109"/>
      <c r="C95" s="110"/>
      <c r="D95" s="107"/>
      <c r="E95" s="107"/>
      <c r="F95" s="108"/>
      <c r="G95" s="110"/>
      <c r="H95" s="110"/>
      <c r="I95" s="110"/>
      <c r="J95" s="110"/>
      <c r="K95" s="110"/>
      <c r="L95" s="110"/>
      <c r="M95" s="110"/>
      <c r="N95" s="72"/>
      <c r="O95" s="117"/>
      <c r="P95" s="125"/>
      <c r="V95" s="1"/>
      <c r="W95" s="1"/>
      <c r="X95" s="1"/>
      <c r="Y95" s="120"/>
    </row>
    <row r="96" spans="1:25" x14ac:dyDescent="0.25">
      <c r="A96" s="8">
        <f t="shared" si="2"/>
        <v>85</v>
      </c>
      <c r="B96" s="109"/>
      <c r="C96" s="110"/>
      <c r="D96" s="107"/>
      <c r="E96" s="107"/>
      <c r="F96" s="108"/>
      <c r="G96" s="110"/>
      <c r="H96" s="110"/>
      <c r="I96" s="110"/>
      <c r="J96" s="110"/>
      <c r="K96" s="110"/>
      <c r="L96" s="110"/>
      <c r="M96" s="110"/>
      <c r="N96" s="72"/>
      <c r="O96" s="117"/>
      <c r="P96" s="125"/>
      <c r="V96" s="1"/>
      <c r="W96" s="1"/>
      <c r="X96" s="1"/>
      <c r="Y96" s="120"/>
    </row>
    <row r="97" spans="1:25" x14ac:dyDescent="0.25">
      <c r="A97" s="8">
        <f t="shared" si="2"/>
        <v>86</v>
      </c>
      <c r="B97" s="109"/>
      <c r="C97" s="110"/>
      <c r="D97" s="107"/>
      <c r="E97" s="107"/>
      <c r="F97" s="108"/>
      <c r="G97" s="110"/>
      <c r="H97" s="110"/>
      <c r="I97" s="110"/>
      <c r="J97" s="110"/>
      <c r="K97" s="110"/>
      <c r="L97" s="110"/>
      <c r="M97" s="110"/>
      <c r="N97" s="72"/>
      <c r="O97" s="117"/>
      <c r="P97" s="125"/>
      <c r="V97" s="1"/>
      <c r="W97" s="1"/>
      <c r="X97" s="1"/>
      <c r="Y97" s="120"/>
    </row>
    <row r="98" spans="1:25" x14ac:dyDescent="0.25">
      <c r="A98" s="8">
        <f t="shared" si="2"/>
        <v>87</v>
      </c>
      <c r="B98" s="109"/>
      <c r="C98" s="110"/>
      <c r="D98" s="107"/>
      <c r="E98" s="107"/>
      <c r="F98" s="108"/>
      <c r="G98" s="110"/>
      <c r="H98" s="110"/>
      <c r="I98" s="110"/>
      <c r="J98" s="110"/>
      <c r="K98" s="110"/>
      <c r="L98" s="110"/>
      <c r="M98" s="110"/>
      <c r="N98" s="72"/>
      <c r="O98" s="117"/>
      <c r="P98" s="125"/>
      <c r="V98" s="1"/>
      <c r="W98" s="1"/>
      <c r="X98" s="1"/>
      <c r="Y98" s="120"/>
    </row>
    <row r="99" spans="1:25" x14ac:dyDescent="0.25">
      <c r="A99" s="8">
        <f t="shared" si="2"/>
        <v>88</v>
      </c>
      <c r="B99" s="109"/>
      <c r="C99" s="110"/>
      <c r="D99" s="107"/>
      <c r="E99" s="107"/>
      <c r="F99" s="108"/>
      <c r="G99" s="110"/>
      <c r="H99" s="110"/>
      <c r="I99" s="110"/>
      <c r="J99" s="110"/>
      <c r="K99" s="110"/>
      <c r="L99" s="110"/>
      <c r="M99" s="110"/>
      <c r="N99" s="72"/>
      <c r="O99" s="117"/>
      <c r="P99" s="125"/>
      <c r="V99" s="1"/>
      <c r="W99" s="1"/>
      <c r="X99" s="1"/>
      <c r="Y99" s="120"/>
    </row>
    <row r="100" spans="1:25" x14ac:dyDescent="0.25">
      <c r="A100" s="8">
        <f t="shared" si="2"/>
        <v>89</v>
      </c>
      <c r="B100" s="109"/>
      <c r="C100" s="110"/>
      <c r="D100" s="107"/>
      <c r="E100" s="107"/>
      <c r="F100" s="108"/>
      <c r="G100" s="110"/>
      <c r="H100" s="110"/>
      <c r="I100" s="110"/>
      <c r="J100" s="110"/>
      <c r="K100" s="110"/>
      <c r="L100" s="110"/>
      <c r="M100" s="110"/>
      <c r="N100" s="72"/>
      <c r="O100" s="117"/>
      <c r="P100" s="125"/>
      <c r="V100" s="1"/>
      <c r="W100" s="1"/>
      <c r="X100" s="1"/>
      <c r="Y100" s="120"/>
    </row>
    <row r="101" spans="1:25" x14ac:dyDescent="0.25">
      <c r="A101" s="8">
        <f t="shared" si="2"/>
        <v>90</v>
      </c>
      <c r="B101" s="109"/>
      <c r="C101" s="110"/>
      <c r="D101" s="107"/>
      <c r="E101" s="107"/>
      <c r="F101" s="108"/>
      <c r="G101" s="110"/>
      <c r="H101" s="110"/>
      <c r="I101" s="110"/>
      <c r="J101" s="110"/>
      <c r="K101" s="110"/>
      <c r="L101" s="110"/>
      <c r="M101" s="110"/>
      <c r="N101" s="72"/>
      <c r="O101" s="117"/>
      <c r="P101" s="125"/>
      <c r="V101" s="1"/>
      <c r="W101" s="1"/>
      <c r="X101" s="1"/>
      <c r="Y101" s="120"/>
    </row>
    <row r="102" spans="1:25" x14ac:dyDescent="0.25">
      <c r="A102" s="8">
        <f t="shared" si="2"/>
        <v>91</v>
      </c>
      <c r="B102" s="109"/>
      <c r="C102" s="110"/>
      <c r="D102" s="107"/>
      <c r="E102" s="107"/>
      <c r="F102" s="108"/>
      <c r="G102" s="110"/>
      <c r="H102" s="110"/>
      <c r="I102" s="110"/>
      <c r="J102" s="110"/>
      <c r="K102" s="110"/>
      <c r="L102" s="110"/>
      <c r="M102" s="110"/>
      <c r="N102" s="72"/>
      <c r="O102" s="117"/>
      <c r="P102" s="125"/>
      <c r="V102" s="1"/>
      <c r="W102" s="1"/>
      <c r="X102" s="1"/>
      <c r="Y102" s="120"/>
    </row>
    <row r="103" spans="1:25" x14ac:dyDescent="0.25">
      <c r="A103" s="8">
        <f t="shared" si="2"/>
        <v>92</v>
      </c>
      <c r="B103" s="109"/>
      <c r="C103" s="110"/>
      <c r="D103" s="107"/>
      <c r="E103" s="107"/>
      <c r="F103" s="108"/>
      <c r="G103" s="110"/>
      <c r="H103" s="110"/>
      <c r="I103" s="110"/>
      <c r="J103" s="110"/>
      <c r="K103" s="110"/>
      <c r="L103" s="110"/>
      <c r="M103" s="110"/>
      <c r="N103" s="72"/>
      <c r="O103" s="117"/>
      <c r="P103" s="125"/>
      <c r="V103" s="1"/>
      <c r="W103" s="1"/>
      <c r="X103" s="1"/>
      <c r="Y103" s="120"/>
    </row>
    <row r="104" spans="1:25" x14ac:dyDescent="0.25">
      <c r="A104" s="8">
        <f t="shared" si="2"/>
        <v>93</v>
      </c>
      <c r="B104" s="109"/>
      <c r="C104" s="110"/>
      <c r="D104" s="107"/>
      <c r="E104" s="107"/>
      <c r="F104" s="108"/>
      <c r="G104" s="110"/>
      <c r="H104" s="110"/>
      <c r="I104" s="110"/>
      <c r="J104" s="110"/>
      <c r="K104" s="110"/>
      <c r="L104" s="110"/>
      <c r="M104" s="110"/>
      <c r="N104" s="72"/>
      <c r="O104" s="117"/>
      <c r="P104" s="125"/>
      <c r="V104" s="1"/>
      <c r="W104" s="1"/>
      <c r="X104" s="1"/>
      <c r="Y104" s="120"/>
    </row>
    <row r="105" spans="1:25" x14ac:dyDescent="0.25">
      <c r="A105" s="8">
        <f t="shared" si="2"/>
        <v>94</v>
      </c>
      <c r="B105" s="109"/>
      <c r="C105" s="110"/>
      <c r="D105" s="107"/>
      <c r="E105" s="107"/>
      <c r="F105" s="108"/>
      <c r="G105" s="110"/>
      <c r="H105" s="110"/>
      <c r="I105" s="110"/>
      <c r="J105" s="110"/>
      <c r="K105" s="110"/>
      <c r="L105" s="110"/>
      <c r="M105" s="110"/>
      <c r="N105" s="72"/>
      <c r="O105" s="117"/>
      <c r="P105" s="125"/>
      <c r="V105" s="1"/>
      <c r="W105" s="1"/>
      <c r="X105" s="1"/>
      <c r="Y105" s="120"/>
    </row>
    <row r="106" spans="1:25" x14ac:dyDescent="0.25">
      <c r="A106" s="8">
        <f t="shared" si="2"/>
        <v>95</v>
      </c>
      <c r="B106" s="109"/>
      <c r="C106" s="110"/>
      <c r="D106" s="107"/>
      <c r="E106" s="107"/>
      <c r="F106" s="108"/>
      <c r="G106" s="110"/>
      <c r="H106" s="110"/>
      <c r="I106" s="110"/>
      <c r="J106" s="110"/>
      <c r="K106" s="110"/>
      <c r="L106" s="110"/>
      <c r="M106" s="110"/>
      <c r="N106" s="72"/>
      <c r="O106" s="117"/>
      <c r="P106" s="125"/>
      <c r="V106" s="1"/>
      <c r="W106" s="1"/>
      <c r="X106" s="1"/>
      <c r="Y106" s="120"/>
    </row>
    <row r="107" spans="1:25" x14ac:dyDescent="0.25">
      <c r="A107" s="8">
        <f t="shared" si="2"/>
        <v>96</v>
      </c>
      <c r="B107" s="109"/>
      <c r="C107" s="110"/>
      <c r="D107" s="107"/>
      <c r="E107" s="107"/>
      <c r="F107" s="108"/>
      <c r="G107" s="110"/>
      <c r="H107" s="110"/>
      <c r="I107" s="110"/>
      <c r="J107" s="110"/>
      <c r="K107" s="110"/>
      <c r="L107" s="110"/>
      <c r="M107" s="110"/>
      <c r="N107" s="72"/>
      <c r="O107" s="117"/>
      <c r="P107" s="125"/>
      <c r="V107" s="1"/>
      <c r="W107" s="1"/>
      <c r="X107" s="1"/>
      <c r="Y107" s="120"/>
    </row>
    <row r="108" spans="1:25" x14ac:dyDescent="0.25">
      <c r="A108" s="8">
        <f t="shared" si="2"/>
        <v>97</v>
      </c>
      <c r="B108" s="109"/>
      <c r="C108" s="110"/>
      <c r="D108" s="107"/>
      <c r="E108" s="107"/>
      <c r="F108" s="108"/>
      <c r="G108" s="110"/>
      <c r="H108" s="110"/>
      <c r="I108" s="110"/>
      <c r="J108" s="110"/>
      <c r="K108" s="110"/>
      <c r="L108" s="110"/>
      <c r="M108" s="110"/>
      <c r="N108" s="72"/>
      <c r="O108" s="117"/>
      <c r="P108" s="125"/>
      <c r="V108" s="1"/>
      <c r="W108" s="1"/>
      <c r="X108" s="1"/>
      <c r="Y108" s="120"/>
    </row>
    <row r="109" spans="1:25" x14ac:dyDescent="0.25">
      <c r="A109" s="8">
        <f t="shared" si="2"/>
        <v>98</v>
      </c>
      <c r="B109" s="109"/>
      <c r="C109" s="110"/>
      <c r="D109" s="107"/>
      <c r="E109" s="107"/>
      <c r="F109" s="108"/>
      <c r="G109" s="110"/>
      <c r="H109" s="110"/>
      <c r="I109" s="110"/>
      <c r="J109" s="110"/>
      <c r="K109" s="110"/>
      <c r="L109" s="110"/>
      <c r="M109" s="110"/>
      <c r="N109" s="72"/>
      <c r="O109" s="117"/>
      <c r="P109" s="125"/>
      <c r="V109" s="1"/>
      <c r="W109" s="1"/>
      <c r="X109" s="1"/>
      <c r="Y109" s="120"/>
    </row>
    <row r="110" spans="1:25" x14ac:dyDescent="0.25">
      <c r="A110" s="8">
        <f t="shared" si="2"/>
        <v>99</v>
      </c>
      <c r="B110" s="109"/>
      <c r="C110" s="110"/>
      <c r="D110" s="107"/>
      <c r="E110" s="107"/>
      <c r="F110" s="108"/>
      <c r="G110" s="110"/>
      <c r="H110" s="110"/>
      <c r="I110" s="110"/>
      <c r="J110" s="110"/>
      <c r="K110" s="110"/>
      <c r="L110" s="110"/>
      <c r="M110" s="110"/>
      <c r="N110" s="72"/>
      <c r="O110" s="117"/>
      <c r="P110" s="125"/>
      <c r="V110" s="1"/>
      <c r="W110" s="1"/>
      <c r="X110" s="1"/>
      <c r="Y110" s="120"/>
    </row>
    <row r="111" spans="1:25" x14ac:dyDescent="0.25">
      <c r="A111" s="8">
        <f t="shared" si="2"/>
        <v>100</v>
      </c>
      <c r="B111" s="109"/>
      <c r="C111" s="110"/>
      <c r="D111" s="107"/>
      <c r="E111" s="107"/>
      <c r="F111" s="108"/>
      <c r="G111" s="110"/>
      <c r="H111" s="110"/>
      <c r="I111" s="110"/>
      <c r="J111" s="110"/>
      <c r="K111" s="110"/>
      <c r="L111" s="110"/>
      <c r="M111" s="110"/>
      <c r="N111" s="72"/>
      <c r="O111" s="117"/>
      <c r="P111" s="125"/>
      <c r="V111" s="1"/>
      <c r="W111" s="1"/>
      <c r="X111" s="1"/>
      <c r="Y111" s="120"/>
    </row>
    <row r="112" spans="1:25" x14ac:dyDescent="0.25">
      <c r="A112" s="8">
        <f t="shared" si="2"/>
        <v>101</v>
      </c>
      <c r="B112" s="109"/>
      <c r="C112" s="110"/>
      <c r="D112" s="107"/>
      <c r="E112" s="107"/>
      <c r="F112" s="108"/>
      <c r="G112" s="110"/>
      <c r="H112" s="110"/>
      <c r="I112" s="110"/>
      <c r="J112" s="110"/>
      <c r="K112" s="110"/>
      <c r="L112" s="110"/>
      <c r="M112" s="110"/>
      <c r="N112" s="72"/>
      <c r="O112" s="117"/>
      <c r="P112" s="125"/>
      <c r="V112" s="1"/>
      <c r="W112" s="1"/>
      <c r="X112" s="1"/>
      <c r="Y112" s="120"/>
    </row>
    <row r="113" spans="1:25" x14ac:dyDescent="0.25">
      <c r="A113" s="8">
        <f t="shared" si="2"/>
        <v>102</v>
      </c>
      <c r="B113" s="109"/>
      <c r="C113" s="110"/>
      <c r="D113" s="107"/>
      <c r="E113" s="107"/>
      <c r="F113" s="108"/>
      <c r="G113" s="110"/>
      <c r="H113" s="110"/>
      <c r="I113" s="110"/>
      <c r="J113" s="110"/>
      <c r="K113" s="110"/>
      <c r="L113" s="110"/>
      <c r="M113" s="110"/>
      <c r="N113" s="72"/>
      <c r="O113" s="117"/>
      <c r="P113" s="125"/>
      <c r="V113" s="1"/>
      <c r="W113" s="1"/>
      <c r="X113" s="1"/>
      <c r="Y113" s="120"/>
    </row>
    <row r="114" spans="1:25" x14ac:dyDescent="0.25">
      <c r="A114" s="8">
        <f t="shared" si="2"/>
        <v>103</v>
      </c>
      <c r="B114" s="109"/>
      <c r="C114" s="110"/>
      <c r="D114" s="107"/>
      <c r="E114" s="107"/>
      <c r="F114" s="108"/>
      <c r="G114" s="110"/>
      <c r="H114" s="110"/>
      <c r="I114" s="110"/>
      <c r="J114" s="110"/>
      <c r="K114" s="110"/>
      <c r="L114" s="110"/>
      <c r="M114" s="110"/>
      <c r="N114" s="72"/>
      <c r="O114" s="117"/>
      <c r="P114" s="125"/>
      <c r="V114" s="1"/>
      <c r="W114" s="1"/>
      <c r="X114" s="1"/>
      <c r="Y114" s="120"/>
    </row>
    <row r="115" spans="1:25" x14ac:dyDescent="0.25">
      <c r="A115" s="8">
        <f t="shared" si="2"/>
        <v>104</v>
      </c>
      <c r="B115" s="109"/>
      <c r="C115" s="110"/>
      <c r="D115" s="107"/>
      <c r="E115" s="107"/>
      <c r="F115" s="108"/>
      <c r="G115" s="110"/>
      <c r="H115" s="110"/>
      <c r="I115" s="110"/>
      <c r="J115" s="110"/>
      <c r="K115" s="110"/>
      <c r="L115" s="110"/>
      <c r="M115" s="110"/>
      <c r="N115" s="72"/>
      <c r="O115" s="117"/>
      <c r="P115" s="125"/>
      <c r="V115" s="1"/>
      <c r="W115" s="1"/>
      <c r="X115" s="1"/>
      <c r="Y115" s="120"/>
    </row>
    <row r="116" spans="1:25" x14ac:dyDescent="0.25">
      <c r="A116" s="8">
        <f t="shared" si="2"/>
        <v>105</v>
      </c>
      <c r="B116" s="109"/>
      <c r="C116" s="110"/>
      <c r="D116" s="107"/>
      <c r="E116" s="107"/>
      <c r="F116" s="108"/>
      <c r="G116" s="110"/>
      <c r="H116" s="110"/>
      <c r="I116" s="110"/>
      <c r="J116" s="110"/>
      <c r="K116" s="110"/>
      <c r="L116" s="110"/>
      <c r="M116" s="110"/>
      <c r="N116" s="72"/>
      <c r="O116" s="117"/>
      <c r="P116" s="125"/>
      <c r="V116" s="1"/>
      <c r="W116" s="1"/>
      <c r="X116" s="1"/>
      <c r="Y116" s="120"/>
    </row>
    <row r="117" spans="1:25" x14ac:dyDescent="0.25">
      <c r="A117" s="8">
        <f t="shared" si="2"/>
        <v>106</v>
      </c>
      <c r="B117" s="109"/>
      <c r="C117" s="110"/>
      <c r="D117" s="107"/>
      <c r="E117" s="107"/>
      <c r="F117" s="108"/>
      <c r="G117" s="110"/>
      <c r="H117" s="110"/>
      <c r="I117" s="110"/>
      <c r="J117" s="110"/>
      <c r="K117" s="110"/>
      <c r="L117" s="110"/>
      <c r="M117" s="110"/>
      <c r="N117" s="72"/>
      <c r="O117" s="117"/>
      <c r="P117" s="125"/>
      <c r="V117" s="1"/>
      <c r="W117" s="1"/>
      <c r="X117" s="1"/>
      <c r="Y117" s="120"/>
    </row>
    <row r="118" spans="1:25" x14ac:dyDescent="0.25">
      <c r="A118" s="8">
        <f t="shared" si="2"/>
        <v>107</v>
      </c>
      <c r="B118" s="109"/>
      <c r="C118" s="110"/>
      <c r="D118" s="107"/>
      <c r="E118" s="107"/>
      <c r="F118" s="108"/>
      <c r="G118" s="110"/>
      <c r="H118" s="110"/>
      <c r="I118" s="110"/>
      <c r="J118" s="110"/>
      <c r="K118" s="110"/>
      <c r="L118" s="110"/>
      <c r="M118" s="110"/>
      <c r="N118" s="72"/>
      <c r="O118" s="117"/>
      <c r="P118" s="125"/>
      <c r="V118" s="1"/>
      <c r="W118" s="1"/>
      <c r="X118" s="1"/>
      <c r="Y118" s="120"/>
    </row>
    <row r="119" spans="1:25" x14ac:dyDescent="0.25">
      <c r="A119" s="8">
        <f t="shared" si="2"/>
        <v>108</v>
      </c>
      <c r="B119" s="109"/>
      <c r="C119" s="110"/>
      <c r="D119" s="107"/>
      <c r="E119" s="107"/>
      <c r="F119" s="108"/>
      <c r="G119" s="110"/>
      <c r="H119" s="110"/>
      <c r="I119" s="110"/>
      <c r="J119" s="110"/>
      <c r="K119" s="110"/>
      <c r="L119" s="110"/>
      <c r="M119" s="110"/>
      <c r="N119" s="72"/>
      <c r="O119" s="117"/>
      <c r="P119" s="125"/>
      <c r="V119" s="1"/>
      <c r="W119" s="1"/>
      <c r="X119" s="1"/>
      <c r="Y119" s="120"/>
    </row>
    <row r="120" spans="1:25" x14ac:dyDescent="0.25">
      <c r="A120" s="8">
        <f t="shared" si="2"/>
        <v>109</v>
      </c>
      <c r="B120" s="109"/>
      <c r="C120" s="110"/>
      <c r="D120" s="107"/>
      <c r="E120" s="107"/>
      <c r="F120" s="108"/>
      <c r="G120" s="110"/>
      <c r="H120" s="110"/>
      <c r="I120" s="110"/>
      <c r="J120" s="110"/>
      <c r="K120" s="110"/>
      <c r="L120" s="110"/>
      <c r="M120" s="110"/>
      <c r="N120" s="72"/>
      <c r="O120" s="117"/>
      <c r="P120" s="125"/>
      <c r="V120" s="1"/>
      <c r="W120" s="1"/>
      <c r="X120" s="1"/>
      <c r="Y120" s="120"/>
    </row>
    <row r="121" spans="1:25" x14ac:dyDescent="0.25">
      <c r="A121" s="8">
        <f t="shared" si="2"/>
        <v>110</v>
      </c>
      <c r="B121" s="109"/>
      <c r="C121" s="110"/>
      <c r="D121" s="107"/>
      <c r="E121" s="107"/>
      <c r="F121" s="108"/>
      <c r="G121" s="110"/>
      <c r="H121" s="110"/>
      <c r="I121" s="110"/>
      <c r="J121" s="110"/>
      <c r="K121" s="110"/>
      <c r="L121" s="110"/>
      <c r="M121" s="110"/>
      <c r="N121" s="72"/>
      <c r="O121" s="117"/>
      <c r="P121" s="125"/>
      <c r="V121" s="1"/>
      <c r="W121" s="1"/>
      <c r="X121" s="1"/>
      <c r="Y121" s="120"/>
    </row>
    <row r="122" spans="1:25" x14ac:dyDescent="0.25">
      <c r="A122" s="8">
        <f t="shared" si="2"/>
        <v>111</v>
      </c>
      <c r="B122" s="109"/>
      <c r="C122" s="110"/>
      <c r="D122" s="107"/>
      <c r="E122" s="107"/>
      <c r="F122" s="108"/>
      <c r="G122" s="110"/>
      <c r="H122" s="110"/>
      <c r="I122" s="110"/>
      <c r="J122" s="110"/>
      <c r="K122" s="110"/>
      <c r="L122" s="110"/>
      <c r="M122" s="110"/>
      <c r="N122" s="72"/>
      <c r="O122" s="117"/>
      <c r="P122" s="125"/>
      <c r="V122" s="1"/>
      <c r="W122" s="1"/>
      <c r="X122" s="1"/>
      <c r="Y122" s="120"/>
    </row>
    <row r="123" spans="1:25" x14ac:dyDescent="0.25">
      <c r="A123" s="8">
        <f t="shared" si="2"/>
        <v>112</v>
      </c>
      <c r="B123" s="109"/>
      <c r="C123" s="110"/>
      <c r="D123" s="107"/>
      <c r="E123" s="107"/>
      <c r="F123" s="108"/>
      <c r="G123" s="110"/>
      <c r="H123" s="110"/>
      <c r="I123" s="110"/>
      <c r="J123" s="110"/>
      <c r="K123" s="110"/>
      <c r="L123" s="110"/>
      <c r="M123" s="110"/>
      <c r="N123" s="72"/>
      <c r="O123" s="117"/>
      <c r="P123" s="125"/>
      <c r="V123" s="1"/>
      <c r="W123" s="1"/>
      <c r="X123" s="1"/>
      <c r="Y123" s="120"/>
    </row>
    <row r="124" spans="1:25" x14ac:dyDescent="0.25">
      <c r="A124" s="8">
        <f t="shared" si="2"/>
        <v>113</v>
      </c>
      <c r="B124" s="109"/>
      <c r="C124" s="110"/>
      <c r="D124" s="107"/>
      <c r="E124" s="107"/>
      <c r="F124" s="108"/>
      <c r="G124" s="110"/>
      <c r="H124" s="110"/>
      <c r="I124" s="110"/>
      <c r="J124" s="110"/>
      <c r="K124" s="110"/>
      <c r="L124" s="110"/>
      <c r="M124" s="110"/>
      <c r="N124" s="72"/>
      <c r="O124" s="117"/>
      <c r="P124" s="125"/>
      <c r="V124" s="1"/>
      <c r="W124" s="1"/>
      <c r="X124" s="1"/>
      <c r="Y124" s="120"/>
    </row>
    <row r="125" spans="1:25" x14ac:dyDescent="0.25">
      <c r="A125" s="8">
        <f t="shared" si="2"/>
        <v>114</v>
      </c>
      <c r="B125" s="109"/>
      <c r="C125" s="110"/>
      <c r="D125" s="107"/>
      <c r="E125" s="107"/>
      <c r="F125" s="108"/>
      <c r="G125" s="110"/>
      <c r="H125" s="110"/>
      <c r="I125" s="110"/>
      <c r="J125" s="110"/>
      <c r="K125" s="110"/>
      <c r="L125" s="110"/>
      <c r="M125" s="110"/>
      <c r="N125" s="72"/>
      <c r="O125" s="117"/>
      <c r="P125" s="125"/>
      <c r="V125" s="1"/>
      <c r="W125" s="1"/>
      <c r="X125" s="1"/>
      <c r="Y125" s="120"/>
    </row>
    <row r="126" spans="1:25" x14ac:dyDescent="0.25">
      <c r="A126" s="8">
        <f t="shared" si="2"/>
        <v>115</v>
      </c>
      <c r="B126" s="109"/>
      <c r="C126" s="110"/>
      <c r="D126" s="107"/>
      <c r="E126" s="107"/>
      <c r="F126" s="108"/>
      <c r="G126" s="110"/>
      <c r="H126" s="110"/>
      <c r="I126" s="110"/>
      <c r="J126" s="110"/>
      <c r="K126" s="110"/>
      <c r="L126" s="110"/>
      <c r="M126" s="110"/>
      <c r="N126" s="72"/>
      <c r="O126" s="117"/>
      <c r="P126" s="125"/>
      <c r="V126" s="1"/>
      <c r="W126" s="1"/>
      <c r="X126" s="1"/>
      <c r="Y126" s="120"/>
    </row>
    <row r="127" spans="1:25" x14ac:dyDescent="0.25">
      <c r="A127" s="8">
        <f t="shared" si="2"/>
        <v>116</v>
      </c>
      <c r="B127" s="109"/>
      <c r="C127" s="110"/>
      <c r="D127" s="107"/>
      <c r="E127" s="107"/>
      <c r="F127" s="108"/>
      <c r="G127" s="110"/>
      <c r="H127" s="110"/>
      <c r="I127" s="110"/>
      <c r="J127" s="110"/>
      <c r="K127" s="110"/>
      <c r="L127" s="110"/>
      <c r="M127" s="110"/>
      <c r="N127" s="72"/>
      <c r="O127" s="117"/>
      <c r="P127" s="125"/>
      <c r="V127" s="1"/>
      <c r="W127" s="1"/>
      <c r="X127" s="1"/>
      <c r="Y127" s="120"/>
    </row>
    <row r="128" spans="1:25" x14ac:dyDescent="0.25">
      <c r="A128" s="8">
        <f t="shared" si="2"/>
        <v>117</v>
      </c>
      <c r="B128" s="109"/>
      <c r="C128" s="110"/>
      <c r="D128" s="107"/>
      <c r="E128" s="107"/>
      <c r="F128" s="108"/>
      <c r="G128" s="110"/>
      <c r="H128" s="110"/>
      <c r="I128" s="110"/>
      <c r="J128" s="110"/>
      <c r="K128" s="110"/>
      <c r="L128" s="110"/>
      <c r="M128" s="110"/>
      <c r="N128" s="72"/>
      <c r="O128" s="117"/>
      <c r="P128" s="125"/>
      <c r="V128" s="1"/>
      <c r="W128" s="1"/>
      <c r="X128" s="1"/>
      <c r="Y128" s="120"/>
    </row>
    <row r="129" spans="1:25" x14ac:dyDescent="0.25">
      <c r="A129" s="8">
        <f t="shared" si="2"/>
        <v>118</v>
      </c>
      <c r="B129" s="109"/>
      <c r="C129" s="110"/>
      <c r="D129" s="107"/>
      <c r="E129" s="107"/>
      <c r="F129" s="108"/>
      <c r="G129" s="110"/>
      <c r="H129" s="110"/>
      <c r="I129" s="110"/>
      <c r="J129" s="110"/>
      <c r="K129" s="110"/>
      <c r="L129" s="110"/>
      <c r="M129" s="110"/>
      <c r="N129" s="72"/>
      <c r="O129" s="117"/>
      <c r="P129" s="125"/>
      <c r="V129" s="1"/>
      <c r="W129" s="1"/>
      <c r="X129" s="1"/>
      <c r="Y129" s="120"/>
    </row>
    <row r="130" spans="1:25" x14ac:dyDescent="0.25">
      <c r="A130" s="8">
        <f t="shared" si="2"/>
        <v>119</v>
      </c>
      <c r="B130" s="109"/>
      <c r="C130" s="110"/>
      <c r="D130" s="107"/>
      <c r="E130" s="107"/>
      <c r="F130" s="108"/>
      <c r="G130" s="110"/>
      <c r="H130" s="110"/>
      <c r="I130" s="110"/>
      <c r="J130" s="110"/>
      <c r="K130" s="110"/>
      <c r="L130" s="110"/>
      <c r="M130" s="110"/>
      <c r="N130" s="72"/>
      <c r="O130" s="117"/>
      <c r="P130" s="125"/>
      <c r="V130" s="1"/>
      <c r="W130" s="1"/>
      <c r="X130" s="1"/>
      <c r="Y130" s="120"/>
    </row>
    <row r="131" spans="1:25" x14ac:dyDescent="0.25">
      <c r="A131" s="8">
        <f t="shared" si="2"/>
        <v>120</v>
      </c>
      <c r="B131" s="109"/>
      <c r="C131" s="110"/>
      <c r="D131" s="107"/>
      <c r="E131" s="107"/>
      <c r="F131" s="108"/>
      <c r="G131" s="110"/>
      <c r="H131" s="110"/>
      <c r="I131" s="110"/>
      <c r="J131" s="110"/>
      <c r="K131" s="110"/>
      <c r="L131" s="110"/>
      <c r="M131" s="110"/>
      <c r="N131" s="72"/>
      <c r="O131" s="117"/>
      <c r="P131" s="125"/>
      <c r="V131" s="1"/>
      <c r="W131" s="1"/>
      <c r="X131" s="1"/>
      <c r="Y131" s="120"/>
    </row>
    <row r="132" spans="1:25" x14ac:dyDescent="0.25">
      <c r="A132" s="8">
        <f t="shared" si="2"/>
        <v>121</v>
      </c>
      <c r="B132" s="109"/>
      <c r="C132" s="110"/>
      <c r="D132" s="107"/>
      <c r="E132" s="107"/>
      <c r="F132" s="108"/>
      <c r="G132" s="110"/>
      <c r="H132" s="110"/>
      <c r="I132" s="110"/>
      <c r="J132" s="110"/>
      <c r="K132" s="110"/>
      <c r="L132" s="110"/>
      <c r="M132" s="110"/>
      <c r="N132" s="72"/>
      <c r="O132" s="117"/>
      <c r="P132" s="125"/>
      <c r="V132" s="1"/>
      <c r="W132" s="1"/>
      <c r="X132" s="1"/>
      <c r="Y132" s="120"/>
    </row>
    <row r="133" spans="1:25" x14ac:dyDescent="0.25">
      <c r="A133" s="8">
        <f t="shared" si="2"/>
        <v>122</v>
      </c>
      <c r="B133" s="109"/>
      <c r="C133" s="110"/>
      <c r="D133" s="107"/>
      <c r="E133" s="107"/>
      <c r="F133" s="108"/>
      <c r="G133" s="110"/>
      <c r="H133" s="110"/>
      <c r="I133" s="110"/>
      <c r="J133" s="110"/>
      <c r="K133" s="110"/>
      <c r="L133" s="110"/>
      <c r="M133" s="110"/>
      <c r="N133" s="72"/>
      <c r="O133" s="117"/>
      <c r="P133" s="125"/>
      <c r="V133" s="1"/>
      <c r="W133" s="1"/>
      <c r="X133" s="1"/>
      <c r="Y133" s="120"/>
    </row>
    <row r="134" spans="1:25" x14ac:dyDescent="0.25">
      <c r="A134" s="8">
        <f t="shared" si="2"/>
        <v>123</v>
      </c>
      <c r="B134" s="109"/>
      <c r="C134" s="110"/>
      <c r="D134" s="107"/>
      <c r="E134" s="107"/>
      <c r="F134" s="108"/>
      <c r="G134" s="110"/>
      <c r="H134" s="110"/>
      <c r="I134" s="110"/>
      <c r="J134" s="110"/>
      <c r="K134" s="110"/>
      <c r="L134" s="110"/>
      <c r="M134" s="110"/>
      <c r="N134" s="72"/>
      <c r="O134" s="117"/>
      <c r="P134" s="125"/>
      <c r="V134" s="1"/>
      <c r="W134" s="1"/>
      <c r="X134" s="1"/>
      <c r="Y134" s="120"/>
    </row>
    <row r="135" spans="1:25" x14ac:dyDescent="0.25">
      <c r="A135" s="8">
        <f t="shared" si="2"/>
        <v>124</v>
      </c>
      <c r="B135" s="109"/>
      <c r="C135" s="110"/>
      <c r="D135" s="107"/>
      <c r="E135" s="107"/>
      <c r="F135" s="108"/>
      <c r="G135" s="110"/>
      <c r="H135" s="110"/>
      <c r="I135" s="110"/>
      <c r="J135" s="110"/>
      <c r="K135" s="110"/>
      <c r="L135" s="110"/>
      <c r="M135" s="110"/>
      <c r="N135" s="72"/>
      <c r="O135" s="117"/>
      <c r="P135" s="125"/>
      <c r="V135" s="1"/>
      <c r="W135" s="1"/>
      <c r="X135" s="1"/>
      <c r="Y135" s="120"/>
    </row>
    <row r="136" spans="1:25" x14ac:dyDescent="0.25">
      <c r="A136" s="8">
        <f t="shared" si="2"/>
        <v>125</v>
      </c>
      <c r="B136" s="109"/>
      <c r="C136" s="110"/>
      <c r="D136" s="107"/>
      <c r="E136" s="107"/>
      <c r="F136" s="108"/>
      <c r="G136" s="110"/>
      <c r="H136" s="110"/>
      <c r="I136" s="110"/>
      <c r="J136" s="110"/>
      <c r="K136" s="110"/>
      <c r="L136" s="110"/>
      <c r="M136" s="110"/>
      <c r="N136" s="72"/>
      <c r="O136" s="117"/>
      <c r="P136" s="125"/>
      <c r="V136" s="1"/>
      <c r="W136" s="1"/>
      <c r="X136" s="1"/>
      <c r="Y136" s="120"/>
    </row>
    <row r="137" spans="1:25" x14ac:dyDescent="0.25">
      <c r="A137" s="8">
        <f t="shared" si="2"/>
        <v>126</v>
      </c>
      <c r="B137" s="109"/>
      <c r="C137" s="110"/>
      <c r="D137" s="107"/>
      <c r="E137" s="107"/>
      <c r="F137" s="108"/>
      <c r="G137" s="110"/>
      <c r="H137" s="110"/>
      <c r="I137" s="110"/>
      <c r="J137" s="110"/>
      <c r="K137" s="110"/>
      <c r="L137" s="110"/>
      <c r="M137" s="110"/>
      <c r="N137" s="72"/>
      <c r="O137" s="117"/>
      <c r="P137" s="125"/>
      <c r="V137" s="1"/>
      <c r="W137" s="1"/>
      <c r="X137" s="1"/>
      <c r="Y137" s="120"/>
    </row>
    <row r="138" spans="1:25" x14ac:dyDescent="0.25">
      <c r="A138" s="8">
        <f t="shared" si="2"/>
        <v>127</v>
      </c>
      <c r="B138" s="109"/>
      <c r="C138" s="110"/>
      <c r="D138" s="107"/>
      <c r="E138" s="107"/>
      <c r="F138" s="108"/>
      <c r="G138" s="110"/>
      <c r="H138" s="110"/>
      <c r="I138" s="110"/>
      <c r="J138" s="110"/>
      <c r="K138" s="110"/>
      <c r="L138" s="110"/>
      <c r="M138" s="110"/>
      <c r="N138" s="72"/>
      <c r="O138" s="117"/>
      <c r="P138" s="125"/>
      <c r="V138" s="1"/>
      <c r="W138" s="1"/>
      <c r="X138" s="1"/>
      <c r="Y138" s="120"/>
    </row>
    <row r="139" spans="1:25" x14ac:dyDescent="0.25">
      <c r="A139" s="8">
        <f t="shared" si="2"/>
        <v>128</v>
      </c>
      <c r="B139" s="109"/>
      <c r="C139" s="110"/>
      <c r="D139" s="107"/>
      <c r="E139" s="107"/>
      <c r="F139" s="108"/>
      <c r="G139" s="110"/>
      <c r="H139" s="110"/>
      <c r="I139" s="110"/>
      <c r="J139" s="110"/>
      <c r="K139" s="110"/>
      <c r="L139" s="110"/>
      <c r="M139" s="110"/>
      <c r="N139" s="72"/>
      <c r="O139" s="117"/>
      <c r="P139" s="125"/>
      <c r="V139" s="1"/>
      <c r="W139" s="1"/>
      <c r="X139" s="1"/>
      <c r="Y139" s="120"/>
    </row>
    <row r="140" spans="1:25" x14ac:dyDescent="0.25">
      <c r="A140" s="8">
        <f t="shared" si="2"/>
        <v>129</v>
      </c>
      <c r="B140" s="109"/>
      <c r="C140" s="110"/>
      <c r="D140" s="107"/>
      <c r="E140" s="107"/>
      <c r="F140" s="108"/>
      <c r="G140" s="110"/>
      <c r="H140" s="110"/>
      <c r="I140" s="110"/>
      <c r="J140" s="110"/>
      <c r="K140" s="110"/>
      <c r="L140" s="110"/>
      <c r="M140" s="110"/>
      <c r="N140" s="72"/>
      <c r="O140" s="117"/>
      <c r="P140" s="125"/>
      <c r="V140" s="1"/>
      <c r="W140" s="1"/>
      <c r="X140" s="1"/>
      <c r="Y140" s="120"/>
    </row>
    <row r="141" spans="1:25" x14ac:dyDescent="0.25">
      <c r="A141" s="8">
        <f t="shared" si="2"/>
        <v>130</v>
      </c>
      <c r="B141" s="109"/>
      <c r="C141" s="110"/>
      <c r="D141" s="107"/>
      <c r="E141" s="107"/>
      <c r="F141" s="108"/>
      <c r="G141" s="110"/>
      <c r="H141" s="110"/>
      <c r="I141" s="110"/>
      <c r="J141" s="110"/>
      <c r="K141" s="110"/>
      <c r="L141" s="110"/>
      <c r="M141" s="110"/>
      <c r="N141" s="72"/>
      <c r="O141" s="117"/>
      <c r="P141" s="125"/>
      <c r="V141" s="1"/>
      <c r="W141" s="1"/>
      <c r="X141" s="1"/>
      <c r="Y141" s="120"/>
    </row>
    <row r="142" spans="1:25" x14ac:dyDescent="0.25">
      <c r="A142" s="8">
        <f t="shared" ref="A142:A205" si="3">+A141+1</f>
        <v>131</v>
      </c>
      <c r="B142" s="109"/>
      <c r="C142" s="110"/>
      <c r="D142" s="107"/>
      <c r="E142" s="107"/>
      <c r="F142" s="108"/>
      <c r="G142" s="110"/>
      <c r="H142" s="110"/>
      <c r="I142" s="110"/>
      <c r="J142" s="110"/>
      <c r="K142" s="110"/>
      <c r="L142" s="110"/>
      <c r="M142" s="110"/>
      <c r="N142" s="72"/>
      <c r="O142" s="117"/>
      <c r="P142" s="125"/>
      <c r="V142" s="1"/>
      <c r="W142" s="1"/>
      <c r="X142" s="1"/>
      <c r="Y142" s="120"/>
    </row>
    <row r="143" spans="1:25" x14ac:dyDescent="0.25">
      <c r="A143" s="8">
        <f t="shared" si="3"/>
        <v>132</v>
      </c>
      <c r="B143" s="109"/>
      <c r="C143" s="110"/>
      <c r="D143" s="107"/>
      <c r="E143" s="107"/>
      <c r="F143" s="108"/>
      <c r="G143" s="110"/>
      <c r="H143" s="110"/>
      <c r="I143" s="110"/>
      <c r="J143" s="110"/>
      <c r="K143" s="110"/>
      <c r="L143" s="110"/>
      <c r="M143" s="110"/>
      <c r="N143" s="72"/>
      <c r="O143" s="117"/>
      <c r="P143" s="125"/>
      <c r="V143" s="1"/>
      <c r="W143" s="1"/>
      <c r="X143" s="1"/>
      <c r="Y143" s="120"/>
    </row>
    <row r="144" spans="1:25" x14ac:dyDescent="0.25">
      <c r="A144" s="8">
        <f t="shared" si="3"/>
        <v>133</v>
      </c>
      <c r="B144" s="109"/>
      <c r="C144" s="110"/>
      <c r="D144" s="107"/>
      <c r="E144" s="107"/>
      <c r="F144" s="108"/>
      <c r="G144" s="110"/>
      <c r="H144" s="110"/>
      <c r="I144" s="110"/>
      <c r="J144" s="110"/>
      <c r="K144" s="110"/>
      <c r="L144" s="110"/>
      <c r="M144" s="110"/>
      <c r="N144" s="72"/>
      <c r="O144" s="117"/>
      <c r="P144" s="125"/>
      <c r="V144" s="1"/>
      <c r="W144" s="1"/>
      <c r="X144" s="1"/>
      <c r="Y144" s="120"/>
    </row>
    <row r="145" spans="1:25" x14ac:dyDescent="0.25">
      <c r="A145" s="8">
        <f t="shared" si="3"/>
        <v>134</v>
      </c>
      <c r="B145" s="109"/>
      <c r="C145" s="110"/>
      <c r="D145" s="107"/>
      <c r="E145" s="107"/>
      <c r="F145" s="108"/>
      <c r="G145" s="110"/>
      <c r="H145" s="110"/>
      <c r="I145" s="110"/>
      <c r="J145" s="110"/>
      <c r="K145" s="110"/>
      <c r="L145" s="110"/>
      <c r="M145" s="110"/>
      <c r="N145" s="72"/>
      <c r="O145" s="117"/>
      <c r="P145" s="125"/>
      <c r="V145" s="1"/>
      <c r="W145" s="1"/>
      <c r="X145" s="1"/>
      <c r="Y145" s="120"/>
    </row>
    <row r="146" spans="1:25" x14ac:dyDescent="0.25">
      <c r="A146" s="8">
        <f t="shared" si="3"/>
        <v>135</v>
      </c>
      <c r="B146" s="109"/>
      <c r="C146" s="110"/>
      <c r="D146" s="107"/>
      <c r="E146" s="107"/>
      <c r="F146" s="108"/>
      <c r="G146" s="110"/>
      <c r="H146" s="110"/>
      <c r="I146" s="110"/>
      <c r="J146" s="110"/>
      <c r="K146" s="110"/>
      <c r="L146" s="110"/>
      <c r="M146" s="110"/>
      <c r="N146" s="72"/>
      <c r="O146" s="117"/>
      <c r="P146" s="125"/>
      <c r="V146" s="1"/>
      <c r="W146" s="1"/>
      <c r="X146" s="1"/>
      <c r="Y146" s="120"/>
    </row>
    <row r="147" spans="1:25" x14ac:dyDescent="0.25">
      <c r="A147" s="8">
        <f t="shared" si="3"/>
        <v>136</v>
      </c>
      <c r="B147" s="109"/>
      <c r="C147" s="110"/>
      <c r="D147" s="107"/>
      <c r="E147" s="107"/>
      <c r="F147" s="108"/>
      <c r="G147" s="110"/>
      <c r="H147" s="110"/>
      <c r="I147" s="110"/>
      <c r="J147" s="110"/>
      <c r="K147" s="110"/>
      <c r="L147" s="110"/>
      <c r="M147" s="110"/>
      <c r="N147" s="72"/>
      <c r="O147" s="117"/>
      <c r="P147" s="125"/>
      <c r="V147" s="1"/>
      <c r="W147" s="1"/>
      <c r="X147" s="1"/>
      <c r="Y147" s="120"/>
    </row>
    <row r="148" spans="1:25" x14ac:dyDescent="0.25">
      <c r="A148" s="8">
        <f t="shared" si="3"/>
        <v>137</v>
      </c>
      <c r="B148" s="109"/>
      <c r="C148" s="110"/>
      <c r="D148" s="107"/>
      <c r="E148" s="107"/>
      <c r="F148" s="108"/>
      <c r="G148" s="110"/>
      <c r="H148" s="110"/>
      <c r="I148" s="110"/>
      <c r="J148" s="110"/>
      <c r="K148" s="110"/>
      <c r="L148" s="110"/>
      <c r="M148" s="110"/>
      <c r="N148" s="72"/>
      <c r="O148" s="117"/>
      <c r="P148" s="125"/>
      <c r="V148" s="1"/>
      <c r="W148" s="1"/>
      <c r="X148" s="1"/>
      <c r="Y148" s="120"/>
    </row>
    <row r="149" spans="1:25" x14ac:dyDescent="0.25">
      <c r="A149" s="8">
        <f t="shared" si="3"/>
        <v>138</v>
      </c>
      <c r="B149" s="109"/>
      <c r="C149" s="110"/>
      <c r="D149" s="107"/>
      <c r="E149" s="107"/>
      <c r="F149" s="108"/>
      <c r="G149" s="110"/>
      <c r="H149" s="110"/>
      <c r="I149" s="110"/>
      <c r="J149" s="110"/>
      <c r="K149" s="110"/>
      <c r="L149" s="110"/>
      <c r="M149" s="110"/>
      <c r="N149" s="72"/>
      <c r="O149" s="117"/>
      <c r="P149" s="125"/>
      <c r="V149" s="1"/>
      <c r="W149" s="1"/>
      <c r="X149" s="1"/>
      <c r="Y149" s="120"/>
    </row>
    <row r="150" spans="1:25" x14ac:dyDescent="0.25">
      <c r="A150" s="8">
        <f t="shared" si="3"/>
        <v>139</v>
      </c>
      <c r="B150" s="109"/>
      <c r="C150" s="110"/>
      <c r="D150" s="107"/>
      <c r="E150" s="107"/>
      <c r="F150" s="108"/>
      <c r="G150" s="110"/>
      <c r="H150" s="110"/>
      <c r="I150" s="110"/>
      <c r="J150" s="110"/>
      <c r="K150" s="110"/>
      <c r="L150" s="110"/>
      <c r="M150" s="110"/>
      <c r="N150" s="72"/>
      <c r="O150" s="117"/>
      <c r="P150" s="125"/>
      <c r="V150" s="1"/>
      <c r="W150" s="1"/>
      <c r="X150" s="1"/>
      <c r="Y150" s="120"/>
    </row>
    <row r="151" spans="1:25" x14ac:dyDescent="0.25">
      <c r="A151" s="8">
        <f t="shared" si="3"/>
        <v>140</v>
      </c>
      <c r="B151" s="109"/>
      <c r="C151" s="110"/>
      <c r="D151" s="107"/>
      <c r="E151" s="107"/>
      <c r="F151" s="108"/>
      <c r="G151" s="110"/>
      <c r="H151" s="110"/>
      <c r="I151" s="110"/>
      <c r="J151" s="110"/>
      <c r="K151" s="110"/>
      <c r="L151" s="110"/>
      <c r="M151" s="110"/>
      <c r="N151" s="72"/>
      <c r="O151" s="117"/>
      <c r="P151" s="125"/>
      <c r="V151" s="1"/>
      <c r="W151" s="1"/>
      <c r="X151" s="1"/>
      <c r="Y151" s="120"/>
    </row>
    <row r="152" spans="1:25" x14ac:dyDescent="0.25">
      <c r="A152" s="8">
        <f t="shared" si="3"/>
        <v>141</v>
      </c>
      <c r="B152" s="109"/>
      <c r="C152" s="110"/>
      <c r="D152" s="107"/>
      <c r="E152" s="107"/>
      <c r="F152" s="108"/>
      <c r="G152" s="110"/>
      <c r="H152" s="110"/>
      <c r="I152" s="110"/>
      <c r="J152" s="110"/>
      <c r="K152" s="110"/>
      <c r="L152" s="110"/>
      <c r="M152" s="110"/>
      <c r="N152" s="72"/>
      <c r="O152" s="117"/>
      <c r="P152" s="125"/>
      <c r="V152" s="1"/>
      <c r="W152" s="1"/>
      <c r="X152" s="1"/>
      <c r="Y152" s="120"/>
    </row>
    <row r="153" spans="1:25" x14ac:dyDescent="0.25">
      <c r="A153" s="8">
        <f t="shared" si="3"/>
        <v>142</v>
      </c>
      <c r="B153" s="109"/>
      <c r="C153" s="110"/>
      <c r="D153" s="107"/>
      <c r="E153" s="107"/>
      <c r="F153" s="108"/>
      <c r="G153" s="110"/>
      <c r="H153" s="110"/>
      <c r="I153" s="110"/>
      <c r="J153" s="110"/>
      <c r="K153" s="110"/>
      <c r="L153" s="110"/>
      <c r="M153" s="110"/>
      <c r="N153" s="72"/>
      <c r="O153" s="117"/>
      <c r="P153" s="125"/>
      <c r="V153" s="1"/>
      <c r="W153" s="1"/>
      <c r="X153" s="1"/>
      <c r="Y153" s="120"/>
    </row>
    <row r="154" spans="1:25" x14ac:dyDescent="0.25">
      <c r="A154" s="8">
        <f t="shared" si="3"/>
        <v>143</v>
      </c>
      <c r="B154" s="109"/>
      <c r="C154" s="110"/>
      <c r="D154" s="107"/>
      <c r="E154" s="107"/>
      <c r="F154" s="108"/>
      <c r="G154" s="110"/>
      <c r="H154" s="110"/>
      <c r="I154" s="110"/>
      <c r="J154" s="110"/>
      <c r="K154" s="110"/>
      <c r="L154" s="110"/>
      <c r="M154" s="110"/>
      <c r="N154" s="72"/>
      <c r="O154" s="117"/>
      <c r="P154" s="125"/>
      <c r="V154" s="1"/>
      <c r="W154" s="1"/>
      <c r="X154" s="1"/>
      <c r="Y154" s="120"/>
    </row>
    <row r="155" spans="1:25" x14ac:dyDescent="0.25">
      <c r="A155" s="8">
        <f t="shared" si="3"/>
        <v>144</v>
      </c>
      <c r="B155" s="109"/>
      <c r="C155" s="110"/>
      <c r="D155" s="107"/>
      <c r="E155" s="107"/>
      <c r="F155" s="108"/>
      <c r="G155" s="110"/>
      <c r="H155" s="110"/>
      <c r="I155" s="110"/>
      <c r="J155" s="110"/>
      <c r="K155" s="110"/>
      <c r="L155" s="110"/>
      <c r="M155" s="110"/>
      <c r="N155" s="72"/>
      <c r="O155" s="117"/>
      <c r="P155" s="125"/>
      <c r="V155" s="1"/>
      <c r="W155" s="1"/>
      <c r="X155" s="1"/>
      <c r="Y155" s="120"/>
    </row>
    <row r="156" spans="1:25" x14ac:dyDescent="0.25">
      <c r="A156" s="8">
        <f t="shared" si="3"/>
        <v>145</v>
      </c>
      <c r="B156" s="109"/>
      <c r="C156" s="110"/>
      <c r="D156" s="107"/>
      <c r="E156" s="107"/>
      <c r="F156" s="108"/>
      <c r="G156" s="110"/>
      <c r="H156" s="110"/>
      <c r="I156" s="110"/>
      <c r="J156" s="110"/>
      <c r="K156" s="110"/>
      <c r="L156" s="110"/>
      <c r="M156" s="110"/>
      <c r="N156" s="72"/>
      <c r="O156" s="117"/>
      <c r="P156" s="125"/>
      <c r="V156" s="1"/>
      <c r="W156" s="1"/>
      <c r="X156" s="1"/>
      <c r="Y156" s="120"/>
    </row>
    <row r="157" spans="1:25" x14ac:dyDescent="0.25">
      <c r="A157" s="8">
        <f t="shared" si="3"/>
        <v>146</v>
      </c>
      <c r="B157" s="109"/>
      <c r="C157" s="110"/>
      <c r="D157" s="107"/>
      <c r="E157" s="107"/>
      <c r="F157" s="108"/>
      <c r="G157" s="110"/>
      <c r="H157" s="110"/>
      <c r="I157" s="110"/>
      <c r="J157" s="110"/>
      <c r="K157" s="110"/>
      <c r="L157" s="110"/>
      <c r="M157" s="110"/>
      <c r="N157" s="72"/>
      <c r="O157" s="117"/>
      <c r="P157" s="125"/>
      <c r="V157" s="1"/>
      <c r="W157" s="1"/>
      <c r="X157" s="1"/>
      <c r="Y157" s="120"/>
    </row>
    <row r="158" spans="1:25" x14ac:dyDescent="0.25">
      <c r="A158" s="8">
        <f t="shared" si="3"/>
        <v>147</v>
      </c>
      <c r="B158" s="109"/>
      <c r="C158" s="110"/>
      <c r="D158" s="107"/>
      <c r="E158" s="107"/>
      <c r="F158" s="108"/>
      <c r="G158" s="110"/>
      <c r="H158" s="110"/>
      <c r="I158" s="110"/>
      <c r="J158" s="110"/>
      <c r="K158" s="110"/>
      <c r="L158" s="110"/>
      <c r="M158" s="110"/>
      <c r="N158" s="72"/>
      <c r="O158" s="117"/>
      <c r="P158" s="125"/>
      <c r="V158" s="1"/>
      <c r="W158" s="1"/>
      <c r="X158" s="1"/>
      <c r="Y158" s="120"/>
    </row>
    <row r="159" spans="1:25" x14ac:dyDescent="0.25">
      <c r="A159" s="8">
        <f t="shared" si="3"/>
        <v>148</v>
      </c>
      <c r="B159" s="109"/>
      <c r="C159" s="110"/>
      <c r="D159" s="107"/>
      <c r="E159" s="107"/>
      <c r="F159" s="108"/>
      <c r="G159" s="110"/>
      <c r="H159" s="110"/>
      <c r="I159" s="110"/>
      <c r="J159" s="110"/>
      <c r="K159" s="110"/>
      <c r="L159" s="110"/>
      <c r="M159" s="110"/>
      <c r="N159" s="72"/>
      <c r="O159" s="117"/>
      <c r="P159" s="125"/>
      <c r="V159" s="1"/>
      <c r="W159" s="1"/>
      <c r="X159" s="1"/>
      <c r="Y159" s="120"/>
    </row>
    <row r="160" spans="1:25" x14ac:dyDescent="0.25">
      <c r="A160" s="8">
        <f t="shared" si="3"/>
        <v>149</v>
      </c>
      <c r="B160" s="109"/>
      <c r="C160" s="110"/>
      <c r="D160" s="107"/>
      <c r="E160" s="107"/>
      <c r="F160" s="108"/>
      <c r="G160" s="110"/>
      <c r="H160" s="110"/>
      <c r="I160" s="110"/>
      <c r="J160" s="110"/>
      <c r="K160" s="110"/>
      <c r="L160" s="110"/>
      <c r="M160" s="110"/>
      <c r="N160" s="72"/>
      <c r="O160" s="117"/>
      <c r="P160" s="125"/>
      <c r="V160" s="1"/>
      <c r="W160" s="1"/>
      <c r="X160" s="1"/>
      <c r="Y160" s="120"/>
    </row>
    <row r="161" spans="1:25" x14ac:dyDescent="0.25">
      <c r="A161" s="8">
        <f t="shared" si="3"/>
        <v>150</v>
      </c>
      <c r="B161" s="109"/>
      <c r="C161" s="110"/>
      <c r="D161" s="107"/>
      <c r="E161" s="107"/>
      <c r="F161" s="108"/>
      <c r="G161" s="110"/>
      <c r="H161" s="110"/>
      <c r="I161" s="110"/>
      <c r="J161" s="110"/>
      <c r="K161" s="110"/>
      <c r="L161" s="110"/>
      <c r="M161" s="110"/>
      <c r="N161" s="72"/>
      <c r="O161" s="117"/>
      <c r="P161" s="125"/>
      <c r="V161" s="1"/>
      <c r="W161" s="1"/>
      <c r="X161" s="1"/>
      <c r="Y161" s="120"/>
    </row>
    <row r="162" spans="1:25" x14ac:dyDescent="0.25">
      <c r="A162" s="8">
        <f t="shared" si="3"/>
        <v>151</v>
      </c>
      <c r="B162" s="109"/>
      <c r="C162" s="110"/>
      <c r="D162" s="107"/>
      <c r="E162" s="107"/>
      <c r="F162" s="108"/>
      <c r="G162" s="110"/>
      <c r="H162" s="110"/>
      <c r="I162" s="110"/>
      <c r="J162" s="110"/>
      <c r="K162" s="110"/>
      <c r="L162" s="110"/>
      <c r="M162" s="110"/>
      <c r="N162" s="72"/>
      <c r="O162" s="117"/>
      <c r="P162" s="125"/>
      <c r="V162" s="1"/>
      <c r="W162" s="1"/>
      <c r="X162" s="1"/>
      <c r="Y162" s="120"/>
    </row>
    <row r="163" spans="1:25" x14ac:dyDescent="0.25">
      <c r="A163" s="8">
        <f t="shared" si="3"/>
        <v>152</v>
      </c>
      <c r="B163" s="109"/>
      <c r="C163" s="110"/>
      <c r="D163" s="107"/>
      <c r="E163" s="107"/>
      <c r="F163" s="108"/>
      <c r="G163" s="110"/>
      <c r="H163" s="110"/>
      <c r="I163" s="110"/>
      <c r="J163" s="110"/>
      <c r="K163" s="110"/>
      <c r="L163" s="110"/>
      <c r="M163" s="110"/>
      <c r="N163" s="72"/>
      <c r="O163" s="117"/>
      <c r="P163" s="125"/>
      <c r="V163" s="1"/>
      <c r="W163" s="1"/>
      <c r="X163" s="1"/>
      <c r="Y163" s="120"/>
    </row>
    <row r="164" spans="1:25" x14ac:dyDescent="0.25">
      <c r="A164" s="8">
        <f t="shared" si="3"/>
        <v>153</v>
      </c>
      <c r="B164" s="109"/>
      <c r="C164" s="110"/>
      <c r="D164" s="107"/>
      <c r="E164" s="107"/>
      <c r="F164" s="108"/>
      <c r="G164" s="110"/>
      <c r="H164" s="110"/>
      <c r="I164" s="110"/>
      <c r="J164" s="110"/>
      <c r="K164" s="110"/>
      <c r="L164" s="110"/>
      <c r="M164" s="110"/>
      <c r="N164" s="72"/>
      <c r="O164" s="117"/>
      <c r="P164" s="125"/>
      <c r="V164" s="1"/>
      <c r="W164" s="1"/>
      <c r="X164" s="1"/>
      <c r="Y164" s="120"/>
    </row>
    <row r="165" spans="1:25" x14ac:dyDescent="0.25">
      <c r="A165" s="8">
        <f t="shared" si="3"/>
        <v>154</v>
      </c>
      <c r="B165" s="109"/>
      <c r="C165" s="110"/>
      <c r="D165" s="107"/>
      <c r="E165" s="107"/>
      <c r="F165" s="108"/>
      <c r="G165" s="110"/>
      <c r="H165" s="110"/>
      <c r="I165" s="110"/>
      <c r="J165" s="110"/>
      <c r="K165" s="110"/>
      <c r="L165" s="110"/>
      <c r="M165" s="110"/>
      <c r="N165" s="72"/>
      <c r="O165" s="117"/>
      <c r="P165" s="125"/>
      <c r="V165" s="1"/>
      <c r="W165" s="1"/>
      <c r="X165" s="1"/>
      <c r="Y165" s="120"/>
    </row>
    <row r="166" spans="1:25" x14ac:dyDescent="0.25">
      <c r="A166" s="8">
        <f t="shared" si="3"/>
        <v>155</v>
      </c>
      <c r="B166" s="109"/>
      <c r="C166" s="110"/>
      <c r="D166" s="107"/>
      <c r="E166" s="107"/>
      <c r="F166" s="108"/>
      <c r="G166" s="110"/>
      <c r="H166" s="110"/>
      <c r="I166" s="110"/>
      <c r="J166" s="110"/>
      <c r="K166" s="110"/>
      <c r="L166" s="110"/>
      <c r="M166" s="110"/>
      <c r="N166" s="72"/>
      <c r="O166" s="117"/>
      <c r="P166" s="125"/>
      <c r="V166" s="1"/>
      <c r="W166" s="1"/>
      <c r="X166" s="1"/>
      <c r="Y166" s="120"/>
    </row>
    <row r="167" spans="1:25" x14ac:dyDescent="0.25">
      <c r="A167" s="8">
        <f t="shared" si="3"/>
        <v>156</v>
      </c>
      <c r="B167" s="109"/>
      <c r="C167" s="110"/>
      <c r="D167" s="107"/>
      <c r="E167" s="107"/>
      <c r="F167" s="108"/>
      <c r="G167" s="110"/>
      <c r="H167" s="110"/>
      <c r="I167" s="110"/>
      <c r="J167" s="110"/>
      <c r="K167" s="110"/>
      <c r="L167" s="110"/>
      <c r="M167" s="110"/>
      <c r="N167" s="72"/>
      <c r="O167" s="117"/>
      <c r="P167" s="125"/>
      <c r="V167" s="1"/>
      <c r="W167" s="1"/>
      <c r="X167" s="1"/>
      <c r="Y167" s="120"/>
    </row>
    <row r="168" spans="1:25" x14ac:dyDescent="0.25">
      <c r="A168" s="8">
        <f t="shared" si="3"/>
        <v>157</v>
      </c>
      <c r="B168" s="109"/>
      <c r="C168" s="110"/>
      <c r="D168" s="107"/>
      <c r="E168" s="107"/>
      <c r="F168" s="108"/>
      <c r="G168" s="110"/>
      <c r="H168" s="110"/>
      <c r="I168" s="110"/>
      <c r="J168" s="110"/>
      <c r="K168" s="110"/>
      <c r="L168" s="110"/>
      <c r="M168" s="110"/>
      <c r="N168" s="72"/>
      <c r="O168" s="117"/>
      <c r="P168" s="125"/>
      <c r="V168" s="1"/>
      <c r="W168" s="1"/>
      <c r="X168" s="1"/>
      <c r="Y168" s="120"/>
    </row>
    <row r="169" spans="1:25" x14ac:dyDescent="0.25">
      <c r="A169" s="8">
        <f t="shared" si="3"/>
        <v>158</v>
      </c>
      <c r="B169" s="109"/>
      <c r="C169" s="110"/>
      <c r="D169" s="107"/>
      <c r="E169" s="107"/>
      <c r="F169" s="108"/>
      <c r="G169" s="110"/>
      <c r="H169" s="110"/>
      <c r="I169" s="110"/>
      <c r="J169" s="110"/>
      <c r="K169" s="110"/>
      <c r="L169" s="110"/>
      <c r="M169" s="110"/>
      <c r="N169" s="72"/>
      <c r="O169" s="117"/>
      <c r="P169" s="125"/>
      <c r="V169" s="1"/>
      <c r="W169" s="1"/>
      <c r="X169" s="1"/>
      <c r="Y169" s="120"/>
    </row>
    <row r="170" spans="1:25" x14ac:dyDescent="0.25">
      <c r="A170" s="8">
        <f t="shared" si="3"/>
        <v>159</v>
      </c>
      <c r="B170" s="109"/>
      <c r="C170" s="110"/>
      <c r="D170" s="107"/>
      <c r="E170" s="107"/>
      <c r="F170" s="108"/>
      <c r="G170" s="110"/>
      <c r="H170" s="110"/>
      <c r="I170" s="110"/>
      <c r="J170" s="110"/>
      <c r="K170" s="110"/>
      <c r="L170" s="110"/>
      <c r="M170" s="110"/>
      <c r="N170" s="72"/>
      <c r="O170" s="117"/>
      <c r="P170" s="125"/>
      <c r="V170" s="1"/>
      <c r="W170" s="1"/>
      <c r="X170" s="1"/>
      <c r="Y170" s="120"/>
    </row>
    <row r="171" spans="1:25" x14ac:dyDescent="0.25">
      <c r="A171" s="8">
        <f t="shared" si="3"/>
        <v>160</v>
      </c>
      <c r="B171" s="109"/>
      <c r="C171" s="110"/>
      <c r="D171" s="107"/>
      <c r="E171" s="107"/>
      <c r="F171" s="108"/>
      <c r="G171" s="110"/>
      <c r="H171" s="110"/>
      <c r="I171" s="110"/>
      <c r="J171" s="110"/>
      <c r="K171" s="110"/>
      <c r="L171" s="110"/>
      <c r="M171" s="110"/>
      <c r="N171" s="72"/>
      <c r="O171" s="117"/>
      <c r="P171" s="125"/>
      <c r="V171" s="1"/>
      <c r="W171" s="1"/>
      <c r="X171" s="1"/>
      <c r="Y171" s="120"/>
    </row>
    <row r="172" spans="1:25" x14ac:dyDescent="0.25">
      <c r="A172" s="8">
        <f t="shared" si="3"/>
        <v>161</v>
      </c>
      <c r="B172" s="109"/>
      <c r="C172" s="110"/>
      <c r="D172" s="107"/>
      <c r="E172" s="107"/>
      <c r="F172" s="108"/>
      <c r="G172" s="110"/>
      <c r="H172" s="110"/>
      <c r="I172" s="110"/>
      <c r="J172" s="110"/>
      <c r="K172" s="110"/>
      <c r="L172" s="110"/>
      <c r="M172" s="110"/>
      <c r="N172" s="72"/>
      <c r="O172" s="117"/>
      <c r="P172" s="125"/>
      <c r="V172" s="1"/>
      <c r="W172" s="1"/>
      <c r="X172" s="1"/>
      <c r="Y172" s="120"/>
    </row>
    <row r="173" spans="1:25" x14ac:dyDescent="0.25">
      <c r="A173" s="8">
        <f t="shared" si="3"/>
        <v>162</v>
      </c>
      <c r="B173" s="109"/>
      <c r="C173" s="110"/>
      <c r="D173" s="107"/>
      <c r="E173" s="107"/>
      <c r="F173" s="108"/>
      <c r="G173" s="110"/>
      <c r="H173" s="110"/>
      <c r="I173" s="110"/>
      <c r="J173" s="110"/>
      <c r="K173" s="110"/>
      <c r="L173" s="110"/>
      <c r="M173" s="110"/>
      <c r="N173" s="72"/>
      <c r="O173" s="117"/>
      <c r="P173" s="125"/>
      <c r="V173" s="1"/>
      <c r="W173" s="1"/>
      <c r="X173" s="1"/>
      <c r="Y173" s="120"/>
    </row>
    <row r="174" spans="1:25" x14ac:dyDescent="0.25">
      <c r="A174" s="8">
        <f t="shared" si="3"/>
        <v>163</v>
      </c>
      <c r="B174" s="109"/>
      <c r="C174" s="110"/>
      <c r="D174" s="107"/>
      <c r="E174" s="107"/>
      <c r="F174" s="108"/>
      <c r="G174" s="110"/>
      <c r="H174" s="110"/>
      <c r="I174" s="110"/>
      <c r="J174" s="110"/>
      <c r="K174" s="110"/>
      <c r="L174" s="110"/>
      <c r="M174" s="110"/>
      <c r="N174" s="72"/>
      <c r="O174" s="117"/>
      <c r="P174" s="125"/>
      <c r="V174" s="1"/>
      <c r="W174" s="1"/>
      <c r="X174" s="1"/>
      <c r="Y174" s="120"/>
    </row>
    <row r="175" spans="1:25" x14ac:dyDescent="0.25">
      <c r="A175" s="8">
        <f t="shared" si="3"/>
        <v>164</v>
      </c>
      <c r="B175" s="109"/>
      <c r="C175" s="110"/>
      <c r="D175" s="107"/>
      <c r="E175" s="107"/>
      <c r="F175" s="108"/>
      <c r="G175" s="110"/>
      <c r="H175" s="110"/>
      <c r="I175" s="110"/>
      <c r="J175" s="110"/>
      <c r="K175" s="110"/>
      <c r="L175" s="110"/>
      <c r="M175" s="110"/>
      <c r="N175" s="72"/>
      <c r="O175" s="117"/>
      <c r="P175" s="125"/>
      <c r="V175" s="1"/>
      <c r="W175" s="1"/>
      <c r="X175" s="1"/>
      <c r="Y175" s="120"/>
    </row>
    <row r="176" spans="1:25" x14ac:dyDescent="0.25">
      <c r="A176" s="8">
        <f t="shared" si="3"/>
        <v>165</v>
      </c>
      <c r="B176" s="109"/>
      <c r="C176" s="110"/>
      <c r="D176" s="107"/>
      <c r="E176" s="107"/>
      <c r="F176" s="108"/>
      <c r="G176" s="110"/>
      <c r="H176" s="110"/>
      <c r="I176" s="110"/>
      <c r="J176" s="110"/>
      <c r="K176" s="110"/>
      <c r="L176" s="110"/>
      <c r="M176" s="110"/>
      <c r="N176" s="72"/>
      <c r="O176" s="117"/>
      <c r="P176" s="125"/>
      <c r="V176" s="1"/>
      <c r="W176" s="1"/>
      <c r="X176" s="1"/>
      <c r="Y176" s="120"/>
    </row>
    <row r="177" spans="1:25" x14ac:dyDescent="0.25">
      <c r="A177" s="8">
        <f t="shared" si="3"/>
        <v>166</v>
      </c>
      <c r="B177" s="109"/>
      <c r="C177" s="110"/>
      <c r="D177" s="107"/>
      <c r="E177" s="107"/>
      <c r="F177" s="108"/>
      <c r="G177" s="110"/>
      <c r="H177" s="110"/>
      <c r="I177" s="110"/>
      <c r="J177" s="110"/>
      <c r="K177" s="110"/>
      <c r="L177" s="110"/>
      <c r="M177" s="110"/>
      <c r="N177" s="72"/>
      <c r="O177" s="117"/>
      <c r="P177" s="125"/>
      <c r="V177" s="1"/>
      <c r="W177" s="1"/>
      <c r="X177" s="1"/>
      <c r="Y177" s="120"/>
    </row>
    <row r="178" spans="1:25" x14ac:dyDescent="0.25">
      <c r="A178" s="8">
        <f t="shared" si="3"/>
        <v>167</v>
      </c>
      <c r="B178" s="109"/>
      <c r="C178" s="110"/>
      <c r="D178" s="107"/>
      <c r="E178" s="107"/>
      <c r="F178" s="108"/>
      <c r="G178" s="110"/>
      <c r="H178" s="110"/>
      <c r="I178" s="110"/>
      <c r="J178" s="110"/>
      <c r="K178" s="110"/>
      <c r="L178" s="110"/>
      <c r="M178" s="110"/>
      <c r="N178" s="72"/>
      <c r="O178" s="117"/>
      <c r="P178" s="125"/>
      <c r="V178" s="1"/>
      <c r="W178" s="1"/>
      <c r="X178" s="1"/>
      <c r="Y178" s="120"/>
    </row>
    <row r="179" spans="1:25" x14ac:dyDescent="0.25">
      <c r="A179" s="8">
        <f t="shared" si="3"/>
        <v>168</v>
      </c>
      <c r="B179" s="109"/>
      <c r="C179" s="110"/>
      <c r="D179" s="107"/>
      <c r="E179" s="107"/>
      <c r="F179" s="108"/>
      <c r="G179" s="110"/>
      <c r="H179" s="110"/>
      <c r="I179" s="110"/>
      <c r="J179" s="110"/>
      <c r="K179" s="110"/>
      <c r="L179" s="110"/>
      <c r="M179" s="110"/>
      <c r="N179" s="72"/>
      <c r="O179" s="117"/>
      <c r="P179" s="125"/>
      <c r="V179" s="1"/>
      <c r="W179" s="1"/>
      <c r="X179" s="1"/>
      <c r="Y179" s="120"/>
    </row>
    <row r="180" spans="1:25" x14ac:dyDescent="0.25">
      <c r="A180" s="8">
        <f t="shared" si="3"/>
        <v>169</v>
      </c>
      <c r="B180" s="109"/>
      <c r="C180" s="110"/>
      <c r="D180" s="107"/>
      <c r="E180" s="107"/>
      <c r="F180" s="108"/>
      <c r="G180" s="110"/>
      <c r="H180" s="110"/>
      <c r="I180" s="110"/>
      <c r="J180" s="110"/>
      <c r="K180" s="110"/>
      <c r="L180" s="110"/>
      <c r="M180" s="110"/>
      <c r="N180" s="72"/>
      <c r="O180" s="117"/>
      <c r="P180" s="125"/>
      <c r="V180" s="1"/>
      <c r="W180" s="1"/>
      <c r="X180" s="1"/>
      <c r="Y180" s="120"/>
    </row>
    <row r="181" spans="1:25" x14ac:dyDescent="0.25">
      <c r="A181" s="8">
        <f t="shared" si="3"/>
        <v>170</v>
      </c>
      <c r="B181" s="109"/>
      <c r="C181" s="110"/>
      <c r="D181" s="107"/>
      <c r="E181" s="107"/>
      <c r="F181" s="108"/>
      <c r="G181" s="110"/>
      <c r="H181" s="110"/>
      <c r="I181" s="110"/>
      <c r="J181" s="110"/>
      <c r="K181" s="110"/>
      <c r="L181" s="110"/>
      <c r="M181" s="110"/>
      <c r="N181" s="72"/>
      <c r="O181" s="117"/>
      <c r="P181" s="125"/>
      <c r="V181" s="1"/>
      <c r="W181" s="1"/>
      <c r="X181" s="1"/>
      <c r="Y181" s="120"/>
    </row>
    <row r="182" spans="1:25" x14ac:dyDescent="0.25">
      <c r="A182" s="8">
        <f t="shared" si="3"/>
        <v>171</v>
      </c>
      <c r="B182" s="109"/>
      <c r="C182" s="110"/>
      <c r="D182" s="107"/>
      <c r="E182" s="107"/>
      <c r="F182" s="108"/>
      <c r="G182" s="110"/>
      <c r="H182" s="110"/>
      <c r="I182" s="110"/>
      <c r="J182" s="110"/>
      <c r="K182" s="110"/>
      <c r="L182" s="110"/>
      <c r="M182" s="110"/>
      <c r="N182" s="72"/>
      <c r="O182" s="117"/>
      <c r="P182" s="125"/>
      <c r="V182" s="1"/>
      <c r="W182" s="1"/>
      <c r="X182" s="1"/>
      <c r="Y182" s="120"/>
    </row>
    <row r="183" spans="1:25" x14ac:dyDescent="0.25">
      <c r="A183" s="8">
        <f t="shared" si="3"/>
        <v>172</v>
      </c>
      <c r="B183" s="109"/>
      <c r="C183" s="110"/>
      <c r="D183" s="107"/>
      <c r="E183" s="107"/>
      <c r="F183" s="108"/>
      <c r="G183" s="110"/>
      <c r="H183" s="110"/>
      <c r="I183" s="110"/>
      <c r="J183" s="110"/>
      <c r="K183" s="110"/>
      <c r="L183" s="110"/>
      <c r="M183" s="110"/>
      <c r="N183" s="72"/>
      <c r="O183" s="117"/>
      <c r="P183" s="125"/>
      <c r="V183" s="1"/>
      <c r="W183" s="1"/>
      <c r="X183" s="1"/>
      <c r="Y183" s="120"/>
    </row>
    <row r="184" spans="1:25" x14ac:dyDescent="0.25">
      <c r="A184" s="8">
        <f t="shared" si="3"/>
        <v>173</v>
      </c>
      <c r="B184" s="109"/>
      <c r="C184" s="110"/>
      <c r="D184" s="107"/>
      <c r="E184" s="107"/>
      <c r="F184" s="108"/>
      <c r="G184" s="110"/>
      <c r="H184" s="110"/>
      <c r="I184" s="110"/>
      <c r="J184" s="110"/>
      <c r="K184" s="110"/>
      <c r="L184" s="110"/>
      <c r="M184" s="110"/>
      <c r="N184" s="72"/>
      <c r="O184" s="117"/>
      <c r="P184" s="125"/>
      <c r="V184" s="1"/>
      <c r="W184" s="1"/>
      <c r="X184" s="1"/>
      <c r="Y184" s="120"/>
    </row>
    <row r="185" spans="1:25" x14ac:dyDescent="0.25">
      <c r="A185" s="8">
        <f t="shared" si="3"/>
        <v>174</v>
      </c>
      <c r="B185" s="109"/>
      <c r="C185" s="110"/>
      <c r="D185" s="107"/>
      <c r="E185" s="107"/>
      <c r="F185" s="108"/>
      <c r="G185" s="110"/>
      <c r="H185" s="110"/>
      <c r="I185" s="110"/>
      <c r="J185" s="110"/>
      <c r="K185" s="110"/>
      <c r="L185" s="110"/>
      <c r="M185" s="110"/>
      <c r="N185" s="72"/>
      <c r="O185" s="117"/>
      <c r="P185" s="125"/>
      <c r="V185" s="1"/>
      <c r="W185" s="1"/>
      <c r="X185" s="1"/>
      <c r="Y185" s="120"/>
    </row>
    <row r="186" spans="1:25" x14ac:dyDescent="0.25">
      <c r="A186" s="8">
        <f t="shared" si="3"/>
        <v>175</v>
      </c>
      <c r="B186" s="109"/>
      <c r="C186" s="110"/>
      <c r="D186" s="107"/>
      <c r="E186" s="107"/>
      <c r="F186" s="108"/>
      <c r="G186" s="110"/>
      <c r="H186" s="110"/>
      <c r="I186" s="110"/>
      <c r="J186" s="110"/>
      <c r="K186" s="110"/>
      <c r="L186" s="110"/>
      <c r="M186" s="110"/>
      <c r="N186" s="72"/>
      <c r="O186" s="117"/>
      <c r="P186" s="125"/>
      <c r="V186" s="1"/>
      <c r="W186" s="1"/>
      <c r="X186" s="1"/>
      <c r="Y186" s="120"/>
    </row>
    <row r="187" spans="1:25" x14ac:dyDescent="0.25">
      <c r="A187" s="8">
        <f t="shared" si="3"/>
        <v>176</v>
      </c>
      <c r="B187" s="109"/>
      <c r="C187" s="110"/>
      <c r="D187" s="107"/>
      <c r="E187" s="107"/>
      <c r="F187" s="108"/>
      <c r="G187" s="110"/>
      <c r="H187" s="110"/>
      <c r="I187" s="110"/>
      <c r="J187" s="110"/>
      <c r="K187" s="110"/>
      <c r="L187" s="110"/>
      <c r="M187" s="110"/>
      <c r="N187" s="72"/>
      <c r="O187" s="117"/>
      <c r="P187" s="125"/>
      <c r="V187" s="1"/>
      <c r="W187" s="1"/>
      <c r="X187" s="1"/>
      <c r="Y187" s="120"/>
    </row>
    <row r="188" spans="1:25" x14ac:dyDescent="0.25">
      <c r="A188" s="8">
        <f t="shared" si="3"/>
        <v>177</v>
      </c>
      <c r="B188" s="109"/>
      <c r="C188" s="110"/>
      <c r="D188" s="107"/>
      <c r="E188" s="107"/>
      <c r="F188" s="108"/>
      <c r="G188" s="110"/>
      <c r="H188" s="110"/>
      <c r="I188" s="110"/>
      <c r="J188" s="110"/>
      <c r="K188" s="110"/>
      <c r="L188" s="110"/>
      <c r="M188" s="110"/>
      <c r="N188" s="72"/>
      <c r="O188" s="117"/>
      <c r="P188" s="125"/>
      <c r="V188" s="1"/>
      <c r="W188" s="1"/>
      <c r="X188" s="1"/>
      <c r="Y188" s="120"/>
    </row>
    <row r="189" spans="1:25" x14ac:dyDescent="0.25">
      <c r="A189" s="8">
        <f t="shared" si="3"/>
        <v>178</v>
      </c>
      <c r="B189" s="109"/>
      <c r="C189" s="110"/>
      <c r="D189" s="107"/>
      <c r="E189" s="107"/>
      <c r="F189" s="108"/>
      <c r="G189" s="110"/>
      <c r="H189" s="110"/>
      <c r="I189" s="110"/>
      <c r="J189" s="110"/>
      <c r="K189" s="110"/>
      <c r="L189" s="110"/>
      <c r="M189" s="110"/>
      <c r="N189" s="72"/>
      <c r="O189" s="117"/>
      <c r="P189" s="125"/>
      <c r="V189" s="1"/>
      <c r="W189" s="1"/>
      <c r="X189" s="1"/>
      <c r="Y189" s="120"/>
    </row>
    <row r="190" spans="1:25" x14ac:dyDescent="0.25">
      <c r="A190" s="8">
        <f t="shared" si="3"/>
        <v>179</v>
      </c>
      <c r="B190" s="109"/>
      <c r="C190" s="110"/>
      <c r="D190" s="107"/>
      <c r="E190" s="107"/>
      <c r="F190" s="108"/>
      <c r="G190" s="110"/>
      <c r="H190" s="110"/>
      <c r="I190" s="110"/>
      <c r="J190" s="110"/>
      <c r="K190" s="110"/>
      <c r="L190" s="110"/>
      <c r="M190" s="110"/>
      <c r="N190" s="72"/>
      <c r="O190" s="117"/>
      <c r="P190" s="125"/>
      <c r="V190" s="1"/>
      <c r="W190" s="1"/>
      <c r="X190" s="1"/>
      <c r="Y190" s="120"/>
    </row>
    <row r="191" spans="1:25" x14ac:dyDescent="0.25">
      <c r="A191" s="8">
        <f t="shared" si="3"/>
        <v>180</v>
      </c>
      <c r="B191" s="109"/>
      <c r="C191" s="110"/>
      <c r="D191" s="107"/>
      <c r="E191" s="107"/>
      <c r="F191" s="108"/>
      <c r="G191" s="110"/>
      <c r="H191" s="110"/>
      <c r="I191" s="110"/>
      <c r="J191" s="110"/>
      <c r="K191" s="110"/>
      <c r="L191" s="110"/>
      <c r="M191" s="110"/>
      <c r="N191" s="72"/>
      <c r="O191" s="117"/>
      <c r="P191" s="125"/>
      <c r="V191" s="1"/>
      <c r="W191" s="1"/>
      <c r="X191" s="1"/>
      <c r="Y191" s="120"/>
    </row>
    <row r="192" spans="1:25" x14ac:dyDescent="0.25">
      <c r="A192" s="8">
        <f t="shared" si="3"/>
        <v>181</v>
      </c>
      <c r="B192" s="109"/>
      <c r="C192" s="110"/>
      <c r="D192" s="107"/>
      <c r="E192" s="107"/>
      <c r="F192" s="108"/>
      <c r="G192" s="110"/>
      <c r="H192" s="110"/>
      <c r="I192" s="110"/>
      <c r="J192" s="110"/>
      <c r="K192" s="110"/>
      <c r="L192" s="110"/>
      <c r="M192" s="110"/>
      <c r="N192" s="72"/>
      <c r="O192" s="117"/>
      <c r="P192" s="125"/>
      <c r="V192" s="1"/>
      <c r="W192" s="1"/>
      <c r="X192" s="1"/>
      <c r="Y192" s="120"/>
    </row>
    <row r="193" spans="1:25" x14ac:dyDescent="0.25">
      <c r="A193" s="8">
        <f t="shared" si="3"/>
        <v>182</v>
      </c>
      <c r="B193" s="109"/>
      <c r="C193" s="110"/>
      <c r="D193" s="107"/>
      <c r="E193" s="107"/>
      <c r="F193" s="108"/>
      <c r="G193" s="110"/>
      <c r="H193" s="110"/>
      <c r="I193" s="110"/>
      <c r="J193" s="110"/>
      <c r="K193" s="110"/>
      <c r="L193" s="110"/>
      <c r="M193" s="110"/>
      <c r="N193" s="72"/>
      <c r="O193" s="117"/>
      <c r="P193" s="125"/>
      <c r="V193" s="1"/>
      <c r="W193" s="1"/>
      <c r="X193" s="1"/>
      <c r="Y193" s="120"/>
    </row>
    <row r="194" spans="1:25" x14ac:dyDescent="0.25">
      <c r="A194" s="8">
        <f t="shared" si="3"/>
        <v>183</v>
      </c>
      <c r="B194" s="109"/>
      <c r="C194" s="110"/>
      <c r="D194" s="107"/>
      <c r="E194" s="107"/>
      <c r="F194" s="108"/>
      <c r="G194" s="110"/>
      <c r="H194" s="110"/>
      <c r="I194" s="110"/>
      <c r="J194" s="110"/>
      <c r="K194" s="110"/>
      <c r="L194" s="110"/>
      <c r="M194" s="110"/>
      <c r="N194" s="72"/>
      <c r="O194" s="117"/>
      <c r="P194" s="125"/>
      <c r="V194" s="1"/>
      <c r="W194" s="1"/>
      <c r="X194" s="1"/>
      <c r="Y194" s="120"/>
    </row>
    <row r="195" spans="1:25" x14ac:dyDescent="0.25">
      <c r="A195" s="8">
        <f t="shared" si="3"/>
        <v>184</v>
      </c>
      <c r="B195" s="109"/>
      <c r="C195" s="110"/>
      <c r="D195" s="107"/>
      <c r="E195" s="107"/>
      <c r="F195" s="108"/>
      <c r="G195" s="110"/>
      <c r="H195" s="110"/>
      <c r="I195" s="110"/>
      <c r="J195" s="110"/>
      <c r="K195" s="110"/>
      <c r="L195" s="110"/>
      <c r="M195" s="110"/>
      <c r="N195" s="72"/>
      <c r="O195" s="117"/>
      <c r="P195" s="125"/>
      <c r="V195" s="1"/>
      <c r="W195" s="1"/>
      <c r="X195" s="1"/>
      <c r="Y195" s="120"/>
    </row>
    <row r="196" spans="1:25" x14ac:dyDescent="0.25">
      <c r="A196" s="8">
        <f t="shared" si="3"/>
        <v>185</v>
      </c>
      <c r="B196" s="109"/>
      <c r="C196" s="110"/>
      <c r="D196" s="107"/>
      <c r="E196" s="107"/>
      <c r="F196" s="108"/>
      <c r="G196" s="110"/>
      <c r="H196" s="110"/>
      <c r="I196" s="110"/>
      <c r="J196" s="110"/>
      <c r="K196" s="110"/>
      <c r="L196" s="110"/>
      <c r="M196" s="110"/>
      <c r="N196" s="72"/>
      <c r="O196" s="117"/>
      <c r="P196" s="125"/>
      <c r="V196" s="1"/>
      <c r="W196" s="1"/>
      <c r="X196" s="1"/>
      <c r="Y196" s="120"/>
    </row>
    <row r="197" spans="1:25" x14ac:dyDescent="0.25">
      <c r="A197" s="8">
        <f t="shared" si="3"/>
        <v>186</v>
      </c>
      <c r="B197" s="109"/>
      <c r="C197" s="110"/>
      <c r="D197" s="107"/>
      <c r="E197" s="107"/>
      <c r="F197" s="108"/>
      <c r="G197" s="110"/>
      <c r="H197" s="110"/>
      <c r="I197" s="110"/>
      <c r="J197" s="110"/>
      <c r="K197" s="110"/>
      <c r="L197" s="110"/>
      <c r="M197" s="110"/>
      <c r="N197" s="72"/>
      <c r="O197" s="117"/>
      <c r="P197" s="125"/>
      <c r="V197" s="1"/>
      <c r="W197" s="1"/>
      <c r="X197" s="1"/>
      <c r="Y197" s="120"/>
    </row>
    <row r="198" spans="1:25" x14ac:dyDescent="0.25">
      <c r="A198" s="8">
        <f t="shared" si="3"/>
        <v>187</v>
      </c>
      <c r="B198" s="109"/>
      <c r="C198" s="110"/>
      <c r="D198" s="107"/>
      <c r="E198" s="107"/>
      <c r="F198" s="108"/>
      <c r="G198" s="110"/>
      <c r="H198" s="110"/>
      <c r="I198" s="110"/>
      <c r="J198" s="110"/>
      <c r="K198" s="110"/>
      <c r="L198" s="110"/>
      <c r="M198" s="110"/>
      <c r="N198" s="72"/>
      <c r="O198" s="117"/>
      <c r="P198" s="125"/>
      <c r="V198" s="1"/>
      <c r="W198" s="1"/>
      <c r="X198" s="1"/>
      <c r="Y198" s="120"/>
    </row>
    <row r="199" spans="1:25" x14ac:dyDescent="0.25">
      <c r="A199" s="8">
        <f t="shared" si="3"/>
        <v>188</v>
      </c>
      <c r="B199" s="109"/>
      <c r="C199" s="110"/>
      <c r="D199" s="107"/>
      <c r="E199" s="107"/>
      <c r="F199" s="108"/>
      <c r="G199" s="110"/>
      <c r="H199" s="110"/>
      <c r="I199" s="110"/>
      <c r="J199" s="110"/>
      <c r="K199" s="110"/>
      <c r="L199" s="110"/>
      <c r="M199" s="110"/>
      <c r="N199" s="72"/>
      <c r="O199" s="117"/>
      <c r="P199" s="125"/>
      <c r="V199" s="1"/>
      <c r="W199" s="1"/>
      <c r="X199" s="1"/>
      <c r="Y199" s="120"/>
    </row>
    <row r="200" spans="1:25" x14ac:dyDescent="0.25">
      <c r="A200" s="8">
        <f t="shared" si="3"/>
        <v>189</v>
      </c>
      <c r="B200" s="109"/>
      <c r="C200" s="110"/>
      <c r="D200" s="107"/>
      <c r="E200" s="107"/>
      <c r="F200" s="108"/>
      <c r="G200" s="110"/>
      <c r="H200" s="110"/>
      <c r="I200" s="110"/>
      <c r="J200" s="110"/>
      <c r="K200" s="110"/>
      <c r="L200" s="110"/>
      <c r="M200" s="110"/>
      <c r="N200" s="72"/>
      <c r="O200" s="117"/>
      <c r="P200" s="125"/>
      <c r="V200" s="1"/>
      <c r="W200" s="1"/>
      <c r="X200" s="1"/>
      <c r="Y200" s="120"/>
    </row>
    <row r="201" spans="1:25" x14ac:dyDescent="0.25">
      <c r="A201" s="8">
        <f t="shared" si="3"/>
        <v>190</v>
      </c>
      <c r="B201" s="109"/>
      <c r="C201" s="110"/>
      <c r="D201" s="107"/>
      <c r="E201" s="107"/>
      <c r="F201" s="108"/>
      <c r="G201" s="110"/>
      <c r="H201" s="110"/>
      <c r="I201" s="110"/>
      <c r="J201" s="110"/>
      <c r="K201" s="110"/>
      <c r="L201" s="110"/>
      <c r="M201" s="110"/>
      <c r="N201" s="72"/>
      <c r="O201" s="117"/>
      <c r="P201" s="125"/>
      <c r="V201" s="1"/>
      <c r="W201" s="1"/>
      <c r="X201" s="1"/>
      <c r="Y201" s="120"/>
    </row>
    <row r="202" spans="1:25" x14ac:dyDescent="0.25">
      <c r="A202" s="8">
        <f t="shared" si="3"/>
        <v>191</v>
      </c>
      <c r="B202" s="109"/>
      <c r="C202" s="110"/>
      <c r="D202" s="107"/>
      <c r="E202" s="107"/>
      <c r="F202" s="108"/>
      <c r="G202" s="110"/>
      <c r="H202" s="110"/>
      <c r="I202" s="110"/>
      <c r="J202" s="110"/>
      <c r="K202" s="110"/>
      <c r="L202" s="110"/>
      <c r="M202" s="110"/>
      <c r="N202" s="72"/>
      <c r="O202" s="117"/>
      <c r="P202" s="125"/>
      <c r="V202" s="1"/>
      <c r="W202" s="1"/>
      <c r="X202" s="1"/>
      <c r="Y202" s="120"/>
    </row>
    <row r="203" spans="1:25" x14ac:dyDescent="0.25">
      <c r="A203" s="8">
        <f t="shared" si="3"/>
        <v>192</v>
      </c>
      <c r="B203" s="109"/>
      <c r="C203" s="110"/>
      <c r="D203" s="107"/>
      <c r="E203" s="107"/>
      <c r="F203" s="108"/>
      <c r="G203" s="110"/>
      <c r="H203" s="110"/>
      <c r="I203" s="110"/>
      <c r="J203" s="110"/>
      <c r="K203" s="110"/>
      <c r="L203" s="110"/>
      <c r="M203" s="110"/>
      <c r="N203" s="72"/>
      <c r="O203" s="117"/>
      <c r="P203" s="125"/>
      <c r="V203" s="1"/>
      <c r="W203" s="1"/>
      <c r="X203" s="1"/>
      <c r="Y203" s="120"/>
    </row>
    <row r="204" spans="1:25" x14ac:dyDescent="0.25">
      <c r="A204" s="8">
        <f t="shared" si="3"/>
        <v>193</v>
      </c>
      <c r="B204" s="109"/>
      <c r="C204" s="110"/>
      <c r="D204" s="107"/>
      <c r="E204" s="107"/>
      <c r="F204" s="108"/>
      <c r="G204" s="110"/>
      <c r="H204" s="110"/>
      <c r="I204" s="110"/>
      <c r="J204" s="110"/>
      <c r="K204" s="110"/>
      <c r="L204" s="110"/>
      <c r="M204" s="110"/>
      <c r="N204" s="72"/>
      <c r="O204" s="117"/>
      <c r="P204" s="125"/>
      <c r="V204" s="1"/>
      <c r="W204" s="1"/>
      <c r="X204" s="1"/>
      <c r="Y204" s="120"/>
    </row>
    <row r="205" spans="1:25" x14ac:dyDescent="0.25">
      <c r="A205" s="8">
        <f t="shared" si="3"/>
        <v>194</v>
      </c>
      <c r="B205" s="109"/>
      <c r="C205" s="110"/>
      <c r="D205" s="107"/>
      <c r="E205" s="107"/>
      <c r="F205" s="108"/>
      <c r="G205" s="110"/>
      <c r="H205" s="110"/>
      <c r="I205" s="110"/>
      <c r="J205" s="110"/>
      <c r="K205" s="110"/>
      <c r="L205" s="110"/>
      <c r="M205" s="110"/>
      <c r="N205" s="72"/>
      <c r="O205" s="117"/>
      <c r="P205" s="125"/>
      <c r="V205" s="1"/>
      <c r="W205" s="1"/>
      <c r="X205" s="1"/>
      <c r="Y205" s="120"/>
    </row>
    <row r="206" spans="1:25" x14ac:dyDescent="0.25">
      <c r="A206" s="8">
        <f t="shared" ref="A206:A211" si="4">+A205+1</f>
        <v>195</v>
      </c>
      <c r="B206" s="109"/>
      <c r="C206" s="110"/>
      <c r="D206" s="107"/>
      <c r="E206" s="107"/>
      <c r="F206" s="108"/>
      <c r="G206" s="110"/>
      <c r="H206" s="110"/>
      <c r="I206" s="110"/>
      <c r="J206" s="110"/>
      <c r="K206" s="110"/>
      <c r="L206" s="110"/>
      <c r="M206" s="110"/>
      <c r="N206" s="72"/>
      <c r="O206" s="117"/>
      <c r="P206" s="125"/>
      <c r="V206" s="1"/>
      <c r="W206" s="1"/>
      <c r="X206" s="1"/>
      <c r="Y206" s="120"/>
    </row>
    <row r="207" spans="1:25" x14ac:dyDescent="0.25">
      <c r="A207" s="8">
        <f t="shared" si="4"/>
        <v>196</v>
      </c>
      <c r="B207" s="109"/>
      <c r="C207" s="110"/>
      <c r="D207" s="107"/>
      <c r="E207" s="107"/>
      <c r="F207" s="108"/>
      <c r="G207" s="110"/>
      <c r="H207" s="110"/>
      <c r="I207" s="110"/>
      <c r="J207" s="110"/>
      <c r="K207" s="110"/>
      <c r="L207" s="110"/>
      <c r="M207" s="110"/>
      <c r="N207" s="72"/>
      <c r="O207" s="117"/>
      <c r="P207" s="125"/>
      <c r="V207" s="1"/>
      <c r="W207" s="1"/>
      <c r="X207" s="1"/>
      <c r="Y207" s="120"/>
    </row>
    <row r="208" spans="1:25" x14ac:dyDescent="0.25">
      <c r="A208" s="8">
        <f t="shared" si="4"/>
        <v>197</v>
      </c>
      <c r="B208" s="109"/>
      <c r="C208" s="110"/>
      <c r="D208" s="107"/>
      <c r="E208" s="107"/>
      <c r="F208" s="108"/>
      <c r="G208" s="110"/>
      <c r="H208" s="110"/>
      <c r="I208" s="110"/>
      <c r="J208" s="110"/>
      <c r="K208" s="110"/>
      <c r="L208" s="110"/>
      <c r="M208" s="110"/>
      <c r="N208" s="72"/>
      <c r="O208" s="117"/>
      <c r="P208" s="125"/>
      <c r="V208" s="1"/>
      <c r="W208" s="1"/>
      <c r="X208" s="1"/>
      <c r="Y208" s="120"/>
    </row>
    <row r="209" spans="1:25" x14ac:dyDescent="0.25">
      <c r="A209" s="8">
        <f t="shared" si="4"/>
        <v>198</v>
      </c>
      <c r="B209" s="109"/>
      <c r="C209" s="110"/>
      <c r="D209" s="107"/>
      <c r="E209" s="107"/>
      <c r="F209" s="108"/>
      <c r="G209" s="110"/>
      <c r="H209" s="110"/>
      <c r="I209" s="110"/>
      <c r="J209" s="110"/>
      <c r="K209" s="110"/>
      <c r="L209" s="110"/>
      <c r="M209" s="110"/>
      <c r="N209" s="72"/>
      <c r="O209" s="117"/>
      <c r="P209" s="125"/>
      <c r="V209" s="1"/>
      <c r="W209" s="1"/>
      <c r="X209" s="1"/>
      <c r="Y209" s="120"/>
    </row>
    <row r="210" spans="1:25" x14ac:dyDescent="0.25">
      <c r="A210" s="8">
        <f t="shared" si="4"/>
        <v>199</v>
      </c>
      <c r="B210" s="109"/>
      <c r="C210" s="110"/>
      <c r="D210" s="107"/>
      <c r="E210" s="107"/>
      <c r="F210" s="108"/>
      <c r="G210" s="110"/>
      <c r="H210" s="110"/>
      <c r="I210" s="110"/>
      <c r="J210" s="110"/>
      <c r="K210" s="110"/>
      <c r="L210" s="110"/>
      <c r="M210" s="110"/>
      <c r="N210" s="72"/>
      <c r="O210" s="117"/>
      <c r="P210" s="125"/>
      <c r="V210" s="1"/>
      <c r="W210" s="1"/>
      <c r="X210" s="1"/>
      <c r="Y210" s="120"/>
    </row>
    <row r="211" spans="1:25" x14ac:dyDescent="0.25">
      <c r="A211" s="8">
        <f t="shared" si="4"/>
        <v>200</v>
      </c>
      <c r="B211" s="109"/>
      <c r="C211" s="110"/>
      <c r="D211" s="107"/>
      <c r="E211" s="107"/>
      <c r="F211" s="108"/>
      <c r="G211" s="110"/>
      <c r="H211" s="110"/>
      <c r="I211" s="110"/>
      <c r="J211" s="110"/>
      <c r="K211" s="110"/>
      <c r="L211" s="110"/>
      <c r="M211" s="110"/>
      <c r="N211" s="72"/>
      <c r="O211" s="117"/>
      <c r="P211" s="125"/>
      <c r="V211" s="1"/>
      <c r="W211" s="1"/>
      <c r="X211" s="1"/>
      <c r="Y211" s="120"/>
    </row>
    <row r="212" spans="1:25" x14ac:dyDescent="0.25">
      <c r="B212" s="9"/>
      <c r="O212" s="4"/>
      <c r="P212" s="4"/>
    </row>
    <row r="213" spans="1:25" x14ac:dyDescent="0.25">
      <c r="B213" s="9"/>
      <c r="O213" s="4"/>
      <c r="P213" s="4"/>
    </row>
    <row r="214" spans="1:25" x14ac:dyDescent="0.25">
      <c r="B214" s="9"/>
      <c r="O214" s="4"/>
      <c r="P214" s="4"/>
    </row>
    <row r="215" spans="1:25" x14ac:dyDescent="0.25">
      <c r="B215" s="9"/>
      <c r="O215" s="4"/>
      <c r="P215" s="4"/>
    </row>
    <row r="216" spans="1:25" x14ac:dyDescent="0.25">
      <c r="B216" s="9"/>
      <c r="O216" s="4"/>
      <c r="P216" s="4"/>
    </row>
    <row r="217" spans="1:25" x14ac:dyDescent="0.25">
      <c r="B217" s="9"/>
      <c r="O217" s="4"/>
      <c r="P217" s="4"/>
    </row>
    <row r="218" spans="1:25" x14ac:dyDescent="0.25">
      <c r="B218" s="9"/>
      <c r="O218" s="4"/>
      <c r="P218" s="4"/>
    </row>
    <row r="219" spans="1:25" x14ac:dyDescent="0.25">
      <c r="B219" s="9"/>
      <c r="O219" s="4"/>
      <c r="P219" s="4"/>
    </row>
    <row r="220" spans="1:25" x14ac:dyDescent="0.25">
      <c r="O220" s="4"/>
      <c r="P220" s="4"/>
    </row>
    <row r="221" spans="1:25" x14ac:dyDescent="0.25">
      <c r="O221" s="4"/>
      <c r="P221" s="4"/>
    </row>
    <row r="222" spans="1:25" x14ac:dyDescent="0.25">
      <c r="O222" s="4"/>
      <c r="P222" s="4"/>
    </row>
  </sheetData>
  <sheetProtection selectLockedCells="1"/>
  <sortState xmlns:xlrd2="http://schemas.microsoft.com/office/spreadsheetml/2017/richdata2" ref="B12:J65"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Navigation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SortAlpha">
              <controlPr defaultSize="0" print="0" autoFill="0" autoPict="0" macro="[0]!sortConsyAlpha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70"/>
  <sheetViews>
    <sheetView tabSelected="1" workbookViewId="0">
      <selection activeCell="B11" sqref="B1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137" t="s">
        <v>70</v>
      </c>
      <c r="B1" s="137"/>
      <c r="C1" s="123"/>
      <c r="D1" s="123"/>
      <c r="E1" s="93"/>
    </row>
    <row r="2" spans="1:8" x14ac:dyDescent="0.25">
      <c r="A2" s="15"/>
      <c r="B2" s="15"/>
      <c r="C2" s="15"/>
      <c r="D2" s="15"/>
      <c r="E2" s="15"/>
    </row>
    <row r="3" spans="1:8" x14ac:dyDescent="0.25">
      <c r="A3" s="15"/>
      <c r="B3" s="127" t="s">
        <v>57</v>
      </c>
      <c r="C3" s="138" t="s">
        <v>77</v>
      </c>
      <c r="D3" s="138"/>
      <c r="E3" s="138"/>
    </row>
    <row r="4" spans="1:8" x14ac:dyDescent="0.25">
      <c r="A4" s="15"/>
      <c r="B4" s="127" t="s">
        <v>58</v>
      </c>
      <c r="C4" s="139" t="s">
        <v>78</v>
      </c>
      <c r="D4" s="139"/>
      <c r="E4" s="139"/>
    </row>
    <row r="5" spans="1:8" x14ac:dyDescent="0.25">
      <c r="A5" s="15"/>
      <c r="B5" s="127" t="s">
        <v>59</v>
      </c>
      <c r="C5" s="139" t="s">
        <v>79</v>
      </c>
      <c r="D5" s="139"/>
      <c r="E5" s="15"/>
    </row>
    <row r="6" spans="1:8" x14ac:dyDescent="0.25">
      <c r="A6" s="15"/>
      <c r="B6" s="127" t="s">
        <v>60</v>
      </c>
      <c r="C6" s="129">
        <v>46130</v>
      </c>
      <c r="E6" s="12"/>
    </row>
    <row r="7" spans="1:8" x14ac:dyDescent="0.25">
      <c r="A7" s="15"/>
      <c r="B7" s="15"/>
      <c r="C7" s="15"/>
      <c r="D7" s="15"/>
      <c r="E7" s="15"/>
    </row>
    <row r="9" spans="1:8" ht="15.75" x14ac:dyDescent="0.25">
      <c r="A9" s="118"/>
      <c r="B9" s="3"/>
      <c r="C9" s="3"/>
      <c r="D9" s="4"/>
      <c r="E9" s="56">
        <f>SUM(E11:E204)</f>
        <v>0</v>
      </c>
      <c r="F9" s="56">
        <f t="shared" ref="F9:H9" si="0">SUM(F11:F204)</f>
        <v>0</v>
      </c>
      <c r="G9" s="56">
        <f t="shared" si="0"/>
        <v>0</v>
      </c>
      <c r="H9" s="56">
        <f t="shared" si="0"/>
        <v>0</v>
      </c>
    </row>
    <row r="10" spans="1:8" ht="30" x14ac:dyDescent="0.25">
      <c r="A10" s="10" t="s">
        <v>46</v>
      </c>
      <c r="B10" s="5" t="s">
        <v>0</v>
      </c>
      <c r="C10" s="6" t="s">
        <v>1</v>
      </c>
      <c r="D10" s="7" t="s">
        <v>2</v>
      </c>
      <c r="E10" s="25" t="s">
        <v>50</v>
      </c>
      <c r="F10" s="25" t="s">
        <v>51</v>
      </c>
      <c r="G10" s="25" t="s">
        <v>54</v>
      </c>
      <c r="H10" s="25" t="s">
        <v>71</v>
      </c>
    </row>
    <row r="11" spans="1:8" x14ac:dyDescent="0.25">
      <c r="A11" s="131"/>
      <c r="B11" s="132" t="s">
        <v>80</v>
      </c>
      <c r="C11" s="132"/>
      <c r="D11" s="107" t="s">
        <v>81</v>
      </c>
      <c r="E11" s="109"/>
      <c r="F11" s="110"/>
      <c r="G11" s="110"/>
      <c r="H11" s="110"/>
    </row>
    <row r="12" spans="1:8" x14ac:dyDescent="0.25">
      <c r="A12" s="131"/>
      <c r="B12" s="132" t="s">
        <v>82</v>
      </c>
      <c r="C12" s="132" t="s">
        <v>83</v>
      </c>
      <c r="D12" s="107" t="s">
        <v>84</v>
      </c>
      <c r="E12" s="110"/>
      <c r="F12" s="110"/>
      <c r="G12" s="110"/>
      <c r="H12" s="110"/>
    </row>
    <row r="13" spans="1:8" x14ac:dyDescent="0.25">
      <c r="A13" s="131"/>
      <c r="B13" s="132" t="s">
        <v>85</v>
      </c>
      <c r="C13" s="132" t="s">
        <v>86</v>
      </c>
      <c r="D13" s="97" t="s">
        <v>87</v>
      </c>
      <c r="E13" s="109"/>
      <c r="F13" s="110"/>
      <c r="G13" s="110"/>
      <c r="H13" s="110"/>
    </row>
    <row r="14" spans="1:8" x14ac:dyDescent="0.25">
      <c r="A14" s="131"/>
      <c r="B14" s="132" t="s">
        <v>88</v>
      </c>
      <c r="C14" s="132" t="s">
        <v>89</v>
      </c>
      <c r="D14" s="97" t="s">
        <v>90</v>
      </c>
      <c r="E14" s="109"/>
      <c r="F14" s="109"/>
      <c r="G14" s="110"/>
      <c r="H14" s="110"/>
    </row>
    <row r="15" spans="1:8" x14ac:dyDescent="0.25">
      <c r="A15" s="131"/>
      <c r="B15" s="132" t="s">
        <v>91</v>
      </c>
      <c r="C15" s="132" t="s">
        <v>92</v>
      </c>
      <c r="D15" s="107" t="s">
        <v>93</v>
      </c>
      <c r="E15" s="109"/>
      <c r="F15" s="110"/>
      <c r="G15" s="110"/>
      <c r="H15" s="110"/>
    </row>
    <row r="16" spans="1:8" x14ac:dyDescent="0.25">
      <c r="A16" s="131"/>
      <c r="B16" s="132" t="s">
        <v>94</v>
      </c>
      <c r="C16" s="132" t="s">
        <v>95</v>
      </c>
      <c r="D16" s="107" t="s">
        <v>96</v>
      </c>
      <c r="E16" s="109"/>
      <c r="F16" s="110"/>
      <c r="G16" s="110"/>
      <c r="H16" s="110"/>
    </row>
    <row r="17" spans="1:8" x14ac:dyDescent="0.25">
      <c r="A17" s="131"/>
      <c r="B17" s="133" t="s">
        <v>97</v>
      </c>
      <c r="C17" s="133" t="s">
        <v>98</v>
      </c>
      <c r="D17" s="107" t="s">
        <v>99</v>
      </c>
      <c r="E17" s="109"/>
      <c r="F17" s="109"/>
      <c r="G17" s="110"/>
      <c r="H17" s="110"/>
    </row>
    <row r="18" spans="1:8" x14ac:dyDescent="0.25">
      <c r="A18" s="131"/>
      <c r="B18" s="132" t="s">
        <v>100</v>
      </c>
      <c r="C18" s="132" t="s">
        <v>101</v>
      </c>
      <c r="D18" s="107" t="s">
        <v>102</v>
      </c>
      <c r="E18" s="109"/>
      <c r="F18" s="110"/>
      <c r="G18" s="110"/>
      <c r="H18" s="110"/>
    </row>
    <row r="19" spans="1:8" x14ac:dyDescent="0.25">
      <c r="A19" s="131"/>
      <c r="B19" s="132" t="s">
        <v>103</v>
      </c>
      <c r="C19" s="132" t="s">
        <v>104</v>
      </c>
      <c r="D19" s="97" t="s">
        <v>105</v>
      </c>
      <c r="E19" s="109"/>
      <c r="F19" s="109"/>
      <c r="G19" s="110"/>
      <c r="H19" s="110"/>
    </row>
    <row r="20" spans="1:8" x14ac:dyDescent="0.25">
      <c r="A20" s="131"/>
      <c r="B20" s="132" t="s">
        <v>106</v>
      </c>
      <c r="C20" s="132" t="s">
        <v>101</v>
      </c>
      <c r="D20" s="107" t="s">
        <v>107</v>
      </c>
      <c r="E20" s="109"/>
      <c r="F20" s="109"/>
      <c r="G20" s="110"/>
      <c r="H20" s="110"/>
    </row>
    <row r="21" spans="1:8" x14ac:dyDescent="0.25">
      <c r="A21" s="131"/>
      <c r="B21" s="132" t="s">
        <v>108</v>
      </c>
      <c r="C21" s="132" t="s">
        <v>109</v>
      </c>
      <c r="D21" s="97" t="s">
        <v>110</v>
      </c>
      <c r="E21" s="109"/>
      <c r="F21" s="110"/>
      <c r="G21" s="110"/>
      <c r="H21" s="110"/>
    </row>
    <row r="22" spans="1:8" x14ac:dyDescent="0.25">
      <c r="A22" s="131"/>
      <c r="B22" s="132" t="s">
        <v>111</v>
      </c>
      <c r="C22" s="132" t="s">
        <v>112</v>
      </c>
      <c r="D22" s="107" t="s">
        <v>113</v>
      </c>
      <c r="E22" s="109"/>
      <c r="F22" s="110"/>
      <c r="G22" s="110"/>
      <c r="H22" s="110"/>
    </row>
    <row r="23" spans="1:8" x14ac:dyDescent="0.25">
      <c r="A23" s="131"/>
      <c r="B23" s="132" t="s">
        <v>114</v>
      </c>
      <c r="C23" s="132" t="s">
        <v>83</v>
      </c>
      <c r="D23" s="107" t="s">
        <v>115</v>
      </c>
      <c r="E23" s="109"/>
      <c r="F23" s="109"/>
      <c r="G23" s="110"/>
      <c r="H23" s="110"/>
    </row>
    <row r="24" spans="1:8" x14ac:dyDescent="0.25">
      <c r="A24" s="131"/>
      <c r="B24" s="132" t="s">
        <v>217</v>
      </c>
      <c r="C24" s="132"/>
      <c r="D24" s="107" t="s">
        <v>218</v>
      </c>
      <c r="E24" s="109"/>
      <c r="F24" s="110"/>
      <c r="G24" s="110"/>
      <c r="H24" s="110"/>
    </row>
    <row r="25" spans="1:8" x14ac:dyDescent="0.25">
      <c r="A25" s="131"/>
      <c r="B25" s="132" t="s">
        <v>116</v>
      </c>
      <c r="C25" s="132" t="s">
        <v>101</v>
      </c>
      <c r="D25" s="97" t="s">
        <v>117</v>
      </c>
      <c r="E25" s="109"/>
      <c r="F25" s="109"/>
      <c r="G25" s="110"/>
      <c r="H25" s="110"/>
    </row>
    <row r="26" spans="1:8" x14ac:dyDescent="0.25">
      <c r="A26" s="131"/>
      <c r="B26" s="132" t="s">
        <v>118</v>
      </c>
      <c r="C26" s="132" t="s">
        <v>119</v>
      </c>
      <c r="D26" s="107" t="s">
        <v>120</v>
      </c>
      <c r="E26" s="109"/>
      <c r="F26" s="109"/>
      <c r="G26" s="110"/>
      <c r="H26" s="110"/>
    </row>
    <row r="27" spans="1:8" x14ac:dyDescent="0.25">
      <c r="A27" s="131"/>
      <c r="B27" s="132" t="s">
        <v>121</v>
      </c>
      <c r="C27" s="132" t="s">
        <v>109</v>
      </c>
      <c r="D27" s="107" t="s">
        <v>122</v>
      </c>
      <c r="E27" s="109"/>
      <c r="F27" s="109"/>
      <c r="G27" s="110"/>
      <c r="H27" s="110"/>
    </row>
    <row r="28" spans="1:8" x14ac:dyDescent="0.25">
      <c r="A28" s="131"/>
      <c r="B28" s="132" t="s">
        <v>123</v>
      </c>
      <c r="C28" s="132" t="s">
        <v>124</v>
      </c>
      <c r="D28" s="107" t="s">
        <v>125</v>
      </c>
      <c r="E28" s="109"/>
      <c r="F28" s="109"/>
      <c r="G28" s="110"/>
      <c r="H28" s="110"/>
    </row>
    <row r="29" spans="1:8" x14ac:dyDescent="0.25">
      <c r="A29" s="131"/>
      <c r="B29" s="132" t="s">
        <v>126</v>
      </c>
      <c r="C29" s="132" t="s">
        <v>127</v>
      </c>
      <c r="D29" s="97" t="s">
        <v>128</v>
      </c>
      <c r="E29" s="109"/>
      <c r="F29" s="109"/>
      <c r="G29" s="110"/>
      <c r="H29" s="110"/>
    </row>
    <row r="30" spans="1:8" x14ac:dyDescent="0.25">
      <c r="A30" s="131"/>
      <c r="B30" s="132" t="s">
        <v>129</v>
      </c>
      <c r="C30" s="132" t="s">
        <v>130</v>
      </c>
      <c r="D30" s="97" t="s">
        <v>131</v>
      </c>
      <c r="E30" s="109"/>
      <c r="F30" s="110"/>
      <c r="G30" s="110"/>
      <c r="H30" s="110"/>
    </row>
    <row r="31" spans="1:8" x14ac:dyDescent="0.25">
      <c r="A31" s="131"/>
      <c r="B31" s="132" t="s">
        <v>132</v>
      </c>
      <c r="C31" s="132" t="s">
        <v>133</v>
      </c>
      <c r="D31" s="107" t="s">
        <v>134</v>
      </c>
      <c r="E31" s="109"/>
      <c r="F31" s="109"/>
      <c r="G31" s="110"/>
      <c r="H31" s="110"/>
    </row>
    <row r="32" spans="1:8" x14ac:dyDescent="0.25">
      <c r="A32" s="131"/>
      <c r="B32" s="132" t="s">
        <v>135</v>
      </c>
      <c r="C32" s="132" t="s">
        <v>136</v>
      </c>
      <c r="D32" s="97" t="s">
        <v>137</v>
      </c>
      <c r="E32" s="109"/>
      <c r="F32" s="109"/>
      <c r="G32" s="110"/>
      <c r="H32" s="110"/>
    </row>
    <row r="33" spans="1:8" x14ac:dyDescent="0.25">
      <c r="A33" s="131"/>
      <c r="B33" s="132" t="s">
        <v>138</v>
      </c>
      <c r="C33" s="132" t="s">
        <v>133</v>
      </c>
      <c r="D33" s="97" t="s">
        <v>139</v>
      </c>
      <c r="E33" s="109"/>
      <c r="F33" s="110"/>
      <c r="G33" s="110"/>
      <c r="H33" s="110"/>
    </row>
    <row r="34" spans="1:8" x14ac:dyDescent="0.25">
      <c r="A34" s="131"/>
      <c r="B34" s="132" t="s">
        <v>140</v>
      </c>
      <c r="C34" s="132" t="s">
        <v>141</v>
      </c>
      <c r="D34" s="107" t="s">
        <v>142</v>
      </c>
      <c r="E34" s="109"/>
      <c r="F34" s="109"/>
      <c r="G34" s="110"/>
      <c r="H34" s="110"/>
    </row>
    <row r="35" spans="1:8" x14ac:dyDescent="0.25">
      <c r="A35" s="131"/>
      <c r="B35" s="132" t="s">
        <v>143</v>
      </c>
      <c r="C35" s="132" t="s">
        <v>144</v>
      </c>
      <c r="D35" s="97" t="s">
        <v>145</v>
      </c>
      <c r="E35" s="109"/>
      <c r="F35" s="109"/>
      <c r="G35" s="110"/>
      <c r="H35" s="110"/>
    </row>
    <row r="36" spans="1:8" x14ac:dyDescent="0.25">
      <c r="A36" s="131"/>
      <c r="B36" s="132" t="s">
        <v>146</v>
      </c>
      <c r="C36" s="132" t="s">
        <v>147</v>
      </c>
      <c r="D36" s="107" t="s">
        <v>148</v>
      </c>
      <c r="E36" s="109"/>
      <c r="F36" s="109"/>
      <c r="G36" s="110"/>
      <c r="H36" s="110"/>
    </row>
    <row r="37" spans="1:8" x14ac:dyDescent="0.25">
      <c r="A37" s="131"/>
      <c r="B37" s="132" t="s">
        <v>149</v>
      </c>
      <c r="C37" s="132" t="s">
        <v>150</v>
      </c>
      <c r="D37" s="107" t="s">
        <v>151</v>
      </c>
      <c r="E37" s="109"/>
      <c r="F37" s="110"/>
      <c r="G37" s="110"/>
      <c r="H37" s="110"/>
    </row>
    <row r="38" spans="1:8" x14ac:dyDescent="0.25">
      <c r="A38" s="131"/>
      <c r="B38" s="132" t="s">
        <v>152</v>
      </c>
      <c r="C38" s="132" t="s">
        <v>153</v>
      </c>
      <c r="D38" s="107" t="s">
        <v>154</v>
      </c>
      <c r="E38" s="109"/>
      <c r="F38" s="110"/>
      <c r="G38" s="110"/>
      <c r="H38" s="110"/>
    </row>
    <row r="39" spans="1:8" x14ac:dyDescent="0.25">
      <c r="A39" s="131"/>
      <c r="B39" s="132" t="s">
        <v>155</v>
      </c>
      <c r="C39" s="132" t="s">
        <v>109</v>
      </c>
      <c r="D39" s="107" t="s">
        <v>156</v>
      </c>
      <c r="E39" s="109"/>
      <c r="F39" s="109"/>
      <c r="G39" s="110"/>
      <c r="H39" s="110"/>
    </row>
    <row r="40" spans="1:8" x14ac:dyDescent="0.25">
      <c r="A40" s="131"/>
      <c r="B40" s="132" t="s">
        <v>157</v>
      </c>
      <c r="C40" s="132" t="s">
        <v>158</v>
      </c>
      <c r="D40" s="107" t="s">
        <v>159</v>
      </c>
      <c r="E40" s="109"/>
      <c r="F40" s="110"/>
      <c r="G40" s="110"/>
      <c r="H40" s="110"/>
    </row>
    <row r="41" spans="1:8" x14ac:dyDescent="0.25">
      <c r="A41" s="131"/>
      <c r="B41" s="132" t="s">
        <v>160</v>
      </c>
      <c r="C41" s="132" t="s">
        <v>109</v>
      </c>
      <c r="D41" s="107" t="s">
        <v>161</v>
      </c>
      <c r="E41" s="109"/>
      <c r="F41" s="109"/>
      <c r="G41" s="110"/>
      <c r="H41" s="110"/>
    </row>
    <row r="42" spans="1:8" x14ac:dyDescent="0.25">
      <c r="A42" s="131"/>
      <c r="B42" s="132" t="s">
        <v>162</v>
      </c>
      <c r="C42" s="132" t="s">
        <v>127</v>
      </c>
      <c r="D42" s="107" t="s">
        <v>163</v>
      </c>
      <c r="E42" s="109"/>
      <c r="F42" s="110"/>
      <c r="G42" s="110"/>
      <c r="H42" s="110"/>
    </row>
    <row r="43" spans="1:8" x14ac:dyDescent="0.25">
      <c r="A43" s="131"/>
      <c r="B43" s="132" t="s">
        <v>164</v>
      </c>
      <c r="C43" s="132" t="s">
        <v>165</v>
      </c>
      <c r="D43" s="107" t="s">
        <v>166</v>
      </c>
      <c r="E43" s="109"/>
      <c r="F43" s="110"/>
      <c r="G43" s="110"/>
      <c r="H43" s="110"/>
    </row>
    <row r="44" spans="1:8" x14ac:dyDescent="0.25">
      <c r="A44" s="131"/>
      <c r="B44" s="132" t="s">
        <v>167</v>
      </c>
      <c r="C44" s="132" t="s">
        <v>168</v>
      </c>
      <c r="D44" s="107" t="s">
        <v>169</v>
      </c>
      <c r="E44" s="109"/>
      <c r="F44" s="110"/>
      <c r="G44" s="110"/>
      <c r="H44" s="110"/>
    </row>
    <row r="45" spans="1:8" x14ac:dyDescent="0.25">
      <c r="A45" s="131"/>
      <c r="B45" s="132" t="s">
        <v>170</v>
      </c>
      <c r="C45" s="132" t="s">
        <v>171</v>
      </c>
      <c r="D45" s="107" t="s">
        <v>172</v>
      </c>
      <c r="E45" s="109"/>
      <c r="F45" s="109"/>
      <c r="G45" s="110"/>
      <c r="H45" s="110"/>
    </row>
    <row r="46" spans="1:8" x14ac:dyDescent="0.25">
      <c r="A46" s="131"/>
      <c r="B46" s="132" t="s">
        <v>173</v>
      </c>
      <c r="C46" s="132" t="s">
        <v>174</v>
      </c>
      <c r="D46" s="107" t="s">
        <v>175</v>
      </c>
      <c r="E46" s="109"/>
      <c r="F46" s="110"/>
      <c r="G46" s="110"/>
      <c r="H46" s="110"/>
    </row>
    <row r="47" spans="1:8" x14ac:dyDescent="0.25">
      <c r="A47" s="131"/>
      <c r="B47" s="132" t="s">
        <v>176</v>
      </c>
      <c r="C47" s="132" t="s">
        <v>109</v>
      </c>
      <c r="D47" s="107" t="s">
        <v>177</v>
      </c>
      <c r="E47" s="109"/>
      <c r="F47" s="110"/>
      <c r="G47" s="110"/>
      <c r="H47" s="110"/>
    </row>
    <row r="48" spans="1:8" x14ac:dyDescent="0.25">
      <c r="A48" s="131"/>
      <c r="B48" s="132" t="s">
        <v>178</v>
      </c>
      <c r="C48" s="132" t="s">
        <v>165</v>
      </c>
      <c r="D48" s="107" t="s">
        <v>179</v>
      </c>
      <c r="E48" s="109"/>
      <c r="F48" s="109"/>
      <c r="G48" s="110"/>
      <c r="H48" s="110"/>
    </row>
    <row r="49" spans="1:8" x14ac:dyDescent="0.25">
      <c r="A49" s="131"/>
      <c r="B49" s="132" t="s">
        <v>180</v>
      </c>
      <c r="C49" s="132" t="s">
        <v>109</v>
      </c>
      <c r="D49" s="107" t="s">
        <v>181</v>
      </c>
      <c r="E49" s="109"/>
      <c r="F49" s="109"/>
      <c r="G49" s="110"/>
      <c r="H49" s="110"/>
    </row>
    <row r="50" spans="1:8" x14ac:dyDescent="0.25">
      <c r="A50" s="131"/>
      <c r="B50" s="132" t="s">
        <v>182</v>
      </c>
      <c r="C50" s="132" t="s">
        <v>183</v>
      </c>
      <c r="D50" s="107" t="s">
        <v>184</v>
      </c>
      <c r="E50" s="110"/>
      <c r="F50" s="110"/>
      <c r="G50" s="110"/>
      <c r="H50" s="110"/>
    </row>
    <row r="51" spans="1:8" x14ac:dyDescent="0.25">
      <c r="A51" s="131"/>
      <c r="B51" s="132" t="s">
        <v>185</v>
      </c>
      <c r="C51" s="132" t="s">
        <v>186</v>
      </c>
      <c r="D51" s="97" t="s">
        <v>187</v>
      </c>
      <c r="E51" s="109"/>
      <c r="F51" s="109"/>
      <c r="G51" s="110"/>
      <c r="H51" s="110"/>
    </row>
    <row r="52" spans="1:8" x14ac:dyDescent="0.25">
      <c r="A52" s="131"/>
      <c r="B52" s="132" t="s">
        <v>188</v>
      </c>
      <c r="C52" s="132" t="s">
        <v>189</v>
      </c>
      <c r="D52" s="97" t="s">
        <v>190</v>
      </c>
      <c r="E52" s="109"/>
      <c r="F52" s="109"/>
      <c r="G52" s="110"/>
      <c r="H52" s="110"/>
    </row>
    <row r="53" spans="1:8" x14ac:dyDescent="0.25">
      <c r="A53" s="131"/>
      <c r="B53" s="132" t="s">
        <v>191</v>
      </c>
      <c r="C53" s="132" t="s">
        <v>189</v>
      </c>
      <c r="D53" s="97" t="s">
        <v>192</v>
      </c>
      <c r="E53" s="109"/>
      <c r="F53" s="110"/>
      <c r="G53" s="110"/>
      <c r="H53" s="110"/>
    </row>
    <row r="54" spans="1:8" x14ac:dyDescent="0.25">
      <c r="A54" s="131"/>
      <c r="B54" s="132" t="s">
        <v>193</v>
      </c>
      <c r="C54" s="132" t="s">
        <v>158</v>
      </c>
      <c r="D54" s="107" t="s">
        <v>194</v>
      </c>
      <c r="E54" s="109"/>
      <c r="F54" s="109"/>
      <c r="G54" s="110"/>
      <c r="H54" s="110"/>
    </row>
    <row r="55" spans="1:8" x14ac:dyDescent="0.25">
      <c r="A55" s="131"/>
      <c r="B55" s="132" t="s">
        <v>195</v>
      </c>
      <c r="C55" s="132" t="s">
        <v>109</v>
      </c>
      <c r="D55" s="97" t="s">
        <v>196</v>
      </c>
      <c r="E55" s="109"/>
      <c r="F55" s="109"/>
      <c r="G55" s="110"/>
      <c r="H55" s="110"/>
    </row>
    <row r="56" spans="1:8" x14ac:dyDescent="0.25">
      <c r="A56" s="131"/>
      <c r="B56" s="132" t="s">
        <v>197</v>
      </c>
      <c r="C56" s="132" t="s">
        <v>109</v>
      </c>
      <c r="D56" s="107"/>
      <c r="E56" s="109"/>
      <c r="F56" s="110"/>
      <c r="G56" s="110"/>
      <c r="H56" s="110"/>
    </row>
    <row r="57" spans="1:8" x14ac:dyDescent="0.25">
      <c r="A57" s="131"/>
      <c r="B57" s="132" t="s">
        <v>198</v>
      </c>
      <c r="C57" s="132" t="s">
        <v>109</v>
      </c>
      <c r="D57" s="97" t="s">
        <v>199</v>
      </c>
      <c r="E57" s="110"/>
      <c r="F57" s="110"/>
      <c r="G57" s="110"/>
      <c r="H57" s="110"/>
    </row>
    <row r="58" spans="1:8" x14ac:dyDescent="0.25">
      <c r="A58" s="131"/>
      <c r="B58" s="132" t="s">
        <v>200</v>
      </c>
      <c r="C58" s="132" t="s">
        <v>109</v>
      </c>
      <c r="D58" s="97" t="s">
        <v>201</v>
      </c>
      <c r="E58" s="109"/>
      <c r="F58" s="109"/>
      <c r="G58" s="110"/>
      <c r="H58" s="110"/>
    </row>
    <row r="59" spans="1:8" x14ac:dyDescent="0.25">
      <c r="A59" s="131"/>
      <c r="B59" s="132" t="s">
        <v>202</v>
      </c>
      <c r="C59" s="132" t="s">
        <v>109</v>
      </c>
      <c r="D59" s="107" t="s">
        <v>203</v>
      </c>
      <c r="E59" s="109"/>
      <c r="F59" s="109"/>
      <c r="G59" s="110"/>
      <c r="H59" s="110"/>
    </row>
    <row r="60" spans="1:8" x14ac:dyDescent="0.25">
      <c r="A60" s="131"/>
      <c r="B60" s="132" t="s">
        <v>204</v>
      </c>
      <c r="C60" s="132" t="s">
        <v>205</v>
      </c>
      <c r="D60" s="134" t="s">
        <v>206</v>
      </c>
      <c r="E60" s="109"/>
      <c r="F60" s="110"/>
      <c r="G60" s="110"/>
      <c r="H60" s="110"/>
    </row>
    <row r="61" spans="1:8" x14ac:dyDescent="0.25">
      <c r="A61" s="131"/>
      <c r="B61" s="132" t="s">
        <v>207</v>
      </c>
      <c r="C61" s="132" t="s">
        <v>208</v>
      </c>
      <c r="D61" s="107" t="s">
        <v>209</v>
      </c>
      <c r="E61" s="110"/>
      <c r="F61" s="110"/>
      <c r="G61" s="110"/>
      <c r="H61" s="110"/>
    </row>
    <row r="62" spans="1:8" x14ac:dyDescent="0.25">
      <c r="A62" s="131"/>
      <c r="B62" s="132" t="s">
        <v>210</v>
      </c>
      <c r="C62" s="132" t="s">
        <v>211</v>
      </c>
      <c r="D62" s="107" t="s">
        <v>212</v>
      </c>
      <c r="E62" s="109"/>
      <c r="F62" s="110"/>
      <c r="G62" s="110"/>
      <c r="H62" s="110"/>
    </row>
    <row r="63" spans="1:8" x14ac:dyDescent="0.25">
      <c r="A63" s="131"/>
      <c r="B63" s="132" t="s">
        <v>213</v>
      </c>
      <c r="C63" s="132" t="s">
        <v>109</v>
      </c>
      <c r="D63" s="97" t="s">
        <v>214</v>
      </c>
      <c r="E63" s="109"/>
      <c r="F63" s="110"/>
      <c r="G63" s="110"/>
      <c r="H63" s="110"/>
    </row>
    <row r="64" spans="1:8" x14ac:dyDescent="0.25">
      <c r="A64" s="131"/>
      <c r="B64" s="132" t="s">
        <v>215</v>
      </c>
      <c r="C64" s="132" t="s">
        <v>165</v>
      </c>
      <c r="D64" s="97" t="s">
        <v>216</v>
      </c>
      <c r="E64" s="109"/>
      <c r="F64" s="110"/>
      <c r="G64" s="110"/>
      <c r="H64" s="110"/>
    </row>
    <row r="65" spans="1:8" x14ac:dyDescent="0.25">
      <c r="A65" s="131"/>
      <c r="B65" s="132"/>
      <c r="C65" s="132"/>
      <c r="D65" s="97"/>
      <c r="E65" s="110"/>
      <c r="F65" s="110"/>
      <c r="G65" s="110"/>
      <c r="H65" s="110"/>
    </row>
    <row r="66" spans="1:8" x14ac:dyDescent="0.25">
      <c r="A66" s="131"/>
      <c r="B66" s="132"/>
      <c r="C66" s="132"/>
      <c r="D66" s="107"/>
      <c r="E66" s="109"/>
      <c r="F66" s="110"/>
      <c r="G66" s="110"/>
      <c r="H66" s="110"/>
    </row>
    <row r="67" spans="1:8" x14ac:dyDescent="0.25">
      <c r="A67" s="131"/>
      <c r="B67" s="132"/>
      <c r="C67" s="132"/>
      <c r="D67" s="107"/>
      <c r="E67" s="110"/>
      <c r="F67" s="110"/>
      <c r="G67" s="110"/>
      <c r="H67" s="110"/>
    </row>
    <row r="68" spans="1:8" x14ac:dyDescent="0.25">
      <c r="A68" s="131"/>
      <c r="B68" s="132"/>
      <c r="C68" s="132"/>
      <c r="D68" s="107"/>
      <c r="E68" s="110"/>
      <c r="F68" s="110"/>
      <c r="G68" s="110"/>
      <c r="H68" s="110"/>
    </row>
    <row r="69" spans="1:8" x14ac:dyDescent="0.25">
      <c r="A69" s="131"/>
      <c r="B69" s="132"/>
      <c r="C69" s="132"/>
      <c r="D69" s="107"/>
      <c r="E69" s="109"/>
      <c r="F69" s="110"/>
      <c r="G69" s="110"/>
      <c r="H69" s="110"/>
    </row>
    <row r="70" spans="1:8" x14ac:dyDescent="0.25">
      <c r="A70" s="131"/>
      <c r="B70" s="132"/>
      <c r="C70" s="132"/>
      <c r="D70" s="107"/>
      <c r="E70" s="109"/>
      <c r="F70" s="109"/>
      <c r="G70" s="110"/>
      <c r="H70" s="110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9" customWidth="1"/>
    <col min="6" max="6" width="7.85546875" style="9" customWidth="1"/>
    <col min="7" max="7" width="7.28515625" style="9" customWidth="1"/>
    <col min="8" max="8" width="5.42578125" style="9" customWidth="1"/>
    <col min="9" max="9" width="6.85546875" style="9" customWidth="1"/>
    <col min="10" max="11" width="8" style="9" customWidth="1"/>
    <col min="12" max="12" width="8" style="31" customWidth="1"/>
    <col min="13" max="16" width="6.42578125" style="9" customWidth="1"/>
    <col min="17" max="17" width="9" style="1" customWidth="1"/>
    <col min="18" max="18" width="6.42578125" customWidth="1"/>
    <col min="19" max="20" width="9.140625" customWidth="1"/>
    <col min="21" max="21" width="9.140625" style="1"/>
    <col min="23" max="25" width="9.140625" style="16" customWidth="1"/>
    <col min="26" max="32" width="9.140625" customWidth="1"/>
  </cols>
  <sheetData>
    <row r="1" spans="1:33" ht="21" x14ac:dyDescent="0.35">
      <c r="A1" s="147" t="s">
        <v>53</v>
      </c>
      <c r="B1" s="147"/>
      <c r="C1" s="93"/>
      <c r="D1" s="14"/>
      <c r="E1" s="21"/>
      <c r="F1"/>
      <c r="G1" s="2"/>
      <c r="H1" s="2"/>
      <c r="I1"/>
      <c r="L1" s="18"/>
      <c r="R1" s="2"/>
      <c r="S1" s="2"/>
      <c r="T1" s="33"/>
      <c r="V1" s="1"/>
      <c r="AG1" s="33" t="s">
        <v>26</v>
      </c>
    </row>
    <row r="2" spans="1:33" x14ac:dyDescent="0.25">
      <c r="A2" s="26"/>
      <c r="D2" s="2"/>
      <c r="E2"/>
      <c r="F2"/>
      <c r="G2" s="2"/>
      <c r="I2" s="113"/>
      <c r="L2" s="19"/>
      <c r="R2" s="12"/>
      <c r="S2" s="12"/>
    </row>
    <row r="3" spans="1:33" x14ac:dyDescent="0.25">
      <c r="B3" s="127" t="s">
        <v>57</v>
      </c>
      <c r="C3" s="143" t="s">
        <v>77</v>
      </c>
      <c r="D3" s="143"/>
      <c r="E3" s="17"/>
      <c r="F3" s="17"/>
      <c r="G3" s="12"/>
      <c r="H3" s="12"/>
      <c r="I3" t="s">
        <v>74</v>
      </c>
      <c r="P3"/>
    </row>
    <row r="4" spans="1:33" x14ac:dyDescent="0.25">
      <c r="B4" s="127" t="s">
        <v>58</v>
      </c>
      <c r="C4" s="143" t="s">
        <v>78</v>
      </c>
      <c r="D4" s="143"/>
      <c r="E4" s="17"/>
      <c r="F4" s="17"/>
      <c r="G4" s="12"/>
      <c r="H4" s="12"/>
      <c r="I4" t="s">
        <v>75</v>
      </c>
      <c r="P4"/>
    </row>
    <row r="5" spans="1:33" x14ac:dyDescent="0.25">
      <c r="B5" s="127" t="s">
        <v>59</v>
      </c>
      <c r="C5" s="143" t="s">
        <v>79</v>
      </c>
      <c r="D5" s="143"/>
      <c r="E5" s="17"/>
      <c r="F5" s="17"/>
      <c r="G5" s="12"/>
      <c r="H5" s="12"/>
      <c r="I5"/>
      <c r="P5"/>
    </row>
    <row r="6" spans="1:33" x14ac:dyDescent="0.25">
      <c r="A6" s="15"/>
      <c r="B6" s="127" t="s">
        <v>60</v>
      </c>
      <c r="C6" s="128">
        <v>46130</v>
      </c>
      <c r="D6" s="17"/>
      <c r="E6" s="17"/>
      <c r="G6" s="2"/>
      <c r="H6"/>
      <c r="I6" s="148" t="s">
        <v>76</v>
      </c>
      <c r="J6" s="148"/>
      <c r="K6" s="148"/>
      <c r="L6" s="148"/>
      <c r="M6" s="148"/>
      <c r="P6"/>
    </row>
    <row r="7" spans="1:33" x14ac:dyDescent="0.25">
      <c r="A7" s="20"/>
      <c r="B7" s="13"/>
      <c r="C7" s="2"/>
      <c r="E7" s="24"/>
      <c r="F7" s="24"/>
      <c r="H7" s="18"/>
      <c r="I7" s="20"/>
      <c r="J7" s="20"/>
      <c r="K7" s="20"/>
      <c r="L7" s="22"/>
      <c r="M7" s="20"/>
      <c r="N7" s="20"/>
      <c r="O7" s="20"/>
      <c r="P7" s="20"/>
      <c r="Q7" s="20"/>
    </row>
    <row r="8" spans="1:33" x14ac:dyDescent="0.25">
      <c r="A8" s="20"/>
      <c r="B8" s="17"/>
      <c r="G8" s="20"/>
      <c r="H8" s="20"/>
      <c r="M8" s="10">
        <f>SUM(M10:M203)</f>
        <v>7</v>
      </c>
      <c r="N8" s="10">
        <f>SUM(N10:N203)</f>
        <v>0</v>
      </c>
      <c r="O8" s="10">
        <f>SUM(O10:O203)</f>
        <v>0</v>
      </c>
      <c r="P8" s="10">
        <f>SUM(P10:P203)</f>
        <v>0</v>
      </c>
      <c r="AC8" s="9"/>
      <c r="AD8" s="1"/>
      <c r="AE8" s="9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1" t="s">
        <v>4</v>
      </c>
      <c r="F9" s="11" t="s">
        <v>5</v>
      </c>
      <c r="G9" s="11" t="s">
        <v>18</v>
      </c>
      <c r="H9" s="11" t="s">
        <v>19</v>
      </c>
      <c r="I9" s="11" t="s">
        <v>22</v>
      </c>
      <c r="J9" s="11" t="s">
        <v>20</v>
      </c>
      <c r="K9" s="11" t="s">
        <v>21</v>
      </c>
      <c r="L9" s="32" t="s">
        <v>25</v>
      </c>
      <c r="M9" s="11" t="s">
        <v>50</v>
      </c>
      <c r="N9" s="11" t="s">
        <v>51</v>
      </c>
      <c r="O9" s="11" t="s">
        <v>51</v>
      </c>
      <c r="P9" s="11" t="s">
        <v>51</v>
      </c>
      <c r="Q9" s="25" t="s">
        <v>64</v>
      </c>
      <c r="R9" s="27"/>
      <c r="S9" s="27"/>
      <c r="T9" s="23"/>
      <c r="U9" s="29" t="s">
        <v>23</v>
      </c>
      <c r="V9" s="30" t="s">
        <v>24</v>
      </c>
    </row>
    <row r="10" spans="1:33" x14ac:dyDescent="0.25">
      <c r="A10" s="8">
        <v>1</v>
      </c>
      <c r="B10" s="107" t="s">
        <v>85</v>
      </c>
      <c r="C10" s="107" t="s">
        <v>86</v>
      </c>
      <c r="D10" s="108" t="s">
        <v>87</v>
      </c>
      <c r="E10" s="57">
        <v>21</v>
      </c>
      <c r="F10" s="57">
        <v>6</v>
      </c>
      <c r="G10" s="57">
        <v>53</v>
      </c>
      <c r="H10" s="57"/>
      <c r="I10" s="57"/>
      <c r="J10" s="57"/>
      <c r="K10" s="57"/>
      <c r="L10" s="57"/>
      <c r="M10" s="109">
        <v>1</v>
      </c>
      <c r="N10" s="110"/>
      <c r="O10" s="110"/>
      <c r="P10" s="110"/>
      <c r="Q10" s="8">
        <v>1</v>
      </c>
      <c r="R10" s="1"/>
      <c r="S10" s="1"/>
      <c r="T10" s="23">
        <v>1</v>
      </c>
      <c r="U10" s="8">
        <v>7</v>
      </c>
      <c r="V10" s="28">
        <v>4</v>
      </c>
    </row>
    <row r="11" spans="1:33" x14ac:dyDescent="0.25">
      <c r="A11" s="8">
        <f>+A10+1</f>
        <v>2</v>
      </c>
      <c r="B11" s="107" t="s">
        <v>135</v>
      </c>
      <c r="C11" s="107" t="s">
        <v>136</v>
      </c>
      <c r="D11" s="108" t="s">
        <v>137</v>
      </c>
      <c r="E11" s="57">
        <v>17</v>
      </c>
      <c r="F11" s="57">
        <v>7</v>
      </c>
      <c r="G11" s="57">
        <v>158</v>
      </c>
      <c r="H11" s="57"/>
      <c r="I11" s="57"/>
      <c r="J11" s="57"/>
      <c r="K11" s="57"/>
      <c r="L11" s="57"/>
      <c r="M11" s="109">
        <v>1</v>
      </c>
      <c r="N11" s="110"/>
      <c r="O11" s="110"/>
      <c r="P11" s="110"/>
      <c r="Q11" s="8">
        <v>2</v>
      </c>
      <c r="R11" s="1"/>
      <c r="S11" s="1"/>
      <c r="T11" s="23">
        <f>+T10+1</f>
        <v>2</v>
      </c>
      <c r="U11" s="28">
        <f>+T11*7+U10</f>
        <v>21</v>
      </c>
      <c r="V11" s="28">
        <f>+T11*4+V10</f>
        <v>12</v>
      </c>
    </row>
    <row r="12" spans="1:33" x14ac:dyDescent="0.25">
      <c r="A12" s="8">
        <f t="shared" ref="A12:A75" si="0">+A11+1</f>
        <v>3</v>
      </c>
      <c r="B12" s="107" t="s">
        <v>182</v>
      </c>
      <c r="C12" s="97" t="s">
        <v>183</v>
      </c>
      <c r="D12" s="98" t="s">
        <v>184</v>
      </c>
      <c r="E12" s="57">
        <v>13</v>
      </c>
      <c r="F12" s="57">
        <v>6</v>
      </c>
      <c r="G12" s="57">
        <v>114</v>
      </c>
      <c r="H12" s="57"/>
      <c r="I12" s="57"/>
      <c r="J12" s="57"/>
      <c r="K12" s="57"/>
      <c r="L12" s="57"/>
      <c r="M12" s="109">
        <v>1</v>
      </c>
      <c r="N12" s="110"/>
      <c r="O12" s="110"/>
      <c r="P12" s="110"/>
      <c r="Q12" s="8" t="s">
        <v>65</v>
      </c>
      <c r="R12" s="1"/>
      <c r="S12" s="1"/>
      <c r="T12" s="23">
        <f t="shared" ref="T12:T19" si="1">+T11+1</f>
        <v>3</v>
      </c>
      <c r="U12" s="28">
        <f t="shared" ref="U12:U19" si="2">+T12*7+U11</f>
        <v>42</v>
      </c>
      <c r="V12" s="28">
        <f t="shared" ref="V12:V19" si="3">+T12*4+V11</f>
        <v>24</v>
      </c>
    </row>
    <row r="13" spans="1:33" x14ac:dyDescent="0.25">
      <c r="A13" s="8">
        <f t="shared" si="0"/>
        <v>4</v>
      </c>
      <c r="B13" s="107" t="s">
        <v>178</v>
      </c>
      <c r="C13" s="107" t="s">
        <v>165</v>
      </c>
      <c r="D13" s="108" t="s">
        <v>179</v>
      </c>
      <c r="E13" s="57">
        <v>13</v>
      </c>
      <c r="F13" s="57">
        <v>6</v>
      </c>
      <c r="G13" s="57">
        <v>52</v>
      </c>
      <c r="H13" s="57"/>
      <c r="I13" s="57"/>
      <c r="J13" s="57"/>
      <c r="K13" s="57"/>
      <c r="L13" s="57"/>
      <c r="M13" s="109">
        <v>1</v>
      </c>
      <c r="N13" s="110"/>
      <c r="O13" s="110"/>
      <c r="P13" s="110"/>
      <c r="Q13" s="8" t="s">
        <v>65</v>
      </c>
      <c r="R13" s="1"/>
      <c r="S13" s="1"/>
      <c r="T13" s="23">
        <f t="shared" si="1"/>
        <v>4</v>
      </c>
      <c r="U13" s="28">
        <f t="shared" si="2"/>
        <v>70</v>
      </c>
      <c r="V13" s="28">
        <f t="shared" si="3"/>
        <v>40</v>
      </c>
    </row>
    <row r="14" spans="1:33" x14ac:dyDescent="0.25">
      <c r="A14" s="8">
        <f t="shared" si="0"/>
        <v>5</v>
      </c>
      <c r="B14" s="107" t="s">
        <v>111</v>
      </c>
      <c r="C14" s="107" t="s">
        <v>112</v>
      </c>
      <c r="D14" s="108" t="s">
        <v>113</v>
      </c>
      <c r="E14" s="57">
        <v>12</v>
      </c>
      <c r="F14" s="57">
        <v>6</v>
      </c>
      <c r="G14" s="57">
        <v>57</v>
      </c>
      <c r="H14" s="57"/>
      <c r="I14" s="57"/>
      <c r="J14" s="57"/>
      <c r="K14" s="57"/>
      <c r="L14" s="57"/>
      <c r="M14" s="109">
        <v>1</v>
      </c>
      <c r="N14" s="110"/>
      <c r="O14" s="110"/>
      <c r="P14" s="110"/>
      <c r="Q14" s="8" t="s">
        <v>66</v>
      </c>
      <c r="R14" s="1"/>
      <c r="S14" s="1"/>
      <c r="T14" s="23">
        <f t="shared" si="1"/>
        <v>5</v>
      </c>
      <c r="U14" s="28">
        <f t="shared" si="2"/>
        <v>105</v>
      </c>
      <c r="V14" s="28">
        <f t="shared" si="3"/>
        <v>60</v>
      </c>
    </row>
    <row r="15" spans="1:33" x14ac:dyDescent="0.25">
      <c r="A15" s="8">
        <f t="shared" si="0"/>
        <v>6</v>
      </c>
      <c r="B15" s="107" t="s">
        <v>116</v>
      </c>
      <c r="C15" s="107" t="s">
        <v>101</v>
      </c>
      <c r="D15" s="108" t="s">
        <v>117</v>
      </c>
      <c r="E15" s="57">
        <v>12</v>
      </c>
      <c r="F15" s="57">
        <v>6</v>
      </c>
      <c r="G15" s="57">
        <v>7</v>
      </c>
      <c r="H15" s="57"/>
      <c r="I15" s="57"/>
      <c r="J15" s="57"/>
      <c r="K15" s="57"/>
      <c r="L15" s="57"/>
      <c r="M15" s="110">
        <v>1</v>
      </c>
      <c r="N15" s="110"/>
      <c r="O15" s="110"/>
      <c r="P15" s="110"/>
      <c r="Q15" s="8" t="s">
        <v>66</v>
      </c>
      <c r="R15" s="1"/>
      <c r="S15" s="1"/>
      <c r="T15" s="23">
        <f t="shared" si="1"/>
        <v>6</v>
      </c>
      <c r="U15" s="28">
        <f t="shared" si="2"/>
        <v>147</v>
      </c>
      <c r="V15" s="28">
        <f t="shared" si="3"/>
        <v>84</v>
      </c>
    </row>
    <row r="16" spans="1:33" x14ac:dyDescent="0.25">
      <c r="A16" s="8">
        <f t="shared" si="0"/>
        <v>7</v>
      </c>
      <c r="B16" s="107" t="s">
        <v>149</v>
      </c>
      <c r="C16" s="107" t="s">
        <v>150</v>
      </c>
      <c r="D16" s="108" t="s">
        <v>151</v>
      </c>
      <c r="E16" s="57">
        <v>12</v>
      </c>
      <c r="F16" s="57">
        <v>5</v>
      </c>
      <c r="G16" s="57">
        <v>54</v>
      </c>
      <c r="H16" s="57"/>
      <c r="I16" s="57"/>
      <c r="J16" s="57"/>
      <c r="K16" s="57"/>
      <c r="L16" s="57"/>
      <c r="M16" s="109">
        <v>1</v>
      </c>
      <c r="N16" s="109"/>
      <c r="O16" s="109"/>
      <c r="P16" s="110"/>
      <c r="Q16" s="8" t="s">
        <v>66</v>
      </c>
      <c r="R16" s="1"/>
      <c r="S16" s="1"/>
      <c r="T16" s="23">
        <f t="shared" si="1"/>
        <v>7</v>
      </c>
      <c r="U16" s="28">
        <f t="shared" si="2"/>
        <v>196</v>
      </c>
      <c r="V16" s="28">
        <f t="shared" si="3"/>
        <v>112</v>
      </c>
    </row>
    <row r="17" spans="1:22" x14ac:dyDescent="0.25">
      <c r="A17" s="8">
        <f t="shared" si="0"/>
        <v>8</v>
      </c>
      <c r="B17" s="107"/>
      <c r="C17" s="107"/>
      <c r="D17" s="108"/>
      <c r="E17" s="57"/>
      <c r="F17" s="57"/>
      <c r="G17" s="57"/>
      <c r="H17" s="57"/>
      <c r="I17" s="57"/>
      <c r="J17" s="57"/>
      <c r="K17" s="57"/>
      <c r="L17" s="57"/>
      <c r="M17" s="109"/>
      <c r="N17" s="110"/>
      <c r="O17" s="110"/>
      <c r="P17" s="110"/>
      <c r="Q17" s="8" t="s">
        <v>66</v>
      </c>
      <c r="R17" s="1"/>
      <c r="S17" s="1"/>
      <c r="T17" s="23">
        <f t="shared" si="1"/>
        <v>8</v>
      </c>
      <c r="U17" s="28">
        <f t="shared" si="2"/>
        <v>252</v>
      </c>
      <c r="V17" s="28">
        <f t="shared" si="3"/>
        <v>144</v>
      </c>
    </row>
    <row r="18" spans="1:22" x14ac:dyDescent="0.25">
      <c r="A18" s="8">
        <f t="shared" si="0"/>
        <v>9</v>
      </c>
      <c r="B18" s="107"/>
      <c r="C18" s="97"/>
      <c r="D18" s="98"/>
      <c r="E18" s="57"/>
      <c r="F18" s="57"/>
      <c r="G18" s="57"/>
      <c r="H18" s="57"/>
      <c r="I18" s="57"/>
      <c r="J18" s="57"/>
      <c r="K18" s="57"/>
      <c r="L18" s="57"/>
      <c r="M18" s="109"/>
      <c r="N18" s="110"/>
      <c r="O18" s="110"/>
      <c r="P18" s="110"/>
      <c r="Q18" s="8" t="s">
        <v>67</v>
      </c>
      <c r="R18" s="1"/>
      <c r="S18" s="1"/>
      <c r="T18" s="23">
        <f t="shared" si="1"/>
        <v>9</v>
      </c>
      <c r="U18" s="28">
        <f t="shared" si="2"/>
        <v>315</v>
      </c>
      <c r="V18" s="28">
        <f t="shared" si="3"/>
        <v>180</v>
      </c>
    </row>
    <row r="19" spans="1:22" x14ac:dyDescent="0.25">
      <c r="A19" s="8">
        <f t="shared" si="0"/>
        <v>10</v>
      </c>
      <c r="B19" s="97"/>
      <c r="C19" s="97"/>
      <c r="D19" s="98"/>
      <c r="E19" s="57"/>
      <c r="F19" s="57"/>
      <c r="G19" s="57"/>
      <c r="H19" s="57"/>
      <c r="I19" s="57"/>
      <c r="J19" s="57"/>
      <c r="K19" s="57"/>
      <c r="L19" s="57"/>
      <c r="M19" s="99"/>
      <c r="N19" s="99"/>
      <c r="O19" s="99"/>
      <c r="P19" s="101"/>
      <c r="Q19" s="8" t="s">
        <v>67</v>
      </c>
      <c r="R19" s="1"/>
      <c r="S19" s="1"/>
      <c r="T19" s="23">
        <f t="shared" si="1"/>
        <v>10</v>
      </c>
      <c r="U19" s="28">
        <f t="shared" si="2"/>
        <v>385</v>
      </c>
      <c r="V19" s="28">
        <f t="shared" si="3"/>
        <v>220</v>
      </c>
    </row>
    <row r="20" spans="1:22" x14ac:dyDescent="0.25">
      <c r="A20" s="8">
        <f t="shared" si="0"/>
        <v>11</v>
      </c>
      <c r="B20" s="97"/>
      <c r="C20" s="97"/>
      <c r="D20" s="98"/>
      <c r="E20" s="57"/>
      <c r="F20" s="57"/>
      <c r="G20" s="57"/>
      <c r="H20" s="57"/>
      <c r="I20" s="57"/>
      <c r="J20" s="57"/>
      <c r="K20" s="57"/>
      <c r="L20" s="57"/>
      <c r="M20" s="99"/>
      <c r="N20" s="99"/>
      <c r="O20" s="99"/>
      <c r="P20" s="101"/>
      <c r="Q20" s="8" t="s">
        <v>67</v>
      </c>
      <c r="R20" s="1"/>
      <c r="S20" s="1"/>
    </row>
    <row r="21" spans="1:22" x14ac:dyDescent="0.25">
      <c r="A21" s="8">
        <f t="shared" si="0"/>
        <v>12</v>
      </c>
      <c r="B21" s="97"/>
      <c r="C21" s="97"/>
      <c r="D21" s="98"/>
      <c r="E21" s="57"/>
      <c r="F21" s="57"/>
      <c r="G21" s="57"/>
      <c r="H21" s="57"/>
      <c r="I21" s="57"/>
      <c r="J21" s="57"/>
      <c r="K21" s="57"/>
      <c r="L21" s="57"/>
      <c r="M21" s="99"/>
      <c r="N21" s="99"/>
      <c r="O21" s="99"/>
      <c r="P21" s="101"/>
      <c r="Q21" s="8" t="s">
        <v>67</v>
      </c>
      <c r="R21" s="1"/>
      <c r="S21" s="1"/>
    </row>
    <row r="22" spans="1:22" x14ac:dyDescent="0.25">
      <c r="A22" s="8">
        <f t="shared" si="0"/>
        <v>13</v>
      </c>
      <c r="B22" s="97"/>
      <c r="C22" s="97"/>
      <c r="D22" s="98"/>
      <c r="E22" s="57"/>
      <c r="F22" s="57"/>
      <c r="G22" s="57"/>
      <c r="H22" s="57"/>
      <c r="I22" s="57"/>
      <c r="J22" s="57"/>
      <c r="K22" s="57"/>
      <c r="L22" s="57"/>
      <c r="M22" s="99"/>
      <c r="N22" s="99"/>
      <c r="O22" s="99"/>
      <c r="P22" s="101"/>
      <c r="Q22" s="8" t="s">
        <v>67</v>
      </c>
      <c r="R22" s="1"/>
      <c r="S22" s="1"/>
    </row>
    <row r="23" spans="1:22" x14ac:dyDescent="0.25">
      <c r="A23" s="8">
        <f t="shared" si="0"/>
        <v>14</v>
      </c>
      <c r="B23" s="97"/>
      <c r="C23" s="97"/>
      <c r="D23" s="98"/>
      <c r="E23" s="57"/>
      <c r="F23" s="57"/>
      <c r="G23" s="57"/>
      <c r="H23" s="57"/>
      <c r="I23" s="57"/>
      <c r="J23" s="57"/>
      <c r="K23" s="57"/>
      <c r="L23" s="57"/>
      <c r="M23" s="99"/>
      <c r="N23" s="99"/>
      <c r="O23" s="99"/>
      <c r="P23" s="101"/>
      <c r="Q23" s="8" t="s">
        <v>67</v>
      </c>
      <c r="R23" s="1"/>
      <c r="S23" s="1"/>
    </row>
    <row r="24" spans="1:22" x14ac:dyDescent="0.25">
      <c r="A24" s="8">
        <f t="shared" si="0"/>
        <v>15</v>
      </c>
      <c r="B24" s="97"/>
      <c r="C24" s="97"/>
      <c r="D24" s="98"/>
      <c r="E24" s="57"/>
      <c r="F24" s="57"/>
      <c r="G24" s="57"/>
      <c r="H24" s="57"/>
      <c r="I24" s="57"/>
      <c r="J24" s="57"/>
      <c r="K24" s="57"/>
      <c r="L24" s="57"/>
      <c r="M24" s="101"/>
      <c r="N24" s="101"/>
      <c r="O24" s="101"/>
      <c r="P24" s="101"/>
      <c r="Q24" s="8" t="s">
        <v>67</v>
      </c>
      <c r="R24" s="1"/>
      <c r="S24" s="1"/>
    </row>
    <row r="25" spans="1:22" x14ac:dyDescent="0.25">
      <c r="A25" s="8">
        <f t="shared" si="0"/>
        <v>16</v>
      </c>
      <c r="B25" s="97"/>
      <c r="C25" s="97"/>
      <c r="D25" s="98"/>
      <c r="E25" s="57"/>
      <c r="F25" s="57"/>
      <c r="G25" s="57"/>
      <c r="H25" s="57"/>
      <c r="I25" s="57"/>
      <c r="J25" s="57"/>
      <c r="K25" s="57"/>
      <c r="L25" s="57"/>
      <c r="M25" s="99"/>
      <c r="N25" s="99"/>
      <c r="O25" s="99"/>
      <c r="P25" s="101"/>
      <c r="Q25" s="8" t="s">
        <v>67</v>
      </c>
      <c r="R25" s="1"/>
      <c r="S25" s="1"/>
    </row>
    <row r="26" spans="1:22" x14ac:dyDescent="0.25">
      <c r="A26" s="8">
        <f t="shared" si="0"/>
        <v>17</v>
      </c>
      <c r="B26" s="68"/>
      <c r="C26" s="68"/>
      <c r="D26" s="70"/>
      <c r="E26" s="57"/>
      <c r="F26" s="57"/>
      <c r="G26" s="57"/>
      <c r="H26" s="57"/>
      <c r="I26" s="57"/>
      <c r="J26" s="57"/>
      <c r="K26" s="57"/>
      <c r="L26" s="57"/>
      <c r="M26" s="71"/>
      <c r="N26" s="71"/>
      <c r="O26" s="71"/>
      <c r="P26" s="71"/>
      <c r="Q26" s="8" t="s">
        <v>68</v>
      </c>
      <c r="R26" s="1"/>
      <c r="S26" s="1"/>
    </row>
    <row r="27" spans="1:22" x14ac:dyDescent="0.25">
      <c r="A27" s="8">
        <f t="shared" si="0"/>
        <v>18</v>
      </c>
      <c r="B27" s="97"/>
      <c r="C27" s="97"/>
      <c r="D27" s="97"/>
      <c r="E27" s="102"/>
      <c r="F27" s="102"/>
      <c r="G27" s="102"/>
      <c r="H27" s="102"/>
      <c r="I27" s="99"/>
      <c r="J27" s="57"/>
      <c r="K27" s="99"/>
      <c r="L27" s="100"/>
      <c r="M27" s="101"/>
      <c r="N27" s="101"/>
      <c r="O27" s="101"/>
      <c r="P27" s="101"/>
      <c r="Q27" s="8" t="s">
        <v>68</v>
      </c>
      <c r="S27" s="1"/>
    </row>
    <row r="28" spans="1:22" x14ac:dyDescent="0.25">
      <c r="A28" s="8">
        <f t="shared" si="0"/>
        <v>19</v>
      </c>
      <c r="B28" s="103"/>
      <c r="C28" s="97"/>
      <c r="D28" s="97"/>
      <c r="E28" s="102"/>
      <c r="F28" s="102"/>
      <c r="G28" s="102"/>
      <c r="H28" s="102"/>
      <c r="I28" s="99"/>
      <c r="J28" s="57"/>
      <c r="K28" s="99"/>
      <c r="L28" s="100"/>
      <c r="M28" s="99"/>
      <c r="N28" s="99"/>
      <c r="O28" s="99"/>
      <c r="P28" s="101"/>
      <c r="Q28" s="8" t="s">
        <v>68</v>
      </c>
      <c r="S28" s="1"/>
    </row>
    <row r="29" spans="1:22" x14ac:dyDescent="0.25">
      <c r="A29" s="8">
        <f t="shared" si="0"/>
        <v>20</v>
      </c>
      <c r="B29" s="97"/>
      <c r="C29" s="97"/>
      <c r="D29" s="97"/>
      <c r="E29" s="102"/>
      <c r="F29" s="102"/>
      <c r="G29" s="102"/>
      <c r="H29" s="102"/>
      <c r="I29" s="99"/>
      <c r="J29" s="57"/>
      <c r="K29" s="99"/>
      <c r="L29" s="100"/>
      <c r="M29" s="101"/>
      <c r="N29" s="101"/>
      <c r="O29" s="101"/>
      <c r="P29" s="101"/>
      <c r="Q29" s="8" t="s">
        <v>68</v>
      </c>
      <c r="S29" s="1"/>
    </row>
    <row r="30" spans="1:22" x14ac:dyDescent="0.25">
      <c r="A30" s="8">
        <f t="shared" si="0"/>
        <v>21</v>
      </c>
      <c r="B30" s="97"/>
      <c r="C30" s="97"/>
      <c r="D30" s="98"/>
      <c r="E30" s="102"/>
      <c r="F30" s="102"/>
      <c r="G30" s="102"/>
      <c r="H30" s="102"/>
      <c r="I30" s="99"/>
      <c r="J30" s="57"/>
      <c r="K30" s="99"/>
      <c r="L30" s="100"/>
      <c r="M30" s="99"/>
      <c r="N30" s="99"/>
      <c r="O30" s="99"/>
      <c r="P30" s="99"/>
      <c r="Q30" s="8" t="s">
        <v>68</v>
      </c>
      <c r="S30" s="1"/>
    </row>
    <row r="31" spans="1:22" x14ac:dyDescent="0.25">
      <c r="A31" s="8">
        <f t="shared" si="0"/>
        <v>22</v>
      </c>
      <c r="B31" s="97"/>
      <c r="C31" s="97"/>
      <c r="D31" s="98"/>
      <c r="E31" s="102"/>
      <c r="F31" s="102"/>
      <c r="G31" s="102"/>
      <c r="H31" s="102"/>
      <c r="I31" s="99"/>
      <c r="J31" s="57"/>
      <c r="K31" s="99"/>
      <c r="L31" s="100"/>
      <c r="M31" s="99"/>
      <c r="N31" s="99"/>
      <c r="O31" s="99"/>
      <c r="P31" s="99"/>
      <c r="Q31" s="8" t="s">
        <v>68</v>
      </c>
      <c r="S31" s="1"/>
    </row>
    <row r="32" spans="1:22" x14ac:dyDescent="0.25">
      <c r="A32" s="8">
        <f t="shared" si="0"/>
        <v>23</v>
      </c>
      <c r="B32" s="97"/>
      <c r="C32" s="97"/>
      <c r="D32" s="104"/>
      <c r="E32" s="102"/>
      <c r="F32" s="102"/>
      <c r="G32" s="102"/>
      <c r="H32" s="102"/>
      <c r="I32" s="99"/>
      <c r="J32" s="57"/>
      <c r="K32" s="99"/>
      <c r="L32" s="100"/>
      <c r="M32" s="99"/>
      <c r="N32" s="99"/>
      <c r="O32" s="99"/>
      <c r="P32" s="99"/>
      <c r="Q32" s="8" t="s">
        <v>68</v>
      </c>
      <c r="S32" s="1"/>
    </row>
    <row r="33" spans="1:19" x14ac:dyDescent="0.25">
      <c r="A33" s="8">
        <f t="shared" si="0"/>
        <v>24</v>
      </c>
      <c r="B33" s="97"/>
      <c r="C33" s="97"/>
      <c r="D33" s="98"/>
      <c r="E33" s="102"/>
      <c r="F33" s="102"/>
      <c r="G33" s="102"/>
      <c r="H33" s="102"/>
      <c r="I33" s="99"/>
      <c r="J33" s="57"/>
      <c r="K33" s="99"/>
      <c r="L33" s="100"/>
      <c r="M33" s="99"/>
      <c r="N33" s="99"/>
      <c r="O33" s="99"/>
      <c r="P33" s="99"/>
      <c r="Q33" s="8" t="s">
        <v>68</v>
      </c>
      <c r="S33" s="1"/>
    </row>
    <row r="34" spans="1:19" x14ac:dyDescent="0.25">
      <c r="A34" s="8">
        <f t="shared" si="0"/>
        <v>25</v>
      </c>
      <c r="B34" s="97"/>
      <c r="C34" s="97"/>
      <c r="D34" s="98"/>
      <c r="E34" s="102"/>
      <c r="F34" s="102"/>
      <c r="G34" s="102"/>
      <c r="H34" s="102"/>
      <c r="I34" s="99"/>
      <c r="J34" s="57"/>
      <c r="K34" s="99"/>
      <c r="L34" s="100"/>
      <c r="M34" s="99"/>
      <c r="N34" s="99"/>
      <c r="O34" s="99"/>
      <c r="P34" s="99"/>
      <c r="Q34" s="8" t="s">
        <v>68</v>
      </c>
      <c r="S34" s="1"/>
    </row>
    <row r="35" spans="1:19" x14ac:dyDescent="0.25">
      <c r="A35" s="8">
        <f t="shared" si="0"/>
        <v>26</v>
      </c>
      <c r="B35" s="97"/>
      <c r="C35" s="97"/>
      <c r="D35" s="98"/>
      <c r="E35" s="102"/>
      <c r="F35" s="102"/>
      <c r="G35" s="102"/>
      <c r="H35" s="102"/>
      <c r="I35" s="99"/>
      <c r="J35" s="57"/>
      <c r="K35" s="99"/>
      <c r="L35" s="100"/>
      <c r="M35" s="99"/>
      <c r="N35" s="99"/>
      <c r="O35" s="99"/>
      <c r="P35" s="99"/>
      <c r="Q35" s="8" t="s">
        <v>68</v>
      </c>
      <c r="S35" s="1"/>
    </row>
    <row r="36" spans="1:19" x14ac:dyDescent="0.25">
      <c r="A36" s="8">
        <f t="shared" si="0"/>
        <v>27</v>
      </c>
      <c r="B36" s="97"/>
      <c r="C36" s="97"/>
      <c r="D36" s="98"/>
      <c r="E36" s="102"/>
      <c r="F36" s="102"/>
      <c r="G36" s="102"/>
      <c r="H36" s="102"/>
      <c r="I36" s="99"/>
      <c r="J36" s="57"/>
      <c r="K36" s="99"/>
      <c r="L36" s="100"/>
      <c r="M36" s="99"/>
      <c r="N36" s="99"/>
      <c r="O36" s="99"/>
      <c r="P36" s="99"/>
      <c r="Q36" s="8" t="s">
        <v>68</v>
      </c>
      <c r="S36" s="1"/>
    </row>
    <row r="37" spans="1:19" x14ac:dyDescent="0.25">
      <c r="A37" s="8">
        <f t="shared" si="0"/>
        <v>28</v>
      </c>
      <c r="B37" s="97"/>
      <c r="C37" s="97"/>
      <c r="D37" s="98"/>
      <c r="E37" s="102"/>
      <c r="F37" s="102"/>
      <c r="G37" s="102"/>
      <c r="H37" s="102"/>
      <c r="I37" s="99"/>
      <c r="J37" s="57"/>
      <c r="K37" s="99"/>
      <c r="L37" s="100"/>
      <c r="M37" s="99"/>
      <c r="N37" s="99"/>
      <c r="O37" s="99"/>
      <c r="P37" s="99"/>
      <c r="Q37" s="8" t="s">
        <v>68</v>
      </c>
      <c r="S37" s="1"/>
    </row>
    <row r="38" spans="1:19" x14ac:dyDescent="0.25">
      <c r="A38" s="8">
        <f t="shared" si="0"/>
        <v>29</v>
      </c>
      <c r="B38" s="97"/>
      <c r="C38" s="97"/>
      <c r="D38" s="98"/>
      <c r="E38" s="102"/>
      <c r="F38" s="102"/>
      <c r="G38" s="102"/>
      <c r="H38" s="102"/>
      <c r="I38" s="99"/>
      <c r="J38" s="57"/>
      <c r="K38" s="99"/>
      <c r="L38" s="100"/>
      <c r="M38" s="99"/>
      <c r="N38" s="99"/>
      <c r="O38" s="99"/>
      <c r="P38" s="99"/>
      <c r="Q38" s="8" t="s">
        <v>68</v>
      </c>
      <c r="S38" s="1"/>
    </row>
    <row r="39" spans="1:19" x14ac:dyDescent="0.25">
      <c r="A39" s="8">
        <f t="shared" si="0"/>
        <v>30</v>
      </c>
      <c r="B39" s="97"/>
      <c r="C39" s="97"/>
      <c r="D39" s="98"/>
      <c r="E39" s="102"/>
      <c r="F39" s="102"/>
      <c r="G39" s="102"/>
      <c r="H39" s="102"/>
      <c r="I39" s="99"/>
      <c r="J39" s="57"/>
      <c r="K39" s="99"/>
      <c r="L39" s="100"/>
      <c r="M39" s="99"/>
      <c r="N39" s="99"/>
      <c r="O39" s="99"/>
      <c r="P39" s="99"/>
      <c r="Q39" s="8" t="s">
        <v>68</v>
      </c>
      <c r="S39" s="1"/>
    </row>
    <row r="40" spans="1:19" x14ac:dyDescent="0.25">
      <c r="A40" s="8">
        <f t="shared" si="0"/>
        <v>31</v>
      </c>
      <c r="B40" s="97"/>
      <c r="C40" s="97"/>
      <c r="D40" s="98"/>
      <c r="E40" s="102"/>
      <c r="F40" s="102"/>
      <c r="G40" s="102"/>
      <c r="H40" s="102"/>
      <c r="I40" s="99"/>
      <c r="J40" s="57"/>
      <c r="K40" s="99"/>
      <c r="L40" s="100"/>
      <c r="M40" s="99"/>
      <c r="N40" s="99"/>
      <c r="O40" s="99"/>
      <c r="P40" s="99"/>
      <c r="Q40" s="8" t="s">
        <v>68</v>
      </c>
      <c r="S40" s="1"/>
    </row>
    <row r="41" spans="1:19" x14ac:dyDescent="0.25">
      <c r="A41" s="8">
        <f t="shared" si="0"/>
        <v>32</v>
      </c>
      <c r="B41" s="97"/>
      <c r="C41" s="97"/>
      <c r="D41" s="98"/>
      <c r="E41" s="102"/>
      <c r="F41" s="102"/>
      <c r="G41" s="102"/>
      <c r="H41" s="102"/>
      <c r="I41" s="99"/>
      <c r="J41" s="57"/>
      <c r="K41" s="99"/>
      <c r="L41" s="100"/>
      <c r="M41" s="99"/>
      <c r="N41" s="99"/>
      <c r="O41" s="99"/>
      <c r="P41" s="99"/>
      <c r="Q41" s="8" t="s">
        <v>68</v>
      </c>
      <c r="S41" s="1"/>
    </row>
    <row r="42" spans="1:19" x14ac:dyDescent="0.25">
      <c r="A42" s="8">
        <f t="shared" si="0"/>
        <v>33</v>
      </c>
      <c r="B42" s="97"/>
      <c r="C42" s="97"/>
      <c r="D42" s="98"/>
      <c r="E42" s="102"/>
      <c r="F42" s="102"/>
      <c r="G42" s="102"/>
      <c r="H42" s="102"/>
      <c r="I42" s="99"/>
      <c r="J42" s="57"/>
      <c r="K42" s="99"/>
      <c r="L42" s="100"/>
      <c r="M42" s="99"/>
      <c r="N42" s="99"/>
      <c r="O42" s="99"/>
      <c r="P42" s="99"/>
    </row>
    <row r="43" spans="1:19" x14ac:dyDescent="0.25">
      <c r="A43" s="8">
        <f t="shared" si="0"/>
        <v>34</v>
      </c>
      <c r="B43" s="97"/>
      <c r="C43" s="97"/>
      <c r="D43" s="98"/>
      <c r="E43" s="102"/>
      <c r="F43" s="102"/>
      <c r="G43" s="102"/>
      <c r="H43" s="102"/>
      <c r="I43" s="99"/>
      <c r="J43" s="57"/>
      <c r="K43" s="99"/>
      <c r="L43" s="100"/>
      <c r="M43" s="99"/>
      <c r="N43" s="99"/>
      <c r="O43" s="99"/>
      <c r="P43" s="99"/>
    </row>
    <row r="44" spans="1:19" x14ac:dyDescent="0.25">
      <c r="A44" s="8">
        <f t="shared" si="0"/>
        <v>35</v>
      </c>
      <c r="B44" s="97"/>
      <c r="C44" s="97"/>
      <c r="D44" s="98"/>
      <c r="E44" s="102"/>
      <c r="F44" s="102"/>
      <c r="G44" s="102"/>
      <c r="H44" s="102"/>
      <c r="I44" s="99"/>
      <c r="J44" s="57"/>
      <c r="K44" s="99"/>
      <c r="L44" s="100"/>
      <c r="M44" s="99"/>
      <c r="N44" s="99"/>
      <c r="O44" s="99"/>
      <c r="P44" s="99"/>
    </row>
    <row r="45" spans="1:19" x14ac:dyDescent="0.25">
      <c r="A45" s="8">
        <f t="shared" si="0"/>
        <v>36</v>
      </c>
      <c r="B45" s="97"/>
      <c r="C45" s="97"/>
      <c r="D45" s="98"/>
      <c r="E45" s="102"/>
      <c r="F45" s="102"/>
      <c r="G45" s="102"/>
      <c r="H45" s="102"/>
      <c r="I45" s="99"/>
      <c r="J45" s="57"/>
      <c r="K45" s="99"/>
      <c r="L45" s="100"/>
      <c r="M45" s="99"/>
      <c r="N45" s="99"/>
      <c r="O45" s="99"/>
      <c r="P45" s="99"/>
    </row>
    <row r="46" spans="1:19" x14ac:dyDescent="0.25">
      <c r="A46" s="8">
        <f t="shared" si="0"/>
        <v>37</v>
      </c>
      <c r="B46" s="97"/>
      <c r="C46" s="97"/>
      <c r="D46" s="98"/>
      <c r="E46" s="102"/>
      <c r="F46" s="102"/>
      <c r="G46" s="102"/>
      <c r="H46" s="102"/>
      <c r="I46" s="99"/>
      <c r="J46" s="57"/>
      <c r="K46" s="99"/>
      <c r="L46" s="100"/>
      <c r="M46" s="99"/>
      <c r="N46" s="99"/>
      <c r="O46" s="99"/>
      <c r="P46" s="99"/>
    </row>
    <row r="47" spans="1:19" x14ac:dyDescent="0.25">
      <c r="A47" s="8">
        <f t="shared" si="0"/>
        <v>38</v>
      </c>
      <c r="B47" s="97"/>
      <c r="C47" s="97"/>
      <c r="D47" s="98"/>
      <c r="E47" s="102"/>
      <c r="F47" s="102"/>
      <c r="G47" s="102"/>
      <c r="H47" s="102"/>
      <c r="I47" s="99"/>
      <c r="J47" s="57"/>
      <c r="K47" s="99"/>
      <c r="L47" s="100"/>
      <c r="M47" s="99"/>
      <c r="N47" s="99"/>
      <c r="O47" s="99"/>
      <c r="P47" s="99"/>
    </row>
    <row r="48" spans="1:19" x14ac:dyDescent="0.25">
      <c r="A48" s="8">
        <f t="shared" si="0"/>
        <v>39</v>
      </c>
      <c r="B48" s="97"/>
      <c r="C48" s="97"/>
      <c r="D48" s="98"/>
      <c r="E48" s="102"/>
      <c r="F48" s="102"/>
      <c r="G48" s="102"/>
      <c r="H48" s="102"/>
      <c r="I48" s="99"/>
      <c r="J48" s="57"/>
      <c r="K48" s="99"/>
      <c r="L48" s="100"/>
      <c r="M48" s="99"/>
      <c r="N48" s="99"/>
      <c r="O48" s="99"/>
      <c r="P48" s="99"/>
    </row>
    <row r="49" spans="1:16" x14ac:dyDescent="0.25">
      <c r="A49" s="8">
        <f t="shared" si="0"/>
        <v>40</v>
      </c>
      <c r="B49" s="97"/>
      <c r="C49" s="97"/>
      <c r="D49" s="98"/>
      <c r="E49" s="102"/>
      <c r="F49" s="102"/>
      <c r="G49" s="102"/>
      <c r="H49" s="102"/>
      <c r="I49" s="99"/>
      <c r="J49" s="57"/>
      <c r="K49" s="99"/>
      <c r="L49" s="100"/>
      <c r="M49" s="99"/>
      <c r="N49" s="99"/>
      <c r="O49" s="99"/>
      <c r="P49" s="99"/>
    </row>
    <row r="50" spans="1:16" x14ac:dyDescent="0.25">
      <c r="A50" s="8">
        <f t="shared" si="0"/>
        <v>41</v>
      </c>
      <c r="B50" s="97"/>
      <c r="C50" s="97"/>
      <c r="D50" s="98"/>
      <c r="E50" s="102"/>
      <c r="F50" s="102"/>
      <c r="G50" s="102"/>
      <c r="H50" s="102"/>
      <c r="I50" s="99"/>
      <c r="J50" s="57"/>
      <c r="K50" s="99"/>
      <c r="L50" s="100"/>
      <c r="M50" s="99"/>
      <c r="N50" s="99"/>
      <c r="O50" s="99"/>
      <c r="P50" s="99"/>
    </row>
    <row r="51" spans="1:16" x14ac:dyDescent="0.25">
      <c r="A51" s="8">
        <f t="shared" si="0"/>
        <v>42</v>
      </c>
      <c r="B51" s="97"/>
      <c r="C51" s="97"/>
      <c r="D51" s="98"/>
      <c r="E51" s="102"/>
      <c r="F51" s="102"/>
      <c r="G51" s="102"/>
      <c r="H51" s="102"/>
      <c r="I51" s="99"/>
      <c r="J51" s="57"/>
      <c r="K51" s="99"/>
      <c r="L51" s="100"/>
      <c r="M51" s="99"/>
      <c r="N51" s="99"/>
      <c r="O51" s="99"/>
      <c r="P51" s="99"/>
    </row>
    <row r="52" spans="1:16" x14ac:dyDescent="0.25">
      <c r="A52" s="8">
        <f t="shared" si="0"/>
        <v>43</v>
      </c>
      <c r="B52" s="97"/>
      <c r="C52" s="97"/>
      <c r="D52" s="98"/>
      <c r="E52" s="102"/>
      <c r="F52" s="102"/>
      <c r="G52" s="102"/>
      <c r="H52" s="102"/>
      <c r="I52" s="99"/>
      <c r="J52" s="57"/>
      <c r="K52" s="99"/>
      <c r="L52" s="100"/>
      <c r="M52" s="99"/>
      <c r="N52" s="99"/>
      <c r="O52" s="99"/>
      <c r="P52" s="99"/>
    </row>
    <row r="53" spans="1:16" x14ac:dyDescent="0.25">
      <c r="A53" s="8">
        <f t="shared" si="0"/>
        <v>44</v>
      </c>
      <c r="B53" s="97"/>
      <c r="C53" s="97"/>
      <c r="D53" s="98"/>
      <c r="E53" s="102"/>
      <c r="F53" s="102"/>
      <c r="G53" s="102"/>
      <c r="H53" s="102"/>
      <c r="I53" s="99"/>
      <c r="J53" s="57"/>
      <c r="K53" s="99"/>
      <c r="L53" s="100"/>
      <c r="M53" s="99"/>
      <c r="N53" s="99"/>
      <c r="O53" s="99"/>
      <c r="P53" s="99"/>
    </row>
    <row r="54" spans="1:16" x14ac:dyDescent="0.25">
      <c r="A54" s="8">
        <f t="shared" si="0"/>
        <v>45</v>
      </c>
      <c r="B54" s="97"/>
      <c r="C54" s="97"/>
      <c r="D54" s="98"/>
      <c r="E54" s="102"/>
      <c r="F54" s="102"/>
      <c r="G54" s="102"/>
      <c r="H54" s="102"/>
      <c r="I54" s="99"/>
      <c r="J54" s="57"/>
      <c r="K54" s="99"/>
      <c r="L54" s="100"/>
      <c r="M54" s="99"/>
      <c r="N54" s="99"/>
      <c r="O54" s="99"/>
      <c r="P54" s="99"/>
    </row>
    <row r="55" spans="1:16" x14ac:dyDescent="0.25">
      <c r="A55" s="8">
        <f t="shared" si="0"/>
        <v>46</v>
      </c>
      <c r="B55" s="97"/>
      <c r="C55" s="97"/>
      <c r="D55" s="98"/>
      <c r="E55" s="102"/>
      <c r="F55" s="102"/>
      <c r="G55" s="102"/>
      <c r="H55" s="102"/>
      <c r="I55" s="99"/>
      <c r="J55" s="57"/>
      <c r="K55" s="99"/>
      <c r="L55" s="100"/>
      <c r="M55" s="99"/>
      <c r="N55" s="99"/>
      <c r="O55" s="99"/>
      <c r="P55" s="99"/>
    </row>
    <row r="56" spans="1:16" x14ac:dyDescent="0.25">
      <c r="A56" s="8">
        <f t="shared" si="0"/>
        <v>47</v>
      </c>
      <c r="B56" s="97"/>
      <c r="C56" s="97"/>
      <c r="D56" s="98"/>
      <c r="E56" s="102"/>
      <c r="F56" s="102"/>
      <c r="G56" s="102"/>
      <c r="H56" s="102"/>
      <c r="I56" s="99"/>
      <c r="J56" s="57"/>
      <c r="K56" s="99"/>
      <c r="L56" s="100"/>
      <c r="M56" s="99"/>
      <c r="N56" s="99"/>
      <c r="O56" s="99"/>
      <c r="P56" s="99"/>
    </row>
    <row r="57" spans="1:16" x14ac:dyDescent="0.25">
      <c r="A57" s="8">
        <f t="shared" si="0"/>
        <v>48</v>
      </c>
      <c r="B57" s="97"/>
      <c r="C57" s="97"/>
      <c r="D57" s="98"/>
      <c r="E57" s="102"/>
      <c r="F57" s="102"/>
      <c r="G57" s="102"/>
      <c r="H57" s="102"/>
      <c r="I57" s="99"/>
      <c r="J57" s="57"/>
      <c r="K57" s="99"/>
      <c r="L57" s="100"/>
      <c r="M57" s="99"/>
      <c r="N57" s="99"/>
      <c r="O57" s="99"/>
      <c r="P57" s="99"/>
    </row>
    <row r="58" spans="1:16" x14ac:dyDescent="0.25">
      <c r="A58" s="8">
        <f t="shared" si="0"/>
        <v>49</v>
      </c>
      <c r="B58" s="97"/>
      <c r="C58" s="97"/>
      <c r="D58" s="98"/>
      <c r="E58" s="102"/>
      <c r="F58" s="102"/>
      <c r="G58" s="102"/>
      <c r="H58" s="102"/>
      <c r="I58" s="99"/>
      <c r="J58" s="57"/>
      <c r="K58" s="99"/>
      <c r="L58" s="100"/>
      <c r="M58" s="99"/>
      <c r="N58" s="99"/>
      <c r="O58" s="99"/>
      <c r="P58" s="99"/>
    </row>
    <row r="59" spans="1:16" x14ac:dyDescent="0.25">
      <c r="A59" s="8">
        <f t="shared" si="0"/>
        <v>50</v>
      </c>
      <c r="B59" s="97"/>
      <c r="C59" s="97"/>
      <c r="D59" s="98"/>
      <c r="E59" s="102"/>
      <c r="F59" s="102"/>
      <c r="G59" s="102"/>
      <c r="H59" s="102"/>
      <c r="I59" s="99"/>
      <c r="J59" s="57"/>
      <c r="K59" s="99"/>
      <c r="L59" s="100"/>
      <c r="M59" s="99"/>
      <c r="N59" s="99"/>
      <c r="O59" s="99"/>
      <c r="P59" s="99"/>
    </row>
    <row r="60" spans="1:16" x14ac:dyDescent="0.25">
      <c r="A60" s="8">
        <f t="shared" si="0"/>
        <v>51</v>
      </c>
      <c r="B60" s="97"/>
      <c r="C60" s="97"/>
      <c r="D60" s="98"/>
      <c r="E60" s="102"/>
      <c r="F60" s="102"/>
      <c r="G60" s="102"/>
      <c r="H60" s="102"/>
      <c r="I60" s="99"/>
      <c r="J60" s="57"/>
      <c r="K60" s="99"/>
      <c r="L60" s="100"/>
      <c r="M60" s="99"/>
      <c r="N60" s="99"/>
      <c r="O60" s="99"/>
      <c r="P60" s="99"/>
    </row>
    <row r="61" spans="1:16" x14ac:dyDescent="0.25">
      <c r="A61" s="8">
        <f t="shared" si="0"/>
        <v>52</v>
      </c>
      <c r="B61" s="97"/>
      <c r="C61" s="97"/>
      <c r="D61" s="98"/>
      <c r="E61" s="102"/>
      <c r="F61" s="102"/>
      <c r="G61" s="102"/>
      <c r="H61" s="102"/>
      <c r="I61" s="99"/>
      <c r="J61" s="57"/>
      <c r="K61" s="99"/>
      <c r="L61" s="100"/>
      <c r="M61" s="99"/>
      <c r="N61" s="99"/>
      <c r="O61" s="99"/>
      <c r="P61" s="99"/>
    </row>
    <row r="62" spans="1:16" x14ac:dyDescent="0.25">
      <c r="A62" s="8">
        <f t="shared" si="0"/>
        <v>53</v>
      </c>
      <c r="B62" s="97"/>
      <c r="C62" s="97"/>
      <c r="D62" s="98"/>
      <c r="E62" s="102"/>
      <c r="F62" s="102"/>
      <c r="G62" s="102"/>
      <c r="H62" s="102"/>
      <c r="I62" s="99"/>
      <c r="J62" s="57"/>
      <c r="K62" s="99"/>
      <c r="L62" s="100"/>
      <c r="M62" s="99"/>
      <c r="N62" s="99"/>
      <c r="O62" s="99"/>
      <c r="P62" s="99"/>
    </row>
    <row r="63" spans="1:16" x14ac:dyDescent="0.25">
      <c r="A63" s="8">
        <f t="shared" si="0"/>
        <v>54</v>
      </c>
      <c r="B63" s="97"/>
      <c r="C63" s="97"/>
      <c r="D63" s="98"/>
      <c r="E63" s="102"/>
      <c r="F63" s="102"/>
      <c r="G63" s="102"/>
      <c r="H63" s="102"/>
      <c r="I63" s="99"/>
      <c r="J63" s="57"/>
      <c r="K63" s="99"/>
      <c r="L63" s="100"/>
      <c r="M63" s="99"/>
      <c r="N63" s="99"/>
      <c r="O63" s="99"/>
      <c r="P63" s="99"/>
    </row>
    <row r="64" spans="1:16" x14ac:dyDescent="0.25">
      <c r="A64" s="8">
        <f t="shared" si="0"/>
        <v>55</v>
      </c>
      <c r="B64" s="97"/>
      <c r="C64" s="97"/>
      <c r="D64" s="98"/>
      <c r="E64" s="102"/>
      <c r="F64" s="102"/>
      <c r="G64" s="102"/>
      <c r="H64" s="102"/>
      <c r="I64" s="99"/>
      <c r="J64" s="57"/>
      <c r="K64" s="99"/>
      <c r="L64" s="100"/>
      <c r="M64" s="99"/>
      <c r="N64" s="99"/>
      <c r="O64" s="99"/>
      <c r="P64" s="99"/>
    </row>
    <row r="65" spans="1:16" x14ac:dyDescent="0.25">
      <c r="A65" s="8">
        <f t="shared" si="0"/>
        <v>56</v>
      </c>
      <c r="B65" s="97"/>
      <c r="C65" s="97"/>
      <c r="D65" s="98"/>
      <c r="E65" s="102"/>
      <c r="F65" s="102"/>
      <c r="G65" s="102"/>
      <c r="H65" s="102"/>
      <c r="I65" s="99"/>
      <c r="J65" s="57"/>
      <c r="K65" s="99"/>
      <c r="L65" s="100"/>
      <c r="M65" s="99"/>
      <c r="N65" s="99"/>
      <c r="O65" s="99"/>
      <c r="P65" s="99"/>
    </row>
    <row r="66" spans="1:16" x14ac:dyDescent="0.25">
      <c r="A66" s="8">
        <f t="shared" si="0"/>
        <v>57</v>
      </c>
      <c r="B66" s="97"/>
      <c r="C66" s="97"/>
      <c r="D66" s="98"/>
      <c r="E66" s="102"/>
      <c r="F66" s="102"/>
      <c r="G66" s="102"/>
      <c r="H66" s="102"/>
      <c r="I66" s="99"/>
      <c r="J66" s="57"/>
      <c r="K66" s="99"/>
      <c r="L66" s="100"/>
      <c r="M66" s="99"/>
      <c r="N66" s="99"/>
      <c r="O66" s="99"/>
      <c r="P66" s="99"/>
    </row>
    <row r="67" spans="1:16" x14ac:dyDescent="0.25">
      <c r="A67" s="8">
        <f t="shared" si="0"/>
        <v>58</v>
      </c>
      <c r="B67" s="97"/>
      <c r="C67" s="97"/>
      <c r="D67" s="98"/>
      <c r="E67" s="102"/>
      <c r="F67" s="102"/>
      <c r="G67" s="102"/>
      <c r="H67" s="102"/>
      <c r="I67" s="99"/>
      <c r="J67" s="57"/>
      <c r="K67" s="99"/>
      <c r="L67" s="100"/>
      <c r="M67" s="99"/>
      <c r="N67" s="99"/>
      <c r="O67" s="99"/>
      <c r="P67" s="99"/>
    </row>
    <row r="68" spans="1:16" x14ac:dyDescent="0.25">
      <c r="A68" s="8">
        <f t="shared" si="0"/>
        <v>59</v>
      </c>
      <c r="B68" s="97"/>
      <c r="C68" s="97"/>
      <c r="D68" s="98"/>
      <c r="E68" s="102"/>
      <c r="F68" s="102"/>
      <c r="G68" s="102"/>
      <c r="H68" s="102"/>
      <c r="I68" s="99"/>
      <c r="J68" s="57"/>
      <c r="K68" s="99"/>
      <c r="L68" s="100"/>
      <c r="M68" s="99"/>
      <c r="N68" s="99"/>
      <c r="O68" s="99"/>
      <c r="P68" s="99"/>
    </row>
    <row r="69" spans="1:16" x14ac:dyDescent="0.25">
      <c r="A69" s="8">
        <f t="shared" si="0"/>
        <v>60</v>
      </c>
      <c r="B69" s="97"/>
      <c r="C69" s="97"/>
      <c r="D69" s="98"/>
      <c r="E69" s="102"/>
      <c r="F69" s="102"/>
      <c r="G69" s="102"/>
      <c r="H69" s="102"/>
      <c r="I69" s="99"/>
      <c r="J69" s="57"/>
      <c r="K69" s="99"/>
      <c r="L69" s="100"/>
      <c r="M69" s="99"/>
      <c r="N69" s="99"/>
      <c r="O69" s="99"/>
      <c r="P69" s="99"/>
    </row>
    <row r="70" spans="1:16" x14ac:dyDescent="0.25">
      <c r="A70" s="8">
        <f t="shared" si="0"/>
        <v>61</v>
      </c>
      <c r="B70" s="97"/>
      <c r="C70" s="97"/>
      <c r="D70" s="98"/>
      <c r="E70" s="102"/>
      <c r="F70" s="102"/>
      <c r="G70" s="102"/>
      <c r="H70" s="102"/>
      <c r="I70" s="99"/>
      <c r="J70" s="57"/>
      <c r="K70" s="99"/>
      <c r="L70" s="100"/>
      <c r="M70" s="99"/>
      <c r="N70" s="99"/>
      <c r="O70" s="99"/>
      <c r="P70" s="99"/>
    </row>
    <row r="71" spans="1:16" x14ac:dyDescent="0.25">
      <c r="A71" s="8">
        <f t="shared" si="0"/>
        <v>62</v>
      </c>
      <c r="B71" s="97"/>
      <c r="C71" s="97"/>
      <c r="D71" s="98"/>
      <c r="E71" s="102"/>
      <c r="F71" s="102"/>
      <c r="G71" s="102"/>
      <c r="H71" s="102"/>
      <c r="I71" s="99"/>
      <c r="J71" s="57"/>
      <c r="K71" s="99"/>
      <c r="L71" s="100"/>
      <c r="M71" s="99"/>
      <c r="N71" s="99"/>
      <c r="O71" s="99"/>
      <c r="P71" s="99"/>
    </row>
    <row r="72" spans="1:16" x14ac:dyDescent="0.25">
      <c r="A72" s="8">
        <f t="shared" si="0"/>
        <v>63</v>
      </c>
      <c r="B72" s="97"/>
      <c r="C72" s="97"/>
      <c r="D72" s="98"/>
      <c r="E72" s="102"/>
      <c r="F72" s="102"/>
      <c r="G72" s="102"/>
      <c r="H72" s="102"/>
      <c r="I72" s="99"/>
      <c r="J72" s="57"/>
      <c r="K72" s="99"/>
      <c r="L72" s="100"/>
      <c r="M72" s="99"/>
      <c r="N72" s="99"/>
      <c r="O72" s="99"/>
      <c r="P72" s="99"/>
    </row>
    <row r="73" spans="1:16" x14ac:dyDescent="0.25">
      <c r="A73" s="8">
        <f t="shared" si="0"/>
        <v>64</v>
      </c>
      <c r="B73" s="97"/>
      <c r="C73" s="97"/>
      <c r="D73" s="98"/>
      <c r="E73" s="102"/>
      <c r="F73" s="102"/>
      <c r="G73" s="102"/>
      <c r="H73" s="102"/>
      <c r="I73" s="99"/>
      <c r="J73" s="57"/>
      <c r="K73" s="99"/>
      <c r="L73" s="100"/>
      <c r="M73" s="99"/>
      <c r="N73" s="99"/>
      <c r="O73" s="99"/>
      <c r="P73" s="99"/>
    </row>
    <row r="74" spans="1:16" x14ac:dyDescent="0.25">
      <c r="A74" s="8">
        <f t="shared" si="0"/>
        <v>65</v>
      </c>
      <c r="B74" s="97"/>
      <c r="C74" s="97"/>
      <c r="D74" s="98"/>
      <c r="E74" s="102"/>
      <c r="F74" s="102"/>
      <c r="G74" s="102"/>
      <c r="H74" s="102"/>
      <c r="I74" s="99"/>
      <c r="J74" s="57"/>
      <c r="K74" s="99"/>
      <c r="L74" s="100"/>
      <c r="M74" s="99"/>
      <c r="N74" s="99"/>
      <c r="O74" s="99"/>
      <c r="P74" s="99"/>
    </row>
    <row r="75" spans="1:16" x14ac:dyDescent="0.25">
      <c r="A75" s="8">
        <f t="shared" si="0"/>
        <v>66</v>
      </c>
      <c r="B75" s="97"/>
      <c r="C75" s="97"/>
      <c r="D75" s="98"/>
      <c r="E75" s="102"/>
      <c r="F75" s="102"/>
      <c r="G75" s="102"/>
      <c r="H75" s="102"/>
      <c r="I75" s="99"/>
      <c r="J75" s="57"/>
      <c r="K75" s="99"/>
      <c r="L75" s="100"/>
      <c r="M75" s="99"/>
      <c r="N75" s="99"/>
      <c r="O75" s="99"/>
      <c r="P75" s="99"/>
    </row>
    <row r="76" spans="1:16" x14ac:dyDescent="0.25">
      <c r="A76" s="8">
        <f t="shared" ref="A76:A139" si="4">+A75+1</f>
        <v>67</v>
      </c>
      <c r="B76" s="97"/>
      <c r="C76" s="97"/>
      <c r="D76" s="98"/>
      <c r="E76" s="102"/>
      <c r="F76" s="102"/>
      <c r="G76" s="102"/>
      <c r="H76" s="102"/>
      <c r="I76" s="99"/>
      <c r="J76" s="57"/>
      <c r="K76" s="99"/>
      <c r="L76" s="100"/>
      <c r="M76" s="99"/>
      <c r="N76" s="99"/>
      <c r="O76" s="99"/>
      <c r="P76" s="99"/>
    </row>
    <row r="77" spans="1:16" x14ac:dyDescent="0.25">
      <c r="A77" s="8">
        <f t="shared" si="4"/>
        <v>68</v>
      </c>
      <c r="B77" s="97"/>
      <c r="C77" s="97"/>
      <c r="D77" s="98"/>
      <c r="E77" s="102"/>
      <c r="F77" s="102"/>
      <c r="G77" s="102"/>
      <c r="H77" s="102"/>
      <c r="I77" s="99"/>
      <c r="J77" s="57"/>
      <c r="K77" s="99"/>
      <c r="L77" s="100"/>
      <c r="M77" s="99"/>
      <c r="N77" s="99"/>
      <c r="O77" s="99"/>
      <c r="P77" s="99"/>
    </row>
    <row r="78" spans="1:16" x14ac:dyDescent="0.25">
      <c r="A78" s="8">
        <f t="shared" si="4"/>
        <v>69</v>
      </c>
      <c r="B78" s="97"/>
      <c r="C78" s="97"/>
      <c r="D78" s="98"/>
      <c r="E78" s="102"/>
      <c r="F78" s="102"/>
      <c r="G78" s="102"/>
      <c r="H78" s="102"/>
      <c r="I78" s="99"/>
      <c r="J78" s="57"/>
      <c r="K78" s="99"/>
      <c r="L78" s="100"/>
      <c r="M78" s="99"/>
      <c r="N78" s="99"/>
      <c r="O78" s="99"/>
      <c r="P78" s="99"/>
    </row>
    <row r="79" spans="1:16" x14ac:dyDescent="0.25">
      <c r="A79" s="8">
        <f t="shared" si="4"/>
        <v>70</v>
      </c>
      <c r="B79" s="97"/>
      <c r="C79" s="97"/>
      <c r="D79" s="98"/>
      <c r="E79" s="102"/>
      <c r="F79" s="102"/>
      <c r="G79" s="102"/>
      <c r="H79" s="102"/>
      <c r="I79" s="99"/>
      <c r="J79" s="57"/>
      <c r="K79" s="99"/>
      <c r="L79" s="100"/>
      <c r="M79" s="99"/>
      <c r="N79" s="99"/>
      <c r="O79" s="99"/>
      <c r="P79" s="99"/>
    </row>
    <row r="80" spans="1:16" x14ac:dyDescent="0.25">
      <c r="A80" s="8">
        <f t="shared" si="4"/>
        <v>71</v>
      </c>
      <c r="B80" s="97"/>
      <c r="C80" s="97"/>
      <c r="D80" s="98"/>
      <c r="E80" s="102"/>
      <c r="F80" s="102"/>
      <c r="G80" s="102"/>
      <c r="H80" s="102"/>
      <c r="I80" s="99"/>
      <c r="J80" s="57"/>
      <c r="K80" s="99"/>
      <c r="L80" s="100"/>
      <c r="M80" s="99"/>
      <c r="N80" s="99"/>
      <c r="O80" s="99"/>
      <c r="P80" s="99"/>
    </row>
    <row r="81" spans="1:16" x14ac:dyDescent="0.25">
      <c r="A81" s="8">
        <f t="shared" si="4"/>
        <v>72</v>
      </c>
      <c r="B81" s="97"/>
      <c r="C81" s="97"/>
      <c r="D81" s="98"/>
      <c r="E81" s="102"/>
      <c r="F81" s="102"/>
      <c r="G81" s="102"/>
      <c r="H81" s="102"/>
      <c r="I81" s="99"/>
      <c r="J81" s="57"/>
      <c r="K81" s="99"/>
      <c r="L81" s="100"/>
      <c r="M81" s="99"/>
      <c r="N81" s="99"/>
      <c r="O81" s="99"/>
      <c r="P81" s="99"/>
    </row>
    <row r="82" spans="1:16" x14ac:dyDescent="0.25">
      <c r="A82" s="8">
        <f t="shared" si="4"/>
        <v>73</v>
      </c>
      <c r="B82" s="97"/>
      <c r="C82" s="97"/>
      <c r="D82" s="98"/>
      <c r="E82" s="102"/>
      <c r="F82" s="102"/>
      <c r="G82" s="102"/>
      <c r="H82" s="102"/>
      <c r="I82" s="99"/>
      <c r="J82" s="57"/>
      <c r="K82" s="99"/>
      <c r="L82" s="100"/>
      <c r="M82" s="99"/>
      <c r="N82" s="99"/>
      <c r="O82" s="99"/>
      <c r="P82" s="99"/>
    </row>
    <row r="83" spans="1:16" x14ac:dyDescent="0.25">
      <c r="A83" s="8">
        <f t="shared" si="4"/>
        <v>74</v>
      </c>
      <c r="B83" s="97"/>
      <c r="C83" s="97"/>
      <c r="D83" s="98"/>
      <c r="E83" s="102"/>
      <c r="F83" s="102"/>
      <c r="G83" s="102"/>
      <c r="H83" s="102"/>
      <c r="I83" s="99"/>
      <c r="J83" s="57"/>
      <c r="K83" s="99"/>
      <c r="L83" s="100"/>
      <c r="M83" s="99"/>
      <c r="N83" s="99"/>
      <c r="O83" s="99"/>
      <c r="P83" s="99"/>
    </row>
    <row r="84" spans="1:16" x14ac:dyDescent="0.25">
      <c r="A84" s="8">
        <f t="shared" si="4"/>
        <v>75</v>
      </c>
      <c r="B84" s="97"/>
      <c r="C84" s="97"/>
      <c r="D84" s="98"/>
      <c r="E84" s="102"/>
      <c r="F84" s="102"/>
      <c r="G84" s="102"/>
      <c r="H84" s="102"/>
      <c r="I84" s="99"/>
      <c r="J84" s="57"/>
      <c r="K84" s="99"/>
      <c r="L84" s="100"/>
      <c r="M84" s="99"/>
      <c r="N84" s="99"/>
      <c r="O84" s="99"/>
      <c r="P84" s="99"/>
    </row>
    <row r="85" spans="1:16" x14ac:dyDescent="0.25">
      <c r="A85" s="8">
        <f t="shared" si="4"/>
        <v>76</v>
      </c>
      <c r="B85" s="97"/>
      <c r="C85" s="97"/>
      <c r="D85" s="98"/>
      <c r="E85" s="102"/>
      <c r="F85" s="102"/>
      <c r="G85" s="102"/>
      <c r="H85" s="102"/>
      <c r="I85" s="99"/>
      <c r="J85" s="57"/>
      <c r="K85" s="99"/>
      <c r="L85" s="100"/>
      <c r="M85" s="99"/>
      <c r="N85" s="99"/>
      <c r="O85" s="99"/>
      <c r="P85" s="99"/>
    </row>
    <row r="86" spans="1:16" x14ac:dyDescent="0.25">
      <c r="A86" s="8">
        <f t="shared" si="4"/>
        <v>77</v>
      </c>
      <c r="B86" s="97"/>
      <c r="C86" s="97"/>
      <c r="D86" s="98"/>
      <c r="E86" s="102"/>
      <c r="F86" s="102"/>
      <c r="G86" s="102"/>
      <c r="H86" s="102"/>
      <c r="I86" s="99"/>
      <c r="J86" s="57"/>
      <c r="K86" s="99"/>
      <c r="L86" s="100"/>
      <c r="M86" s="99"/>
      <c r="N86" s="99"/>
      <c r="O86" s="99"/>
      <c r="P86" s="99"/>
    </row>
    <row r="87" spans="1:16" x14ac:dyDescent="0.25">
      <c r="A87" s="8">
        <f t="shared" si="4"/>
        <v>78</v>
      </c>
      <c r="B87" s="97"/>
      <c r="C87" s="97"/>
      <c r="D87" s="98"/>
      <c r="E87" s="102"/>
      <c r="F87" s="102"/>
      <c r="G87" s="102"/>
      <c r="H87" s="102"/>
      <c r="I87" s="99"/>
      <c r="J87" s="57"/>
      <c r="K87" s="99"/>
      <c r="L87" s="100"/>
      <c r="M87" s="99"/>
      <c r="N87" s="99"/>
      <c r="O87" s="99"/>
      <c r="P87" s="99"/>
    </row>
    <row r="88" spans="1:16" x14ac:dyDescent="0.25">
      <c r="A88" s="8">
        <f t="shared" si="4"/>
        <v>79</v>
      </c>
      <c r="B88" s="97"/>
      <c r="C88" s="97"/>
      <c r="D88" s="98"/>
      <c r="E88" s="102"/>
      <c r="F88" s="102"/>
      <c r="G88" s="102"/>
      <c r="H88" s="102"/>
      <c r="I88" s="99"/>
      <c r="J88" s="57"/>
      <c r="K88" s="99"/>
      <c r="L88" s="100"/>
      <c r="M88" s="99"/>
      <c r="N88" s="99"/>
      <c r="O88" s="99"/>
      <c r="P88" s="99"/>
    </row>
    <row r="89" spans="1:16" x14ac:dyDescent="0.25">
      <c r="A89" s="8">
        <f t="shared" si="4"/>
        <v>80</v>
      </c>
      <c r="B89" s="97"/>
      <c r="C89" s="97"/>
      <c r="D89" s="98"/>
      <c r="E89" s="102"/>
      <c r="F89" s="102"/>
      <c r="G89" s="102"/>
      <c r="H89" s="102"/>
      <c r="I89" s="99"/>
      <c r="J89" s="57"/>
      <c r="K89" s="99"/>
      <c r="L89" s="100"/>
      <c r="M89" s="99"/>
      <c r="N89" s="99"/>
      <c r="O89" s="99"/>
      <c r="P89" s="99"/>
    </row>
    <row r="90" spans="1:16" x14ac:dyDescent="0.25">
      <c r="A90" s="8">
        <f t="shared" si="4"/>
        <v>81</v>
      </c>
      <c r="B90" s="97"/>
      <c r="C90" s="97"/>
      <c r="D90" s="98"/>
      <c r="E90" s="102"/>
      <c r="F90" s="102"/>
      <c r="G90" s="102"/>
      <c r="H90" s="102"/>
      <c r="I90" s="99"/>
      <c r="J90" s="57"/>
      <c r="K90" s="99"/>
      <c r="L90" s="100"/>
      <c r="M90" s="99"/>
      <c r="N90" s="99"/>
      <c r="O90" s="99"/>
      <c r="P90" s="99"/>
    </row>
    <row r="91" spans="1:16" x14ac:dyDescent="0.25">
      <c r="A91" s="8">
        <f t="shared" si="4"/>
        <v>82</v>
      </c>
      <c r="B91" s="97"/>
      <c r="C91" s="97"/>
      <c r="D91" s="98"/>
      <c r="E91" s="102"/>
      <c r="F91" s="102"/>
      <c r="G91" s="102"/>
      <c r="H91" s="102"/>
      <c r="I91" s="99"/>
      <c r="J91" s="57"/>
      <c r="K91" s="99"/>
      <c r="L91" s="100"/>
      <c r="M91" s="99"/>
      <c r="N91" s="99"/>
      <c r="O91" s="99"/>
      <c r="P91" s="99"/>
    </row>
    <row r="92" spans="1:16" x14ac:dyDescent="0.25">
      <c r="A92" s="8">
        <f t="shared" si="4"/>
        <v>83</v>
      </c>
      <c r="B92" s="97"/>
      <c r="C92" s="97"/>
      <c r="D92" s="98"/>
      <c r="E92" s="102"/>
      <c r="F92" s="102"/>
      <c r="G92" s="102"/>
      <c r="H92" s="102"/>
      <c r="I92" s="99"/>
      <c r="J92" s="57"/>
      <c r="K92" s="99"/>
      <c r="L92" s="100"/>
      <c r="M92" s="99"/>
      <c r="N92" s="99"/>
      <c r="O92" s="99"/>
      <c r="P92" s="99"/>
    </row>
    <row r="93" spans="1:16" x14ac:dyDescent="0.25">
      <c r="A93" s="8">
        <f t="shared" si="4"/>
        <v>84</v>
      </c>
      <c r="B93" s="97"/>
      <c r="C93" s="97"/>
      <c r="D93" s="98"/>
      <c r="E93" s="102"/>
      <c r="F93" s="102"/>
      <c r="G93" s="102"/>
      <c r="H93" s="102"/>
      <c r="I93" s="99"/>
      <c r="J93" s="57"/>
      <c r="K93" s="99"/>
      <c r="L93" s="100"/>
      <c r="M93" s="99"/>
      <c r="N93" s="99"/>
      <c r="O93" s="99"/>
      <c r="P93" s="99"/>
    </row>
    <row r="94" spans="1:16" x14ac:dyDescent="0.25">
      <c r="A94" s="8">
        <f t="shared" si="4"/>
        <v>85</v>
      </c>
      <c r="B94" s="97"/>
      <c r="C94" s="97"/>
      <c r="D94" s="98"/>
      <c r="E94" s="102"/>
      <c r="F94" s="102"/>
      <c r="G94" s="102"/>
      <c r="H94" s="102"/>
      <c r="I94" s="99"/>
      <c r="J94" s="57"/>
      <c r="K94" s="99"/>
      <c r="L94" s="100"/>
      <c r="M94" s="99"/>
      <c r="N94" s="99"/>
      <c r="O94" s="99"/>
      <c r="P94" s="99"/>
    </row>
    <row r="95" spans="1:16" x14ac:dyDescent="0.25">
      <c r="A95" s="8">
        <f t="shared" si="4"/>
        <v>86</v>
      </c>
      <c r="B95" s="97"/>
      <c r="C95" s="97"/>
      <c r="D95" s="98"/>
      <c r="E95" s="102"/>
      <c r="F95" s="102"/>
      <c r="G95" s="102"/>
      <c r="H95" s="102"/>
      <c r="I95" s="99"/>
      <c r="J95" s="57"/>
      <c r="K95" s="99"/>
      <c r="L95" s="100"/>
      <c r="M95" s="99"/>
      <c r="N95" s="99"/>
      <c r="O95" s="99"/>
      <c r="P95" s="99"/>
    </row>
    <row r="96" spans="1:16" x14ac:dyDescent="0.25">
      <c r="A96" s="8">
        <f t="shared" si="4"/>
        <v>87</v>
      </c>
      <c r="B96" s="97"/>
      <c r="C96" s="97"/>
      <c r="D96" s="98"/>
      <c r="E96" s="102"/>
      <c r="F96" s="102"/>
      <c r="G96" s="102"/>
      <c r="H96" s="102"/>
      <c r="I96" s="99"/>
      <c r="J96" s="57"/>
      <c r="K96" s="99"/>
      <c r="L96" s="100"/>
      <c r="M96" s="99"/>
      <c r="N96" s="99"/>
      <c r="O96" s="99"/>
      <c r="P96" s="99"/>
    </row>
    <row r="97" spans="1:16" x14ac:dyDescent="0.25">
      <c r="A97" s="8">
        <f t="shared" si="4"/>
        <v>88</v>
      </c>
      <c r="B97" s="97"/>
      <c r="C97" s="97"/>
      <c r="D97" s="98"/>
      <c r="E97" s="102"/>
      <c r="F97" s="102"/>
      <c r="G97" s="102"/>
      <c r="H97" s="102"/>
      <c r="I97" s="99"/>
      <c r="J97" s="57"/>
      <c r="K97" s="99"/>
      <c r="L97" s="100"/>
      <c r="M97" s="99"/>
      <c r="N97" s="99"/>
      <c r="O97" s="99"/>
      <c r="P97" s="99"/>
    </row>
    <row r="98" spans="1:16" x14ac:dyDescent="0.25">
      <c r="A98" s="8">
        <f t="shared" si="4"/>
        <v>89</v>
      </c>
      <c r="B98" s="97"/>
      <c r="C98" s="97"/>
      <c r="D98" s="98"/>
      <c r="E98" s="102"/>
      <c r="F98" s="102"/>
      <c r="G98" s="102"/>
      <c r="H98" s="102"/>
      <c r="I98" s="99"/>
      <c r="J98" s="57"/>
      <c r="K98" s="99"/>
      <c r="L98" s="100"/>
      <c r="M98" s="99"/>
      <c r="N98" s="99"/>
      <c r="O98" s="99"/>
      <c r="P98" s="99"/>
    </row>
    <row r="99" spans="1:16" x14ac:dyDescent="0.25">
      <c r="A99" s="8">
        <f t="shared" si="4"/>
        <v>90</v>
      </c>
      <c r="B99" s="97"/>
      <c r="C99" s="97"/>
      <c r="D99" s="98"/>
      <c r="E99" s="102"/>
      <c r="F99" s="102"/>
      <c r="G99" s="102"/>
      <c r="H99" s="102"/>
      <c r="I99" s="99"/>
      <c r="J99" s="57"/>
      <c r="K99" s="99"/>
      <c r="L99" s="100"/>
      <c r="M99" s="99"/>
      <c r="N99" s="99"/>
      <c r="O99" s="99"/>
      <c r="P99" s="99"/>
    </row>
    <row r="100" spans="1:16" x14ac:dyDescent="0.25">
      <c r="A100" s="8">
        <f t="shared" si="4"/>
        <v>91</v>
      </c>
      <c r="B100" s="97"/>
      <c r="C100" s="97"/>
      <c r="D100" s="98"/>
      <c r="E100" s="102"/>
      <c r="F100" s="102"/>
      <c r="G100" s="102"/>
      <c r="H100" s="102"/>
      <c r="I100" s="99"/>
      <c r="J100" s="57"/>
      <c r="K100" s="99"/>
      <c r="L100" s="100"/>
      <c r="M100" s="99"/>
      <c r="N100" s="99"/>
      <c r="O100" s="99"/>
      <c r="P100" s="99"/>
    </row>
    <row r="101" spans="1:16" x14ac:dyDescent="0.25">
      <c r="A101" s="8">
        <f t="shared" si="4"/>
        <v>92</v>
      </c>
      <c r="B101" s="97"/>
      <c r="C101" s="97"/>
      <c r="D101" s="98"/>
      <c r="E101" s="102"/>
      <c r="F101" s="102"/>
      <c r="G101" s="102"/>
      <c r="H101" s="102"/>
      <c r="I101" s="99"/>
      <c r="J101" s="57"/>
      <c r="K101" s="99"/>
      <c r="L101" s="100"/>
      <c r="M101" s="99"/>
      <c r="N101" s="99"/>
      <c r="O101" s="99"/>
      <c r="P101" s="99"/>
    </row>
    <row r="102" spans="1:16" x14ac:dyDescent="0.25">
      <c r="A102" s="8">
        <f t="shared" si="4"/>
        <v>93</v>
      </c>
      <c r="B102" s="97"/>
      <c r="C102" s="97"/>
      <c r="D102" s="98"/>
      <c r="E102" s="102"/>
      <c r="F102" s="102"/>
      <c r="G102" s="102"/>
      <c r="H102" s="102"/>
      <c r="I102" s="99"/>
      <c r="J102" s="57"/>
      <c r="K102" s="99"/>
      <c r="L102" s="100"/>
      <c r="M102" s="99"/>
      <c r="N102" s="99"/>
      <c r="O102" s="99"/>
      <c r="P102" s="99"/>
    </row>
    <row r="103" spans="1:16" x14ac:dyDescent="0.25">
      <c r="A103" s="8">
        <f t="shared" si="4"/>
        <v>94</v>
      </c>
      <c r="B103" s="97"/>
      <c r="C103" s="97"/>
      <c r="D103" s="98"/>
      <c r="E103" s="102"/>
      <c r="F103" s="102"/>
      <c r="G103" s="102"/>
      <c r="H103" s="102"/>
      <c r="I103" s="99"/>
      <c r="J103" s="57"/>
      <c r="K103" s="99"/>
      <c r="L103" s="100"/>
      <c r="M103" s="99"/>
      <c r="N103" s="99"/>
      <c r="O103" s="99"/>
      <c r="P103" s="99"/>
    </row>
    <row r="104" spans="1:16" x14ac:dyDescent="0.25">
      <c r="A104" s="8">
        <f t="shared" si="4"/>
        <v>95</v>
      </c>
      <c r="B104" s="97"/>
      <c r="C104" s="97"/>
      <c r="D104" s="98"/>
      <c r="E104" s="102"/>
      <c r="F104" s="102"/>
      <c r="G104" s="102"/>
      <c r="H104" s="102"/>
      <c r="I104" s="99"/>
      <c r="J104" s="57"/>
      <c r="K104" s="99"/>
      <c r="L104" s="100"/>
      <c r="M104" s="99"/>
      <c r="N104" s="99"/>
      <c r="O104" s="99"/>
      <c r="P104" s="99"/>
    </row>
    <row r="105" spans="1:16" x14ac:dyDescent="0.25">
      <c r="A105" s="8">
        <f t="shared" si="4"/>
        <v>96</v>
      </c>
      <c r="B105" s="97"/>
      <c r="C105" s="97"/>
      <c r="D105" s="98"/>
      <c r="E105" s="102"/>
      <c r="F105" s="102"/>
      <c r="G105" s="102"/>
      <c r="H105" s="102"/>
      <c r="I105" s="99"/>
      <c r="J105" s="57"/>
      <c r="K105" s="99"/>
      <c r="L105" s="100"/>
      <c r="M105" s="99"/>
      <c r="N105" s="99"/>
      <c r="O105" s="99"/>
      <c r="P105" s="99"/>
    </row>
    <row r="106" spans="1:16" x14ac:dyDescent="0.25">
      <c r="A106" s="8">
        <f t="shared" si="4"/>
        <v>97</v>
      </c>
      <c r="B106" s="97"/>
      <c r="C106" s="97"/>
      <c r="D106" s="98"/>
      <c r="E106" s="102"/>
      <c r="F106" s="102"/>
      <c r="G106" s="102"/>
      <c r="H106" s="102"/>
      <c r="I106" s="99"/>
      <c r="J106" s="57"/>
      <c r="K106" s="99"/>
      <c r="L106" s="100"/>
      <c r="M106" s="99"/>
      <c r="N106" s="99"/>
      <c r="O106" s="99"/>
      <c r="P106" s="99"/>
    </row>
    <row r="107" spans="1:16" x14ac:dyDescent="0.25">
      <c r="A107" s="8">
        <f t="shared" si="4"/>
        <v>98</v>
      </c>
      <c r="B107" s="97"/>
      <c r="C107" s="97"/>
      <c r="D107" s="98"/>
      <c r="E107" s="102"/>
      <c r="F107" s="102"/>
      <c r="G107" s="102"/>
      <c r="H107" s="102"/>
      <c r="I107" s="99"/>
      <c r="J107" s="57"/>
      <c r="K107" s="99"/>
      <c r="L107" s="100"/>
      <c r="M107" s="99"/>
      <c r="N107" s="99"/>
      <c r="O107" s="99"/>
      <c r="P107" s="99"/>
    </row>
    <row r="108" spans="1:16" x14ac:dyDescent="0.25">
      <c r="A108" s="8">
        <f t="shared" si="4"/>
        <v>99</v>
      </c>
      <c r="B108" s="97"/>
      <c r="C108" s="97"/>
      <c r="D108" s="98"/>
      <c r="E108" s="102"/>
      <c r="F108" s="102"/>
      <c r="G108" s="102"/>
      <c r="H108" s="102"/>
      <c r="I108" s="99"/>
      <c r="J108" s="57"/>
      <c r="K108" s="99"/>
      <c r="L108" s="100"/>
      <c r="M108" s="99"/>
      <c r="N108" s="99"/>
      <c r="O108" s="99"/>
      <c r="P108" s="99"/>
    </row>
    <row r="109" spans="1:16" x14ac:dyDescent="0.25">
      <c r="A109" s="8">
        <f t="shared" si="4"/>
        <v>100</v>
      </c>
      <c r="B109" s="97"/>
      <c r="C109" s="97"/>
      <c r="D109" s="98"/>
      <c r="E109" s="102"/>
      <c r="F109" s="102"/>
      <c r="G109" s="102"/>
      <c r="H109" s="102"/>
      <c r="I109" s="99"/>
      <c r="J109" s="57"/>
      <c r="K109" s="99"/>
      <c r="L109" s="100"/>
      <c r="M109" s="99"/>
      <c r="N109" s="99"/>
      <c r="O109" s="99"/>
      <c r="P109" s="99"/>
    </row>
    <row r="110" spans="1:16" x14ac:dyDescent="0.25">
      <c r="A110" s="8">
        <f t="shared" si="4"/>
        <v>101</v>
      </c>
      <c r="B110" s="97"/>
      <c r="C110" s="97"/>
      <c r="D110" s="98"/>
      <c r="E110" s="102"/>
      <c r="F110" s="102"/>
      <c r="G110" s="102"/>
      <c r="H110" s="102"/>
      <c r="I110" s="99"/>
      <c r="J110" s="57"/>
      <c r="K110" s="99"/>
      <c r="L110" s="100"/>
      <c r="M110" s="99"/>
      <c r="N110" s="99"/>
      <c r="O110" s="99"/>
      <c r="P110" s="99"/>
    </row>
    <row r="111" spans="1:16" x14ac:dyDescent="0.25">
      <c r="A111" s="8">
        <f t="shared" si="4"/>
        <v>102</v>
      </c>
      <c r="B111" s="97"/>
      <c r="C111" s="97"/>
      <c r="D111" s="98"/>
      <c r="E111" s="102"/>
      <c r="F111" s="102"/>
      <c r="G111" s="102"/>
      <c r="H111" s="102"/>
      <c r="I111" s="99"/>
      <c r="J111" s="57"/>
      <c r="K111" s="99"/>
      <c r="L111" s="100"/>
      <c r="M111" s="99"/>
      <c r="N111" s="99"/>
      <c r="O111" s="99"/>
      <c r="P111" s="99"/>
    </row>
    <row r="112" spans="1:16" x14ac:dyDescent="0.25">
      <c r="A112" s="8">
        <f t="shared" si="4"/>
        <v>103</v>
      </c>
      <c r="B112" s="97"/>
      <c r="C112" s="97"/>
      <c r="D112" s="98"/>
      <c r="E112" s="102"/>
      <c r="F112" s="102"/>
      <c r="G112" s="102"/>
      <c r="H112" s="102"/>
      <c r="I112" s="99"/>
      <c r="J112" s="57"/>
      <c r="K112" s="99"/>
      <c r="L112" s="100"/>
      <c r="M112" s="99"/>
      <c r="N112" s="99"/>
      <c r="O112" s="99"/>
      <c r="P112" s="99"/>
    </row>
    <row r="113" spans="1:16" x14ac:dyDescent="0.25">
      <c r="A113" s="8">
        <f t="shared" si="4"/>
        <v>104</v>
      </c>
      <c r="B113" s="97"/>
      <c r="C113" s="97"/>
      <c r="D113" s="98"/>
      <c r="E113" s="102"/>
      <c r="F113" s="102"/>
      <c r="G113" s="102"/>
      <c r="H113" s="102"/>
      <c r="I113" s="99"/>
      <c r="J113" s="57"/>
      <c r="K113" s="99"/>
      <c r="L113" s="100"/>
      <c r="M113" s="99"/>
      <c r="N113" s="99"/>
      <c r="O113" s="99"/>
      <c r="P113" s="99"/>
    </row>
    <row r="114" spans="1:16" x14ac:dyDescent="0.25">
      <c r="A114" s="8">
        <f t="shared" si="4"/>
        <v>105</v>
      </c>
      <c r="B114" s="97"/>
      <c r="C114" s="97"/>
      <c r="D114" s="98"/>
      <c r="E114" s="102"/>
      <c r="F114" s="102"/>
      <c r="G114" s="102"/>
      <c r="H114" s="102"/>
      <c r="I114" s="99"/>
      <c r="J114" s="57"/>
      <c r="K114" s="99"/>
      <c r="L114" s="100"/>
      <c r="M114" s="99"/>
      <c r="N114" s="99"/>
      <c r="O114" s="99"/>
      <c r="P114" s="99"/>
    </row>
    <row r="115" spans="1:16" x14ac:dyDescent="0.25">
      <c r="A115" s="8">
        <f t="shared" si="4"/>
        <v>106</v>
      </c>
      <c r="B115" s="97"/>
      <c r="C115" s="97"/>
      <c r="D115" s="98"/>
      <c r="E115" s="102"/>
      <c r="F115" s="102"/>
      <c r="G115" s="102"/>
      <c r="H115" s="102"/>
      <c r="I115" s="99"/>
      <c r="J115" s="57"/>
      <c r="K115" s="99"/>
      <c r="L115" s="100"/>
      <c r="M115" s="99"/>
      <c r="N115" s="99"/>
      <c r="O115" s="99"/>
      <c r="P115" s="99"/>
    </row>
    <row r="116" spans="1:16" x14ac:dyDescent="0.25">
      <c r="A116" s="8">
        <f t="shared" si="4"/>
        <v>107</v>
      </c>
      <c r="B116" s="97"/>
      <c r="C116" s="97"/>
      <c r="D116" s="98"/>
      <c r="E116" s="102"/>
      <c r="F116" s="102"/>
      <c r="G116" s="102"/>
      <c r="H116" s="102"/>
      <c r="I116" s="99"/>
      <c r="J116" s="57"/>
      <c r="K116" s="99"/>
      <c r="L116" s="100"/>
      <c r="M116" s="99"/>
      <c r="N116" s="99"/>
      <c r="O116" s="99"/>
      <c r="P116" s="99"/>
    </row>
    <row r="117" spans="1:16" x14ac:dyDescent="0.25">
      <c r="A117" s="8">
        <f t="shared" si="4"/>
        <v>108</v>
      </c>
      <c r="B117" s="97"/>
      <c r="C117" s="97"/>
      <c r="D117" s="98"/>
      <c r="E117" s="102"/>
      <c r="F117" s="102"/>
      <c r="G117" s="102"/>
      <c r="H117" s="102"/>
      <c r="I117" s="99"/>
      <c r="J117" s="57"/>
      <c r="K117" s="99"/>
      <c r="L117" s="100"/>
      <c r="M117" s="99"/>
      <c r="N117" s="99"/>
      <c r="O117" s="99"/>
      <c r="P117" s="99"/>
    </row>
    <row r="118" spans="1:16" x14ac:dyDescent="0.25">
      <c r="A118" s="8">
        <f t="shared" si="4"/>
        <v>109</v>
      </c>
      <c r="B118" s="97"/>
      <c r="C118" s="97"/>
      <c r="D118" s="98"/>
      <c r="E118" s="102"/>
      <c r="F118" s="102"/>
      <c r="G118" s="102"/>
      <c r="H118" s="102"/>
      <c r="I118" s="99"/>
      <c r="J118" s="57"/>
      <c r="K118" s="99"/>
      <c r="L118" s="100"/>
      <c r="M118" s="99"/>
      <c r="N118" s="99"/>
      <c r="O118" s="99"/>
      <c r="P118" s="99"/>
    </row>
    <row r="119" spans="1:16" x14ac:dyDescent="0.25">
      <c r="A119" s="8">
        <f t="shared" si="4"/>
        <v>110</v>
      </c>
      <c r="B119" s="97"/>
      <c r="C119" s="97"/>
      <c r="D119" s="98"/>
      <c r="E119" s="102"/>
      <c r="F119" s="102"/>
      <c r="G119" s="102"/>
      <c r="H119" s="102"/>
      <c r="I119" s="99"/>
      <c r="J119" s="57"/>
      <c r="K119" s="99"/>
      <c r="L119" s="100"/>
      <c r="M119" s="99"/>
      <c r="N119" s="99"/>
      <c r="O119" s="99"/>
      <c r="P119" s="99"/>
    </row>
    <row r="120" spans="1:16" x14ac:dyDescent="0.25">
      <c r="A120" s="8">
        <f t="shared" si="4"/>
        <v>111</v>
      </c>
      <c r="B120" s="97"/>
      <c r="C120" s="97"/>
      <c r="D120" s="98"/>
      <c r="E120" s="102"/>
      <c r="F120" s="102"/>
      <c r="G120" s="102"/>
      <c r="H120" s="102"/>
      <c r="I120" s="99"/>
      <c r="J120" s="57"/>
      <c r="K120" s="99"/>
      <c r="L120" s="100"/>
      <c r="M120" s="99"/>
      <c r="N120" s="99"/>
      <c r="O120" s="99"/>
      <c r="P120" s="99"/>
    </row>
    <row r="121" spans="1:16" x14ac:dyDescent="0.25">
      <c r="A121" s="8">
        <f t="shared" si="4"/>
        <v>112</v>
      </c>
      <c r="B121" s="97"/>
      <c r="C121" s="97"/>
      <c r="D121" s="98"/>
      <c r="E121" s="102"/>
      <c r="F121" s="102"/>
      <c r="G121" s="102"/>
      <c r="H121" s="102"/>
      <c r="I121" s="99"/>
      <c r="J121" s="57"/>
      <c r="K121" s="99"/>
      <c r="L121" s="100"/>
      <c r="M121" s="99"/>
      <c r="N121" s="99"/>
      <c r="O121" s="99"/>
      <c r="P121" s="99"/>
    </row>
    <row r="122" spans="1:16" x14ac:dyDescent="0.25">
      <c r="A122" s="8">
        <f t="shared" si="4"/>
        <v>113</v>
      </c>
      <c r="B122" s="97"/>
      <c r="C122" s="97"/>
      <c r="D122" s="98"/>
      <c r="E122" s="102"/>
      <c r="F122" s="102"/>
      <c r="G122" s="102"/>
      <c r="H122" s="102"/>
      <c r="I122" s="99"/>
      <c r="J122" s="57"/>
      <c r="K122" s="99"/>
      <c r="L122" s="100"/>
      <c r="M122" s="99"/>
      <c r="N122" s="99"/>
      <c r="O122" s="99"/>
      <c r="P122" s="99"/>
    </row>
    <row r="123" spans="1:16" x14ac:dyDescent="0.25">
      <c r="A123" s="8">
        <f t="shared" si="4"/>
        <v>114</v>
      </c>
      <c r="B123" s="97"/>
      <c r="C123" s="97"/>
      <c r="D123" s="98"/>
      <c r="E123" s="102"/>
      <c r="F123" s="102"/>
      <c r="G123" s="102"/>
      <c r="H123" s="102"/>
      <c r="I123" s="99"/>
      <c r="J123" s="57"/>
      <c r="K123" s="99"/>
      <c r="L123" s="100"/>
      <c r="M123" s="99"/>
      <c r="N123" s="99"/>
      <c r="O123" s="99"/>
      <c r="P123" s="99"/>
    </row>
    <row r="124" spans="1:16" x14ac:dyDescent="0.25">
      <c r="A124" s="8">
        <f t="shared" si="4"/>
        <v>115</v>
      </c>
      <c r="B124" s="97"/>
      <c r="C124" s="97"/>
      <c r="D124" s="98"/>
      <c r="E124" s="102"/>
      <c r="F124" s="102"/>
      <c r="G124" s="102"/>
      <c r="H124" s="102"/>
      <c r="I124" s="99"/>
      <c r="J124" s="57"/>
      <c r="K124" s="99"/>
      <c r="L124" s="100"/>
      <c r="M124" s="99"/>
      <c r="N124" s="99"/>
      <c r="O124" s="99"/>
      <c r="P124" s="99"/>
    </row>
    <row r="125" spans="1:16" x14ac:dyDescent="0.25">
      <c r="A125" s="8">
        <f t="shared" si="4"/>
        <v>116</v>
      </c>
      <c r="B125" s="97"/>
      <c r="C125" s="97"/>
      <c r="D125" s="98"/>
      <c r="E125" s="102"/>
      <c r="F125" s="102"/>
      <c r="G125" s="102"/>
      <c r="H125" s="102"/>
      <c r="I125" s="99"/>
      <c r="J125" s="57"/>
      <c r="K125" s="99"/>
      <c r="L125" s="100"/>
      <c r="M125" s="99"/>
      <c r="N125" s="99"/>
      <c r="O125" s="99"/>
      <c r="P125" s="99"/>
    </row>
    <row r="126" spans="1:16" x14ac:dyDescent="0.25">
      <c r="A126" s="8">
        <f t="shared" si="4"/>
        <v>117</v>
      </c>
      <c r="B126" s="97"/>
      <c r="C126" s="97"/>
      <c r="D126" s="98"/>
      <c r="E126" s="102"/>
      <c r="F126" s="102"/>
      <c r="G126" s="102"/>
      <c r="H126" s="102"/>
      <c r="I126" s="99"/>
      <c r="J126" s="57"/>
      <c r="K126" s="99"/>
      <c r="L126" s="100"/>
      <c r="M126" s="99"/>
      <c r="N126" s="99"/>
      <c r="O126" s="99"/>
      <c r="P126" s="99"/>
    </row>
    <row r="127" spans="1:16" x14ac:dyDescent="0.25">
      <c r="A127" s="8">
        <f t="shared" si="4"/>
        <v>118</v>
      </c>
      <c r="B127" s="97"/>
      <c r="C127" s="97"/>
      <c r="D127" s="98"/>
      <c r="E127" s="102"/>
      <c r="F127" s="102"/>
      <c r="G127" s="102"/>
      <c r="H127" s="102"/>
      <c r="I127" s="99"/>
      <c r="J127" s="57"/>
      <c r="K127" s="99"/>
      <c r="L127" s="100"/>
      <c r="M127" s="99"/>
      <c r="N127" s="99"/>
      <c r="O127" s="99"/>
      <c r="P127" s="99"/>
    </row>
    <row r="128" spans="1:16" x14ac:dyDescent="0.25">
      <c r="A128" s="8">
        <f t="shared" si="4"/>
        <v>119</v>
      </c>
      <c r="B128" s="97"/>
      <c r="C128" s="97"/>
      <c r="D128" s="98"/>
      <c r="E128" s="102"/>
      <c r="F128" s="102"/>
      <c r="G128" s="102"/>
      <c r="H128" s="102"/>
      <c r="I128" s="99"/>
      <c r="J128" s="57"/>
      <c r="K128" s="99"/>
      <c r="L128" s="100"/>
      <c r="M128" s="99"/>
      <c r="N128" s="99"/>
      <c r="O128" s="99"/>
      <c r="P128" s="99"/>
    </row>
    <row r="129" spans="1:16" x14ac:dyDescent="0.25">
      <c r="A129" s="8">
        <f t="shared" si="4"/>
        <v>120</v>
      </c>
      <c r="B129" s="97"/>
      <c r="C129" s="97"/>
      <c r="D129" s="98"/>
      <c r="E129" s="102"/>
      <c r="F129" s="102"/>
      <c r="G129" s="102"/>
      <c r="H129" s="102"/>
      <c r="I129" s="99"/>
      <c r="J129" s="57"/>
      <c r="K129" s="99"/>
      <c r="L129" s="100"/>
      <c r="M129" s="99"/>
      <c r="N129" s="99"/>
      <c r="O129" s="99"/>
      <c r="P129" s="99"/>
    </row>
    <row r="130" spans="1:16" x14ac:dyDescent="0.25">
      <c r="A130" s="8">
        <f t="shared" si="4"/>
        <v>121</v>
      </c>
      <c r="B130" s="97"/>
      <c r="C130" s="97"/>
      <c r="D130" s="98"/>
      <c r="E130" s="102"/>
      <c r="F130" s="102"/>
      <c r="G130" s="102"/>
      <c r="H130" s="102"/>
      <c r="I130" s="99"/>
      <c r="J130" s="57"/>
      <c r="K130" s="99"/>
      <c r="L130" s="100"/>
      <c r="M130" s="99"/>
      <c r="N130" s="99"/>
      <c r="O130" s="99"/>
      <c r="P130" s="99"/>
    </row>
    <row r="131" spans="1:16" x14ac:dyDescent="0.25">
      <c r="A131" s="8">
        <f t="shared" si="4"/>
        <v>122</v>
      </c>
      <c r="B131" s="97"/>
      <c r="C131" s="97"/>
      <c r="D131" s="98"/>
      <c r="E131" s="102"/>
      <c r="F131" s="102"/>
      <c r="G131" s="102"/>
      <c r="H131" s="102"/>
      <c r="I131" s="99"/>
      <c r="J131" s="57"/>
      <c r="K131" s="99"/>
      <c r="L131" s="100"/>
      <c r="M131" s="99"/>
      <c r="N131" s="99"/>
      <c r="O131" s="99"/>
      <c r="P131" s="99"/>
    </row>
    <row r="132" spans="1:16" x14ac:dyDescent="0.25">
      <c r="A132" s="8">
        <f t="shared" si="4"/>
        <v>123</v>
      </c>
      <c r="B132" s="97"/>
      <c r="C132" s="97"/>
      <c r="D132" s="98"/>
      <c r="E132" s="102"/>
      <c r="F132" s="102"/>
      <c r="G132" s="102"/>
      <c r="H132" s="102"/>
      <c r="I132" s="99"/>
      <c r="J132" s="57"/>
      <c r="K132" s="99"/>
      <c r="L132" s="100"/>
      <c r="M132" s="99"/>
      <c r="N132" s="99"/>
      <c r="O132" s="99"/>
      <c r="P132" s="99"/>
    </row>
    <row r="133" spans="1:16" x14ac:dyDescent="0.25">
      <c r="A133" s="8">
        <f t="shared" si="4"/>
        <v>124</v>
      </c>
      <c r="B133" s="97"/>
      <c r="C133" s="97"/>
      <c r="D133" s="98"/>
      <c r="E133" s="102"/>
      <c r="F133" s="102"/>
      <c r="G133" s="102"/>
      <c r="H133" s="102"/>
      <c r="I133" s="99"/>
      <c r="J133" s="57"/>
      <c r="K133" s="99"/>
      <c r="L133" s="100"/>
      <c r="M133" s="99"/>
      <c r="N133" s="99"/>
      <c r="O133" s="99"/>
      <c r="P133" s="99"/>
    </row>
    <row r="134" spans="1:16" x14ac:dyDescent="0.25">
      <c r="A134" s="8">
        <f t="shared" si="4"/>
        <v>125</v>
      </c>
      <c r="B134" s="97"/>
      <c r="C134" s="97"/>
      <c r="D134" s="98"/>
      <c r="E134" s="102"/>
      <c r="F134" s="102"/>
      <c r="G134" s="102"/>
      <c r="H134" s="102"/>
      <c r="I134" s="99"/>
      <c r="J134" s="57"/>
      <c r="K134" s="99"/>
      <c r="L134" s="100"/>
      <c r="M134" s="99"/>
      <c r="N134" s="99"/>
      <c r="O134" s="99"/>
      <c r="P134" s="99"/>
    </row>
    <row r="135" spans="1:16" x14ac:dyDescent="0.25">
      <c r="A135" s="8">
        <f t="shared" si="4"/>
        <v>126</v>
      </c>
      <c r="B135" s="97"/>
      <c r="C135" s="97"/>
      <c r="D135" s="98"/>
      <c r="E135" s="102"/>
      <c r="F135" s="102"/>
      <c r="G135" s="102"/>
      <c r="H135" s="102"/>
      <c r="I135" s="99"/>
      <c r="J135" s="57"/>
      <c r="K135" s="99"/>
      <c r="L135" s="100"/>
      <c r="M135" s="99"/>
      <c r="N135" s="99"/>
      <c r="O135" s="99"/>
      <c r="P135" s="99"/>
    </row>
    <row r="136" spans="1:16" x14ac:dyDescent="0.25">
      <c r="A136" s="8">
        <f t="shared" si="4"/>
        <v>127</v>
      </c>
      <c r="B136" s="97"/>
      <c r="C136" s="97"/>
      <c r="D136" s="98"/>
      <c r="E136" s="102"/>
      <c r="F136" s="102"/>
      <c r="G136" s="102"/>
      <c r="H136" s="102"/>
      <c r="I136" s="99"/>
      <c r="J136" s="57"/>
      <c r="K136" s="99"/>
      <c r="L136" s="100"/>
      <c r="M136" s="99"/>
      <c r="N136" s="99"/>
      <c r="O136" s="99"/>
      <c r="P136" s="99"/>
    </row>
    <row r="137" spans="1:16" x14ac:dyDescent="0.25">
      <c r="A137" s="8">
        <f t="shared" si="4"/>
        <v>128</v>
      </c>
      <c r="B137" s="97"/>
      <c r="C137" s="97"/>
      <c r="D137" s="98"/>
      <c r="E137" s="102"/>
      <c r="F137" s="102"/>
      <c r="G137" s="102"/>
      <c r="H137" s="102"/>
      <c r="I137" s="99"/>
      <c r="J137" s="57"/>
      <c r="K137" s="99"/>
      <c r="L137" s="100"/>
      <c r="M137" s="99"/>
      <c r="N137" s="99"/>
      <c r="O137" s="99"/>
      <c r="P137" s="99"/>
    </row>
    <row r="138" spans="1:16" x14ac:dyDescent="0.25">
      <c r="A138" s="8">
        <f t="shared" si="4"/>
        <v>129</v>
      </c>
      <c r="B138" s="97"/>
      <c r="C138" s="97"/>
      <c r="D138" s="98"/>
      <c r="E138" s="102"/>
      <c r="F138" s="102"/>
      <c r="G138" s="102"/>
      <c r="H138" s="102"/>
      <c r="I138" s="99"/>
      <c r="J138" s="57"/>
      <c r="K138" s="99"/>
      <c r="L138" s="100"/>
      <c r="M138" s="99"/>
      <c r="N138" s="99"/>
      <c r="O138" s="99"/>
      <c r="P138" s="99"/>
    </row>
    <row r="139" spans="1:16" x14ac:dyDescent="0.25">
      <c r="A139" s="8">
        <f t="shared" si="4"/>
        <v>130</v>
      </c>
      <c r="B139" s="97"/>
      <c r="C139" s="97"/>
      <c r="D139" s="98"/>
      <c r="E139" s="102"/>
      <c r="F139" s="102"/>
      <c r="G139" s="102"/>
      <c r="H139" s="102"/>
      <c r="I139" s="99"/>
      <c r="J139" s="57"/>
      <c r="K139" s="99"/>
      <c r="L139" s="100"/>
      <c r="M139" s="99"/>
      <c r="N139" s="99"/>
      <c r="O139" s="99"/>
      <c r="P139" s="99"/>
    </row>
    <row r="140" spans="1:16" x14ac:dyDescent="0.25">
      <c r="A140" s="8">
        <f t="shared" ref="A140:A203" si="5">+A139+1</f>
        <v>131</v>
      </c>
      <c r="B140" s="97"/>
      <c r="C140" s="97"/>
      <c r="D140" s="98"/>
      <c r="E140" s="102"/>
      <c r="F140" s="102"/>
      <c r="G140" s="102"/>
      <c r="H140" s="102"/>
      <c r="I140" s="99"/>
      <c r="J140" s="57"/>
      <c r="K140" s="99"/>
      <c r="L140" s="100"/>
      <c r="M140" s="99"/>
      <c r="N140" s="99"/>
      <c r="O140" s="99"/>
      <c r="P140" s="99"/>
    </row>
    <row r="141" spans="1:16" x14ac:dyDescent="0.25">
      <c r="A141" s="8">
        <f t="shared" si="5"/>
        <v>132</v>
      </c>
      <c r="B141" s="97"/>
      <c r="C141" s="97"/>
      <c r="D141" s="98"/>
      <c r="E141" s="102"/>
      <c r="F141" s="102"/>
      <c r="G141" s="102"/>
      <c r="H141" s="102"/>
      <c r="I141" s="99"/>
      <c r="J141" s="57"/>
      <c r="K141" s="99"/>
      <c r="L141" s="100"/>
      <c r="M141" s="99"/>
      <c r="N141" s="99"/>
      <c r="O141" s="99"/>
      <c r="P141" s="99"/>
    </row>
    <row r="142" spans="1:16" x14ac:dyDescent="0.25">
      <c r="A142" s="8">
        <f t="shared" si="5"/>
        <v>133</v>
      </c>
      <c r="B142" s="97"/>
      <c r="C142" s="97"/>
      <c r="D142" s="98"/>
      <c r="E142" s="102"/>
      <c r="F142" s="102"/>
      <c r="G142" s="102"/>
      <c r="H142" s="102"/>
      <c r="I142" s="99"/>
      <c r="J142" s="57"/>
      <c r="K142" s="99"/>
      <c r="L142" s="100"/>
      <c r="M142" s="99"/>
      <c r="N142" s="99"/>
      <c r="O142" s="99"/>
      <c r="P142" s="99"/>
    </row>
    <row r="143" spans="1:16" x14ac:dyDescent="0.25">
      <c r="A143" s="8">
        <f t="shared" si="5"/>
        <v>134</v>
      </c>
      <c r="B143" s="97"/>
      <c r="C143" s="97"/>
      <c r="D143" s="98"/>
      <c r="E143" s="102"/>
      <c r="F143" s="102"/>
      <c r="G143" s="102"/>
      <c r="H143" s="102"/>
      <c r="I143" s="99"/>
      <c r="J143" s="57"/>
      <c r="K143" s="99"/>
      <c r="L143" s="100"/>
      <c r="M143" s="99"/>
      <c r="N143" s="99"/>
      <c r="O143" s="99"/>
      <c r="P143" s="99"/>
    </row>
    <row r="144" spans="1:16" x14ac:dyDescent="0.25">
      <c r="A144" s="8">
        <f t="shared" si="5"/>
        <v>135</v>
      </c>
      <c r="B144" s="97"/>
      <c r="C144" s="97"/>
      <c r="D144" s="98"/>
      <c r="E144" s="102"/>
      <c r="F144" s="102"/>
      <c r="G144" s="102"/>
      <c r="H144" s="102"/>
      <c r="I144" s="99"/>
      <c r="J144" s="57"/>
      <c r="K144" s="99"/>
      <c r="L144" s="100"/>
      <c r="M144" s="99"/>
      <c r="N144" s="99"/>
      <c r="O144" s="99"/>
      <c r="P144" s="99"/>
    </row>
    <row r="145" spans="1:16" x14ac:dyDescent="0.25">
      <c r="A145" s="8">
        <f t="shared" si="5"/>
        <v>136</v>
      </c>
      <c r="B145" s="97"/>
      <c r="C145" s="97"/>
      <c r="D145" s="98"/>
      <c r="E145" s="102"/>
      <c r="F145" s="102"/>
      <c r="G145" s="102"/>
      <c r="H145" s="102"/>
      <c r="I145" s="99"/>
      <c r="J145" s="57"/>
      <c r="K145" s="99"/>
      <c r="L145" s="100"/>
      <c r="M145" s="99"/>
      <c r="N145" s="99"/>
      <c r="O145" s="99"/>
      <c r="P145" s="99"/>
    </row>
    <row r="146" spans="1:16" x14ac:dyDescent="0.25">
      <c r="A146" s="8">
        <f t="shared" si="5"/>
        <v>137</v>
      </c>
      <c r="B146" s="97"/>
      <c r="C146" s="97"/>
      <c r="D146" s="98"/>
      <c r="E146" s="102"/>
      <c r="F146" s="102"/>
      <c r="G146" s="102"/>
      <c r="H146" s="102"/>
      <c r="I146" s="99"/>
      <c r="J146" s="57"/>
      <c r="K146" s="99"/>
      <c r="L146" s="100"/>
      <c r="M146" s="99"/>
      <c r="N146" s="99"/>
      <c r="O146" s="99"/>
      <c r="P146" s="99"/>
    </row>
    <row r="147" spans="1:16" x14ac:dyDescent="0.25">
      <c r="A147" s="8">
        <f t="shared" si="5"/>
        <v>138</v>
      </c>
      <c r="B147" s="97"/>
      <c r="C147" s="97"/>
      <c r="D147" s="98"/>
      <c r="E147" s="102"/>
      <c r="F147" s="102"/>
      <c r="G147" s="102"/>
      <c r="H147" s="102"/>
      <c r="I147" s="99"/>
      <c r="J147" s="57"/>
      <c r="K147" s="99"/>
      <c r="L147" s="100"/>
      <c r="M147" s="99"/>
      <c r="N147" s="99"/>
      <c r="O147" s="99"/>
      <c r="P147" s="99"/>
    </row>
    <row r="148" spans="1:16" x14ac:dyDescent="0.25">
      <c r="A148" s="8">
        <f t="shared" si="5"/>
        <v>139</v>
      </c>
      <c r="B148" s="97"/>
      <c r="C148" s="97"/>
      <c r="D148" s="98"/>
      <c r="E148" s="102"/>
      <c r="F148" s="102"/>
      <c r="G148" s="102"/>
      <c r="H148" s="102"/>
      <c r="I148" s="99"/>
      <c r="J148" s="57"/>
      <c r="K148" s="99"/>
      <c r="L148" s="100"/>
      <c r="M148" s="99"/>
      <c r="N148" s="99"/>
      <c r="O148" s="99"/>
      <c r="P148" s="99"/>
    </row>
    <row r="149" spans="1:16" x14ac:dyDescent="0.25">
      <c r="A149" s="8">
        <f t="shared" si="5"/>
        <v>140</v>
      </c>
      <c r="B149" s="97"/>
      <c r="C149" s="97"/>
      <c r="D149" s="98"/>
      <c r="E149" s="102"/>
      <c r="F149" s="102"/>
      <c r="G149" s="102"/>
      <c r="H149" s="102"/>
      <c r="I149" s="99"/>
      <c r="J149" s="57"/>
      <c r="K149" s="99"/>
      <c r="L149" s="100"/>
      <c r="M149" s="99"/>
      <c r="N149" s="99"/>
      <c r="O149" s="99"/>
      <c r="P149" s="99"/>
    </row>
    <row r="150" spans="1:16" x14ac:dyDescent="0.25">
      <c r="A150" s="8">
        <f t="shared" si="5"/>
        <v>141</v>
      </c>
      <c r="B150" s="97"/>
      <c r="C150" s="97"/>
      <c r="D150" s="98"/>
      <c r="E150" s="102"/>
      <c r="F150" s="102"/>
      <c r="G150" s="102"/>
      <c r="H150" s="102"/>
      <c r="I150" s="99"/>
      <c r="J150" s="57"/>
      <c r="K150" s="99"/>
      <c r="L150" s="100"/>
      <c r="M150" s="99"/>
      <c r="N150" s="99"/>
      <c r="O150" s="99"/>
      <c r="P150" s="99"/>
    </row>
    <row r="151" spans="1:16" x14ac:dyDescent="0.25">
      <c r="A151" s="8">
        <f t="shared" si="5"/>
        <v>142</v>
      </c>
      <c r="B151" s="97"/>
      <c r="C151" s="97"/>
      <c r="D151" s="98"/>
      <c r="E151" s="102"/>
      <c r="F151" s="102"/>
      <c r="G151" s="102"/>
      <c r="H151" s="102"/>
      <c r="I151" s="99"/>
      <c r="J151" s="57"/>
      <c r="K151" s="99"/>
      <c r="L151" s="100"/>
      <c r="M151" s="99"/>
      <c r="N151" s="99"/>
      <c r="O151" s="99"/>
      <c r="P151" s="99"/>
    </row>
    <row r="152" spans="1:16" x14ac:dyDescent="0.25">
      <c r="A152" s="8">
        <f t="shared" si="5"/>
        <v>143</v>
      </c>
      <c r="B152" s="97"/>
      <c r="C152" s="97"/>
      <c r="D152" s="98"/>
      <c r="E152" s="102"/>
      <c r="F152" s="102"/>
      <c r="G152" s="102"/>
      <c r="H152" s="102"/>
      <c r="I152" s="99"/>
      <c r="J152" s="57"/>
      <c r="K152" s="99"/>
      <c r="L152" s="100"/>
      <c r="M152" s="99"/>
      <c r="N152" s="99"/>
      <c r="O152" s="99"/>
      <c r="P152" s="99"/>
    </row>
    <row r="153" spans="1:16" x14ac:dyDescent="0.25">
      <c r="A153" s="8">
        <f t="shared" si="5"/>
        <v>144</v>
      </c>
      <c r="B153" s="97"/>
      <c r="C153" s="97"/>
      <c r="D153" s="98"/>
      <c r="E153" s="102"/>
      <c r="F153" s="102"/>
      <c r="G153" s="102"/>
      <c r="H153" s="102"/>
      <c r="I153" s="99"/>
      <c r="J153" s="57"/>
      <c r="K153" s="99"/>
      <c r="L153" s="100"/>
      <c r="M153" s="99"/>
      <c r="N153" s="99"/>
      <c r="O153" s="99"/>
      <c r="P153" s="99"/>
    </row>
    <row r="154" spans="1:16" x14ac:dyDescent="0.25">
      <c r="A154" s="8">
        <f t="shared" si="5"/>
        <v>145</v>
      </c>
      <c r="B154" s="97"/>
      <c r="C154" s="97"/>
      <c r="D154" s="98"/>
      <c r="E154" s="102"/>
      <c r="F154" s="102"/>
      <c r="G154" s="102"/>
      <c r="H154" s="102"/>
      <c r="I154" s="99"/>
      <c r="J154" s="57"/>
      <c r="K154" s="99"/>
      <c r="L154" s="100"/>
      <c r="M154" s="99"/>
      <c r="N154" s="99"/>
      <c r="O154" s="99"/>
      <c r="P154" s="99"/>
    </row>
    <row r="155" spans="1:16" x14ac:dyDescent="0.25">
      <c r="A155" s="8">
        <f t="shared" si="5"/>
        <v>146</v>
      </c>
      <c r="B155" s="97"/>
      <c r="C155" s="97"/>
      <c r="D155" s="98"/>
      <c r="E155" s="102"/>
      <c r="F155" s="102"/>
      <c r="G155" s="102"/>
      <c r="H155" s="102"/>
      <c r="I155" s="99"/>
      <c r="J155" s="57"/>
      <c r="K155" s="99"/>
      <c r="L155" s="100"/>
      <c r="M155" s="99"/>
      <c r="N155" s="99"/>
      <c r="O155" s="99"/>
      <c r="P155" s="99"/>
    </row>
    <row r="156" spans="1:16" x14ac:dyDescent="0.25">
      <c r="A156" s="8">
        <f t="shared" si="5"/>
        <v>147</v>
      </c>
      <c r="B156" s="97"/>
      <c r="C156" s="97"/>
      <c r="D156" s="98"/>
      <c r="E156" s="102"/>
      <c r="F156" s="102"/>
      <c r="G156" s="102"/>
      <c r="H156" s="102"/>
      <c r="I156" s="99"/>
      <c r="J156" s="57"/>
      <c r="K156" s="99"/>
      <c r="L156" s="100"/>
      <c r="M156" s="99"/>
      <c r="N156" s="99"/>
      <c r="O156" s="99"/>
      <c r="P156" s="99"/>
    </row>
    <row r="157" spans="1:16" x14ac:dyDescent="0.25">
      <c r="A157" s="8">
        <f t="shared" si="5"/>
        <v>148</v>
      </c>
      <c r="B157" s="97"/>
      <c r="C157" s="97"/>
      <c r="D157" s="98"/>
      <c r="E157" s="102"/>
      <c r="F157" s="102"/>
      <c r="G157" s="102"/>
      <c r="H157" s="102"/>
      <c r="I157" s="99"/>
      <c r="J157" s="57"/>
      <c r="K157" s="99"/>
      <c r="L157" s="100"/>
      <c r="M157" s="99"/>
      <c r="N157" s="99"/>
      <c r="O157" s="99"/>
      <c r="P157" s="99"/>
    </row>
    <row r="158" spans="1:16" x14ac:dyDescent="0.25">
      <c r="A158" s="8">
        <f t="shared" si="5"/>
        <v>149</v>
      </c>
      <c r="B158" s="97"/>
      <c r="C158" s="97"/>
      <c r="D158" s="98"/>
      <c r="E158" s="102"/>
      <c r="F158" s="102"/>
      <c r="G158" s="102"/>
      <c r="H158" s="102"/>
      <c r="I158" s="99"/>
      <c r="J158" s="57"/>
      <c r="K158" s="99"/>
      <c r="L158" s="100"/>
      <c r="M158" s="99"/>
      <c r="N158" s="99"/>
      <c r="O158" s="99"/>
      <c r="P158" s="99"/>
    </row>
    <row r="159" spans="1:16" x14ac:dyDescent="0.25">
      <c r="A159" s="8">
        <f t="shared" si="5"/>
        <v>150</v>
      </c>
      <c r="B159" s="97"/>
      <c r="C159" s="97"/>
      <c r="D159" s="98"/>
      <c r="E159" s="102"/>
      <c r="F159" s="102"/>
      <c r="G159" s="102"/>
      <c r="H159" s="102"/>
      <c r="I159" s="99"/>
      <c r="J159" s="57"/>
      <c r="K159" s="99"/>
      <c r="L159" s="100"/>
      <c r="M159" s="99"/>
      <c r="N159" s="99"/>
      <c r="O159" s="99"/>
      <c r="P159" s="99"/>
    </row>
    <row r="160" spans="1:16" x14ac:dyDescent="0.25">
      <c r="A160" s="8">
        <f t="shared" si="5"/>
        <v>151</v>
      </c>
      <c r="B160" s="97"/>
      <c r="C160" s="97"/>
      <c r="D160" s="98"/>
      <c r="E160" s="102"/>
      <c r="F160" s="102"/>
      <c r="G160" s="102"/>
      <c r="H160" s="102"/>
      <c r="I160" s="99"/>
      <c r="J160" s="57"/>
      <c r="K160" s="99"/>
      <c r="L160" s="100"/>
      <c r="M160" s="99"/>
      <c r="N160" s="99"/>
      <c r="O160" s="99"/>
      <c r="P160" s="99"/>
    </row>
    <row r="161" spans="1:16" x14ac:dyDescent="0.25">
      <c r="A161" s="8">
        <f t="shared" si="5"/>
        <v>152</v>
      </c>
      <c r="B161" s="97"/>
      <c r="C161" s="97"/>
      <c r="D161" s="98"/>
      <c r="E161" s="102"/>
      <c r="F161" s="102"/>
      <c r="G161" s="102"/>
      <c r="H161" s="102"/>
      <c r="I161" s="99"/>
      <c r="J161" s="57"/>
      <c r="K161" s="99"/>
      <c r="L161" s="100"/>
      <c r="M161" s="99"/>
      <c r="N161" s="99"/>
      <c r="O161" s="99"/>
      <c r="P161" s="99"/>
    </row>
    <row r="162" spans="1:16" x14ac:dyDescent="0.25">
      <c r="A162" s="8">
        <f t="shared" si="5"/>
        <v>153</v>
      </c>
      <c r="B162" s="97"/>
      <c r="C162" s="97"/>
      <c r="D162" s="98"/>
      <c r="E162" s="102"/>
      <c r="F162" s="102"/>
      <c r="G162" s="102"/>
      <c r="H162" s="102"/>
      <c r="I162" s="99"/>
      <c r="J162" s="57"/>
      <c r="K162" s="99"/>
      <c r="L162" s="100"/>
      <c r="M162" s="99"/>
      <c r="N162" s="99"/>
      <c r="O162" s="99"/>
      <c r="P162" s="99"/>
    </row>
    <row r="163" spans="1:16" x14ac:dyDescent="0.25">
      <c r="A163" s="8">
        <f t="shared" si="5"/>
        <v>154</v>
      </c>
      <c r="B163" s="97"/>
      <c r="C163" s="97"/>
      <c r="D163" s="98"/>
      <c r="E163" s="102"/>
      <c r="F163" s="102"/>
      <c r="G163" s="102"/>
      <c r="H163" s="102"/>
      <c r="I163" s="99"/>
      <c r="J163" s="57"/>
      <c r="K163" s="99"/>
      <c r="L163" s="100"/>
      <c r="M163" s="99"/>
      <c r="N163" s="99"/>
      <c r="O163" s="99"/>
      <c r="P163" s="99"/>
    </row>
    <row r="164" spans="1:16" x14ac:dyDescent="0.25">
      <c r="A164" s="8">
        <f t="shared" si="5"/>
        <v>155</v>
      </c>
      <c r="B164" s="97"/>
      <c r="C164" s="97"/>
      <c r="D164" s="98"/>
      <c r="E164" s="102"/>
      <c r="F164" s="102"/>
      <c r="G164" s="102"/>
      <c r="H164" s="102"/>
      <c r="I164" s="99"/>
      <c r="J164" s="57"/>
      <c r="K164" s="99"/>
      <c r="L164" s="100"/>
      <c r="M164" s="99"/>
      <c r="N164" s="99"/>
      <c r="O164" s="99"/>
      <c r="P164" s="99"/>
    </row>
    <row r="165" spans="1:16" x14ac:dyDescent="0.25">
      <c r="A165" s="8">
        <f t="shared" si="5"/>
        <v>156</v>
      </c>
      <c r="B165" s="97"/>
      <c r="C165" s="97"/>
      <c r="D165" s="98"/>
      <c r="E165" s="102"/>
      <c r="F165" s="102"/>
      <c r="G165" s="102"/>
      <c r="H165" s="102"/>
      <c r="I165" s="99"/>
      <c r="J165" s="57"/>
      <c r="K165" s="99"/>
      <c r="L165" s="100"/>
      <c r="M165" s="99"/>
      <c r="N165" s="99"/>
      <c r="O165" s="99"/>
      <c r="P165" s="99"/>
    </row>
    <row r="166" spans="1:16" x14ac:dyDescent="0.25">
      <c r="A166" s="8">
        <f t="shared" si="5"/>
        <v>157</v>
      </c>
      <c r="B166" s="97"/>
      <c r="C166" s="97"/>
      <c r="D166" s="98"/>
      <c r="E166" s="102"/>
      <c r="F166" s="102"/>
      <c r="G166" s="102"/>
      <c r="H166" s="102"/>
      <c r="I166" s="99"/>
      <c r="J166" s="57"/>
      <c r="K166" s="99"/>
      <c r="L166" s="100"/>
      <c r="M166" s="99"/>
      <c r="N166" s="99"/>
      <c r="O166" s="99"/>
      <c r="P166" s="99"/>
    </row>
    <row r="167" spans="1:16" x14ac:dyDescent="0.25">
      <c r="A167" s="8">
        <f t="shared" si="5"/>
        <v>158</v>
      </c>
      <c r="B167" s="97"/>
      <c r="C167" s="97"/>
      <c r="D167" s="98"/>
      <c r="E167" s="102"/>
      <c r="F167" s="102"/>
      <c r="G167" s="102"/>
      <c r="H167" s="102"/>
      <c r="I167" s="99"/>
      <c r="J167" s="57"/>
      <c r="K167" s="99"/>
      <c r="L167" s="100"/>
      <c r="M167" s="99"/>
      <c r="N167" s="99"/>
      <c r="O167" s="99"/>
      <c r="P167" s="99"/>
    </row>
    <row r="168" spans="1:16" x14ac:dyDescent="0.25">
      <c r="A168" s="8">
        <f t="shared" si="5"/>
        <v>159</v>
      </c>
      <c r="B168" s="97"/>
      <c r="C168" s="97"/>
      <c r="D168" s="98"/>
      <c r="E168" s="102"/>
      <c r="F168" s="102"/>
      <c r="G168" s="102"/>
      <c r="H168" s="102"/>
      <c r="I168" s="99"/>
      <c r="J168" s="57"/>
      <c r="K168" s="99"/>
      <c r="L168" s="100"/>
      <c r="M168" s="99"/>
      <c r="N168" s="99"/>
      <c r="O168" s="99"/>
      <c r="P168" s="99"/>
    </row>
    <row r="169" spans="1:16" x14ac:dyDescent="0.25">
      <c r="A169" s="8">
        <f t="shared" si="5"/>
        <v>160</v>
      </c>
      <c r="B169" s="97"/>
      <c r="C169" s="97"/>
      <c r="D169" s="98"/>
      <c r="E169" s="102"/>
      <c r="F169" s="102"/>
      <c r="G169" s="102"/>
      <c r="H169" s="102"/>
      <c r="I169" s="99"/>
      <c r="J169" s="57"/>
      <c r="K169" s="99"/>
      <c r="L169" s="100"/>
      <c r="M169" s="99"/>
      <c r="N169" s="99"/>
      <c r="O169" s="99"/>
      <c r="P169" s="99"/>
    </row>
    <row r="170" spans="1:16" x14ac:dyDescent="0.25">
      <c r="A170" s="8">
        <f t="shared" si="5"/>
        <v>161</v>
      </c>
      <c r="B170" s="97"/>
      <c r="C170" s="97"/>
      <c r="D170" s="98"/>
      <c r="E170" s="102"/>
      <c r="F170" s="102"/>
      <c r="G170" s="102"/>
      <c r="H170" s="102"/>
      <c r="I170" s="99"/>
      <c r="J170" s="57"/>
      <c r="K170" s="99"/>
      <c r="L170" s="100"/>
      <c r="M170" s="99"/>
      <c r="N170" s="99"/>
      <c r="O170" s="99"/>
      <c r="P170" s="99"/>
    </row>
    <row r="171" spans="1:16" x14ac:dyDescent="0.25">
      <c r="A171" s="8">
        <f t="shared" si="5"/>
        <v>162</v>
      </c>
      <c r="B171" s="97"/>
      <c r="C171" s="97"/>
      <c r="D171" s="98"/>
      <c r="E171" s="102"/>
      <c r="F171" s="102"/>
      <c r="G171" s="102"/>
      <c r="H171" s="102"/>
      <c r="I171" s="99"/>
      <c r="J171" s="57"/>
      <c r="K171" s="99"/>
      <c r="L171" s="100"/>
      <c r="M171" s="99"/>
      <c r="N171" s="99"/>
      <c r="O171" s="99"/>
      <c r="P171" s="99"/>
    </row>
    <row r="172" spans="1:16" x14ac:dyDescent="0.25">
      <c r="A172" s="8">
        <f t="shared" si="5"/>
        <v>163</v>
      </c>
      <c r="B172" s="97"/>
      <c r="C172" s="97"/>
      <c r="D172" s="98"/>
      <c r="E172" s="102"/>
      <c r="F172" s="102"/>
      <c r="G172" s="102"/>
      <c r="H172" s="102"/>
      <c r="I172" s="99"/>
      <c r="J172" s="57"/>
      <c r="K172" s="99"/>
      <c r="L172" s="100"/>
      <c r="M172" s="99"/>
      <c r="N172" s="99"/>
      <c r="O172" s="99"/>
      <c r="P172" s="99"/>
    </row>
    <row r="173" spans="1:16" x14ac:dyDescent="0.25">
      <c r="A173" s="8">
        <f t="shared" si="5"/>
        <v>164</v>
      </c>
      <c r="B173" s="97"/>
      <c r="C173" s="97"/>
      <c r="D173" s="98"/>
      <c r="E173" s="102"/>
      <c r="F173" s="102"/>
      <c r="G173" s="102"/>
      <c r="H173" s="102"/>
      <c r="I173" s="99"/>
      <c r="J173" s="57"/>
      <c r="K173" s="99"/>
      <c r="L173" s="100"/>
      <c r="M173" s="99"/>
      <c r="N173" s="99"/>
      <c r="O173" s="99"/>
      <c r="P173" s="99"/>
    </row>
    <row r="174" spans="1:16" x14ac:dyDescent="0.25">
      <c r="A174" s="8">
        <f t="shared" si="5"/>
        <v>165</v>
      </c>
      <c r="B174" s="97"/>
      <c r="C174" s="97"/>
      <c r="D174" s="98"/>
      <c r="E174" s="102"/>
      <c r="F174" s="102"/>
      <c r="G174" s="102"/>
      <c r="H174" s="102"/>
      <c r="I174" s="99"/>
      <c r="J174" s="57"/>
      <c r="K174" s="99"/>
      <c r="L174" s="100"/>
      <c r="M174" s="99"/>
      <c r="N174" s="99"/>
      <c r="O174" s="99"/>
      <c r="P174" s="99"/>
    </row>
    <row r="175" spans="1:16" x14ac:dyDescent="0.25">
      <c r="A175" s="8">
        <f t="shared" si="5"/>
        <v>166</v>
      </c>
      <c r="B175" s="97"/>
      <c r="C175" s="97"/>
      <c r="D175" s="98"/>
      <c r="E175" s="102"/>
      <c r="F175" s="102"/>
      <c r="G175" s="102"/>
      <c r="H175" s="102"/>
      <c r="I175" s="99"/>
      <c r="J175" s="57"/>
      <c r="K175" s="99"/>
      <c r="L175" s="100"/>
      <c r="M175" s="99"/>
      <c r="N175" s="99"/>
      <c r="O175" s="99"/>
      <c r="P175" s="99"/>
    </row>
    <row r="176" spans="1:16" x14ac:dyDescent="0.25">
      <c r="A176" s="8">
        <f t="shared" si="5"/>
        <v>167</v>
      </c>
      <c r="B176" s="97"/>
      <c r="C176" s="97"/>
      <c r="D176" s="98"/>
      <c r="E176" s="102"/>
      <c r="F176" s="102"/>
      <c r="G176" s="102"/>
      <c r="H176" s="102"/>
      <c r="I176" s="99"/>
      <c r="J176" s="57"/>
      <c r="K176" s="99"/>
      <c r="L176" s="100"/>
      <c r="M176" s="99"/>
      <c r="N176" s="99"/>
      <c r="O176" s="99"/>
      <c r="P176" s="99"/>
    </row>
    <row r="177" spans="1:16" x14ac:dyDescent="0.25">
      <c r="A177" s="8">
        <f t="shared" si="5"/>
        <v>168</v>
      </c>
      <c r="B177" s="97"/>
      <c r="C177" s="97"/>
      <c r="D177" s="98"/>
      <c r="E177" s="102"/>
      <c r="F177" s="102"/>
      <c r="G177" s="102"/>
      <c r="H177" s="102"/>
      <c r="I177" s="99"/>
      <c r="J177" s="57"/>
      <c r="K177" s="99"/>
      <c r="L177" s="100"/>
      <c r="M177" s="99"/>
      <c r="N177" s="99"/>
      <c r="O177" s="99"/>
      <c r="P177" s="99"/>
    </row>
    <row r="178" spans="1:16" x14ac:dyDescent="0.25">
      <c r="A178" s="8">
        <f t="shared" si="5"/>
        <v>169</v>
      </c>
      <c r="B178" s="97"/>
      <c r="C178" s="97"/>
      <c r="D178" s="98"/>
      <c r="E178" s="102"/>
      <c r="F178" s="102"/>
      <c r="G178" s="102"/>
      <c r="H178" s="102"/>
      <c r="I178" s="99"/>
      <c r="J178" s="57"/>
      <c r="K178" s="99"/>
      <c r="L178" s="100"/>
      <c r="M178" s="99"/>
      <c r="N178" s="99"/>
      <c r="O178" s="99"/>
      <c r="P178" s="99"/>
    </row>
    <row r="179" spans="1:16" x14ac:dyDescent="0.25">
      <c r="A179" s="8">
        <f t="shared" si="5"/>
        <v>170</v>
      </c>
      <c r="B179" s="97"/>
      <c r="C179" s="97"/>
      <c r="D179" s="98"/>
      <c r="E179" s="102"/>
      <c r="F179" s="102"/>
      <c r="G179" s="102"/>
      <c r="H179" s="102"/>
      <c r="I179" s="99"/>
      <c r="J179" s="57"/>
      <c r="K179" s="99"/>
      <c r="L179" s="100"/>
      <c r="M179" s="99"/>
      <c r="N179" s="99"/>
      <c r="O179" s="99"/>
      <c r="P179" s="99"/>
    </row>
    <row r="180" spans="1:16" x14ac:dyDescent="0.25">
      <c r="A180" s="8">
        <f t="shared" si="5"/>
        <v>171</v>
      </c>
      <c r="B180" s="97"/>
      <c r="C180" s="97"/>
      <c r="D180" s="98"/>
      <c r="E180" s="102"/>
      <c r="F180" s="102"/>
      <c r="G180" s="102"/>
      <c r="H180" s="102"/>
      <c r="I180" s="99"/>
      <c r="J180" s="57"/>
      <c r="K180" s="99"/>
      <c r="L180" s="100"/>
      <c r="M180" s="99"/>
      <c r="N180" s="99"/>
      <c r="O180" s="99"/>
      <c r="P180" s="99"/>
    </row>
    <row r="181" spans="1:16" x14ac:dyDescent="0.25">
      <c r="A181" s="8">
        <f t="shared" si="5"/>
        <v>172</v>
      </c>
      <c r="B181" s="97"/>
      <c r="C181" s="97"/>
      <c r="D181" s="98"/>
      <c r="E181" s="102"/>
      <c r="F181" s="102"/>
      <c r="G181" s="102"/>
      <c r="H181" s="102"/>
      <c r="I181" s="99"/>
      <c r="J181" s="57"/>
      <c r="K181" s="99"/>
      <c r="L181" s="100"/>
      <c r="M181" s="99"/>
      <c r="N181" s="99"/>
      <c r="O181" s="99"/>
      <c r="P181" s="99"/>
    </row>
    <row r="182" spans="1:16" x14ac:dyDescent="0.25">
      <c r="A182" s="8">
        <f t="shared" si="5"/>
        <v>173</v>
      </c>
      <c r="B182" s="97"/>
      <c r="C182" s="97"/>
      <c r="D182" s="98"/>
      <c r="E182" s="102"/>
      <c r="F182" s="102"/>
      <c r="G182" s="102"/>
      <c r="H182" s="102"/>
      <c r="I182" s="99"/>
      <c r="J182" s="57"/>
      <c r="K182" s="99"/>
      <c r="L182" s="100"/>
      <c r="M182" s="99"/>
      <c r="N182" s="99"/>
      <c r="O182" s="99"/>
      <c r="P182" s="99"/>
    </row>
    <row r="183" spans="1:16" x14ac:dyDescent="0.25">
      <c r="A183" s="8">
        <f t="shared" si="5"/>
        <v>174</v>
      </c>
      <c r="B183" s="97"/>
      <c r="C183" s="97"/>
      <c r="D183" s="98"/>
      <c r="E183" s="102"/>
      <c r="F183" s="102"/>
      <c r="G183" s="102"/>
      <c r="H183" s="102"/>
      <c r="I183" s="99"/>
      <c r="J183" s="57"/>
      <c r="K183" s="99"/>
      <c r="L183" s="100"/>
      <c r="M183" s="99"/>
      <c r="N183" s="99"/>
      <c r="O183" s="99"/>
      <c r="P183" s="99"/>
    </row>
    <row r="184" spans="1:16" x14ac:dyDescent="0.25">
      <c r="A184" s="8">
        <f t="shared" si="5"/>
        <v>175</v>
      </c>
      <c r="B184" s="97"/>
      <c r="C184" s="97"/>
      <c r="D184" s="98"/>
      <c r="E184" s="102"/>
      <c r="F184" s="102"/>
      <c r="G184" s="102"/>
      <c r="H184" s="102"/>
      <c r="I184" s="99"/>
      <c r="J184" s="57"/>
      <c r="K184" s="99"/>
      <c r="L184" s="100"/>
      <c r="M184" s="99"/>
      <c r="N184" s="99"/>
      <c r="O184" s="99"/>
      <c r="P184" s="99"/>
    </row>
    <row r="185" spans="1:16" x14ac:dyDescent="0.25">
      <c r="A185" s="8">
        <f t="shared" si="5"/>
        <v>176</v>
      </c>
      <c r="B185" s="97"/>
      <c r="C185" s="97"/>
      <c r="D185" s="98"/>
      <c r="E185" s="102"/>
      <c r="F185" s="102"/>
      <c r="G185" s="102"/>
      <c r="H185" s="102"/>
      <c r="I185" s="99"/>
      <c r="J185" s="57"/>
      <c r="K185" s="99"/>
      <c r="L185" s="100"/>
      <c r="M185" s="99"/>
      <c r="N185" s="99"/>
      <c r="O185" s="99"/>
      <c r="P185" s="99"/>
    </row>
    <row r="186" spans="1:16" x14ac:dyDescent="0.25">
      <c r="A186" s="8">
        <f t="shared" si="5"/>
        <v>177</v>
      </c>
      <c r="B186" s="97"/>
      <c r="C186" s="97"/>
      <c r="D186" s="98"/>
      <c r="E186" s="102"/>
      <c r="F186" s="102"/>
      <c r="G186" s="102"/>
      <c r="H186" s="102"/>
      <c r="I186" s="99"/>
      <c r="J186" s="57"/>
      <c r="K186" s="99"/>
      <c r="L186" s="100"/>
      <c r="M186" s="99"/>
      <c r="N186" s="99"/>
      <c r="O186" s="99"/>
      <c r="P186" s="99"/>
    </row>
    <row r="187" spans="1:16" x14ac:dyDescent="0.25">
      <c r="A187" s="8">
        <f t="shared" si="5"/>
        <v>178</v>
      </c>
      <c r="B187" s="97"/>
      <c r="C187" s="97"/>
      <c r="D187" s="98"/>
      <c r="E187" s="102"/>
      <c r="F187" s="102"/>
      <c r="G187" s="102"/>
      <c r="H187" s="102"/>
      <c r="I187" s="99"/>
      <c r="J187" s="57"/>
      <c r="K187" s="99"/>
      <c r="L187" s="100"/>
      <c r="M187" s="99"/>
      <c r="N187" s="99"/>
      <c r="O187" s="99"/>
      <c r="P187" s="99"/>
    </row>
    <row r="188" spans="1:16" x14ac:dyDescent="0.25">
      <c r="A188" s="8">
        <f t="shared" si="5"/>
        <v>179</v>
      </c>
      <c r="B188" s="97"/>
      <c r="C188" s="97"/>
      <c r="D188" s="98"/>
      <c r="E188" s="102"/>
      <c r="F188" s="102"/>
      <c r="G188" s="102"/>
      <c r="H188" s="102"/>
      <c r="I188" s="99"/>
      <c r="J188" s="57"/>
      <c r="K188" s="99"/>
      <c r="L188" s="100"/>
      <c r="M188" s="99"/>
      <c r="N188" s="99"/>
      <c r="O188" s="99"/>
      <c r="P188" s="99"/>
    </row>
    <row r="189" spans="1:16" x14ac:dyDescent="0.25">
      <c r="A189" s="8">
        <f t="shared" si="5"/>
        <v>180</v>
      </c>
      <c r="B189" s="97"/>
      <c r="C189" s="97"/>
      <c r="D189" s="98"/>
      <c r="E189" s="102"/>
      <c r="F189" s="102"/>
      <c r="G189" s="102"/>
      <c r="H189" s="102"/>
      <c r="I189" s="99"/>
      <c r="J189" s="57"/>
      <c r="K189" s="99"/>
      <c r="L189" s="100"/>
      <c r="M189" s="99"/>
      <c r="N189" s="99"/>
      <c r="O189" s="99"/>
      <c r="P189" s="99"/>
    </row>
    <row r="190" spans="1:16" x14ac:dyDescent="0.25">
      <c r="A190" s="8">
        <f t="shared" si="5"/>
        <v>181</v>
      </c>
      <c r="B190" s="97"/>
      <c r="C190" s="97"/>
      <c r="D190" s="98"/>
      <c r="E190" s="102"/>
      <c r="F190" s="102"/>
      <c r="G190" s="102"/>
      <c r="H190" s="102"/>
      <c r="I190" s="99"/>
      <c r="J190" s="57"/>
      <c r="K190" s="99"/>
      <c r="L190" s="100"/>
      <c r="M190" s="99"/>
      <c r="N190" s="99"/>
      <c r="O190" s="99"/>
      <c r="P190" s="99"/>
    </row>
    <row r="191" spans="1:16" x14ac:dyDescent="0.25">
      <c r="A191" s="8">
        <f t="shared" si="5"/>
        <v>182</v>
      </c>
      <c r="B191" s="97"/>
      <c r="C191" s="97"/>
      <c r="D191" s="98"/>
      <c r="E191" s="102"/>
      <c r="F191" s="102"/>
      <c r="G191" s="102"/>
      <c r="H191" s="102"/>
      <c r="I191" s="99"/>
      <c r="J191" s="57"/>
      <c r="K191" s="99"/>
      <c r="L191" s="100"/>
      <c r="M191" s="99"/>
      <c r="N191" s="99"/>
      <c r="O191" s="99"/>
      <c r="P191" s="99"/>
    </row>
    <row r="192" spans="1:16" x14ac:dyDescent="0.25">
      <c r="A192" s="8">
        <f t="shared" si="5"/>
        <v>183</v>
      </c>
      <c r="B192" s="97"/>
      <c r="C192" s="97"/>
      <c r="D192" s="98"/>
      <c r="E192" s="102"/>
      <c r="F192" s="102"/>
      <c r="G192" s="102"/>
      <c r="H192" s="102"/>
      <c r="I192" s="99"/>
      <c r="J192" s="57"/>
      <c r="K192" s="99"/>
      <c r="L192" s="100"/>
      <c r="M192" s="99"/>
      <c r="N192" s="99"/>
      <c r="O192" s="99"/>
      <c r="P192" s="99"/>
    </row>
    <row r="193" spans="1:16" x14ac:dyDescent="0.25">
      <c r="A193" s="8">
        <f t="shared" si="5"/>
        <v>184</v>
      </c>
      <c r="B193" s="97"/>
      <c r="C193" s="97"/>
      <c r="D193" s="98"/>
      <c r="E193" s="102"/>
      <c r="F193" s="102"/>
      <c r="G193" s="102"/>
      <c r="H193" s="102"/>
      <c r="I193" s="99"/>
      <c r="J193" s="57"/>
      <c r="K193" s="99"/>
      <c r="L193" s="100"/>
      <c r="M193" s="99"/>
      <c r="N193" s="99"/>
      <c r="O193" s="99"/>
      <c r="P193" s="99"/>
    </row>
    <row r="194" spans="1:16" x14ac:dyDescent="0.25">
      <c r="A194" s="8">
        <f t="shared" si="5"/>
        <v>185</v>
      </c>
      <c r="B194" s="97"/>
      <c r="C194" s="97"/>
      <c r="D194" s="98"/>
      <c r="E194" s="102"/>
      <c r="F194" s="102"/>
      <c r="G194" s="102"/>
      <c r="H194" s="102"/>
      <c r="I194" s="99"/>
      <c r="J194" s="57"/>
      <c r="K194" s="99"/>
      <c r="L194" s="100"/>
      <c r="M194" s="99"/>
      <c r="N194" s="99"/>
      <c r="O194" s="99"/>
      <c r="P194" s="99"/>
    </row>
    <row r="195" spans="1:16" x14ac:dyDescent="0.25">
      <c r="A195" s="8">
        <f t="shared" si="5"/>
        <v>186</v>
      </c>
      <c r="B195" s="97"/>
      <c r="C195" s="97"/>
      <c r="D195" s="98"/>
      <c r="E195" s="102"/>
      <c r="F195" s="102"/>
      <c r="G195" s="102"/>
      <c r="H195" s="102"/>
      <c r="I195" s="99"/>
      <c r="J195" s="57"/>
      <c r="K195" s="99"/>
      <c r="L195" s="100"/>
      <c r="M195" s="99"/>
      <c r="N195" s="99"/>
      <c r="O195" s="99"/>
      <c r="P195" s="99"/>
    </row>
    <row r="196" spans="1:16" x14ac:dyDescent="0.25">
      <c r="A196" s="8">
        <f t="shared" si="5"/>
        <v>187</v>
      </c>
      <c r="B196" s="97"/>
      <c r="C196" s="97"/>
      <c r="D196" s="98"/>
      <c r="E196" s="102"/>
      <c r="F196" s="102"/>
      <c r="G196" s="102"/>
      <c r="H196" s="102"/>
      <c r="I196" s="99"/>
      <c r="J196" s="57"/>
      <c r="K196" s="99"/>
      <c r="L196" s="100"/>
      <c r="M196" s="99"/>
      <c r="N196" s="99"/>
      <c r="O196" s="99"/>
      <c r="P196" s="99"/>
    </row>
    <row r="197" spans="1:16" x14ac:dyDescent="0.25">
      <c r="A197" s="8">
        <f t="shared" si="5"/>
        <v>188</v>
      </c>
      <c r="B197" s="97"/>
      <c r="C197" s="97"/>
      <c r="D197" s="98"/>
      <c r="E197" s="102"/>
      <c r="F197" s="102"/>
      <c r="G197" s="102"/>
      <c r="H197" s="102"/>
      <c r="I197" s="99"/>
      <c r="J197" s="57"/>
      <c r="K197" s="99"/>
      <c r="L197" s="100"/>
      <c r="M197" s="99"/>
      <c r="N197" s="99"/>
      <c r="O197" s="99"/>
      <c r="P197" s="99"/>
    </row>
    <row r="198" spans="1:16" x14ac:dyDescent="0.25">
      <c r="A198" s="8">
        <f t="shared" si="5"/>
        <v>189</v>
      </c>
      <c r="B198" s="97"/>
      <c r="C198" s="97"/>
      <c r="D198" s="98"/>
      <c r="E198" s="102"/>
      <c r="F198" s="102"/>
      <c r="G198" s="102"/>
      <c r="H198" s="102"/>
      <c r="I198" s="99"/>
      <c r="J198" s="57"/>
      <c r="K198" s="99"/>
      <c r="L198" s="100"/>
      <c r="M198" s="99"/>
      <c r="N198" s="99"/>
      <c r="O198" s="99"/>
      <c r="P198" s="99"/>
    </row>
    <row r="199" spans="1:16" x14ac:dyDescent="0.25">
      <c r="A199" s="8">
        <f t="shared" si="5"/>
        <v>190</v>
      </c>
      <c r="B199" s="97"/>
      <c r="C199" s="97"/>
      <c r="D199" s="98"/>
      <c r="E199" s="102"/>
      <c r="F199" s="102"/>
      <c r="G199" s="102"/>
      <c r="H199" s="102"/>
      <c r="I199" s="99"/>
      <c r="J199" s="57"/>
      <c r="K199" s="99"/>
      <c r="L199" s="100"/>
      <c r="M199" s="99"/>
      <c r="N199" s="99"/>
      <c r="O199" s="99"/>
      <c r="P199" s="99"/>
    </row>
    <row r="200" spans="1:16" x14ac:dyDescent="0.25">
      <c r="A200" s="8">
        <f t="shared" si="5"/>
        <v>191</v>
      </c>
      <c r="B200" s="97"/>
      <c r="C200" s="97"/>
      <c r="D200" s="98"/>
      <c r="E200" s="102"/>
      <c r="F200" s="102"/>
      <c r="G200" s="102"/>
      <c r="H200" s="102"/>
      <c r="I200" s="99"/>
      <c r="J200" s="57"/>
      <c r="K200" s="99"/>
      <c r="L200" s="100"/>
      <c r="M200" s="99"/>
      <c r="N200" s="99"/>
      <c r="O200" s="99"/>
      <c r="P200" s="99"/>
    </row>
    <row r="201" spans="1:16" x14ac:dyDescent="0.25">
      <c r="A201" s="8">
        <f t="shared" si="5"/>
        <v>192</v>
      </c>
      <c r="B201" s="97"/>
      <c r="C201" s="97"/>
      <c r="D201" s="98"/>
      <c r="E201" s="102"/>
      <c r="F201" s="102"/>
      <c r="G201" s="102"/>
      <c r="H201" s="102"/>
      <c r="I201" s="99"/>
      <c r="J201" s="57"/>
      <c r="K201" s="99"/>
      <c r="L201" s="100"/>
      <c r="M201" s="99"/>
      <c r="N201" s="99"/>
      <c r="O201" s="99"/>
      <c r="P201" s="99"/>
    </row>
    <row r="202" spans="1:16" x14ac:dyDescent="0.25">
      <c r="A202" s="8">
        <f t="shared" si="5"/>
        <v>193</v>
      </c>
      <c r="B202" s="97"/>
      <c r="C202" s="97"/>
      <c r="D202" s="98"/>
      <c r="E202" s="102"/>
      <c r="F202" s="102"/>
      <c r="G202" s="102"/>
      <c r="H202" s="102"/>
      <c r="I202" s="99"/>
      <c r="J202" s="57"/>
      <c r="K202" s="99"/>
      <c r="L202" s="100"/>
      <c r="M202" s="99"/>
      <c r="N202" s="99"/>
      <c r="O202" s="99"/>
      <c r="P202" s="99"/>
    </row>
    <row r="203" spans="1:16" x14ac:dyDescent="0.25">
      <c r="A203" s="8">
        <f t="shared" si="5"/>
        <v>194</v>
      </c>
      <c r="B203" s="97"/>
      <c r="C203" s="97"/>
      <c r="D203" s="98"/>
      <c r="E203" s="102"/>
      <c r="F203" s="102"/>
      <c r="G203" s="102"/>
      <c r="H203" s="102"/>
      <c r="I203" s="99"/>
      <c r="J203" s="57"/>
      <c r="K203" s="99"/>
      <c r="L203" s="100"/>
      <c r="M203" s="99"/>
      <c r="N203" s="99"/>
      <c r="O203" s="99"/>
      <c r="P203" s="99"/>
    </row>
    <row r="204" spans="1:16" x14ac:dyDescent="0.25">
      <c r="A204" s="8">
        <f t="shared" ref="A204:A209" si="6">+A203+1</f>
        <v>195</v>
      </c>
      <c r="B204" s="97"/>
      <c r="C204" s="97"/>
      <c r="D204" s="98"/>
      <c r="E204" s="102"/>
      <c r="F204" s="102"/>
      <c r="G204" s="102"/>
      <c r="H204" s="102"/>
      <c r="I204" s="99"/>
      <c r="J204" s="57"/>
      <c r="K204" s="99"/>
      <c r="L204" s="100"/>
      <c r="M204" s="99"/>
      <c r="N204" s="99"/>
      <c r="O204" s="99"/>
      <c r="P204" s="99"/>
    </row>
    <row r="205" spans="1:16" x14ac:dyDescent="0.25">
      <c r="A205" s="8">
        <f t="shared" si="6"/>
        <v>196</v>
      </c>
      <c r="B205" s="97"/>
      <c r="C205" s="97"/>
      <c r="D205" s="98"/>
      <c r="E205" s="102"/>
      <c r="F205" s="102"/>
      <c r="G205" s="102"/>
      <c r="H205" s="102"/>
      <c r="I205" s="99"/>
      <c r="J205" s="57"/>
      <c r="K205" s="99"/>
      <c r="L205" s="100"/>
      <c r="M205" s="99"/>
      <c r="N205" s="99"/>
      <c r="O205" s="99"/>
      <c r="P205" s="99"/>
    </row>
    <row r="206" spans="1:16" x14ac:dyDescent="0.25">
      <c r="A206" s="8">
        <f t="shared" si="6"/>
        <v>197</v>
      </c>
      <c r="B206" s="97"/>
      <c r="C206" s="97"/>
      <c r="D206" s="98"/>
      <c r="E206" s="102"/>
      <c r="F206" s="102"/>
      <c r="G206" s="102"/>
      <c r="H206" s="102"/>
      <c r="I206" s="99"/>
      <c r="J206" s="57"/>
      <c r="K206" s="99"/>
      <c r="L206" s="100"/>
      <c r="M206" s="99"/>
      <c r="N206" s="99"/>
      <c r="O206" s="99"/>
      <c r="P206" s="99"/>
    </row>
    <row r="207" spans="1:16" x14ac:dyDescent="0.25">
      <c r="A207" s="8">
        <f t="shared" si="6"/>
        <v>198</v>
      </c>
      <c r="B207" s="97"/>
      <c r="C207" s="97"/>
      <c r="D207" s="98"/>
      <c r="E207" s="102"/>
      <c r="F207" s="102"/>
      <c r="G207" s="102"/>
      <c r="H207" s="102"/>
      <c r="I207" s="99"/>
      <c r="J207" s="57"/>
      <c r="K207" s="99"/>
      <c r="L207" s="100"/>
      <c r="M207" s="99"/>
      <c r="N207" s="99"/>
      <c r="O207" s="99"/>
      <c r="P207" s="99"/>
    </row>
    <row r="208" spans="1:16" x14ac:dyDescent="0.25">
      <c r="A208" s="8">
        <f t="shared" si="6"/>
        <v>199</v>
      </c>
      <c r="B208" s="97"/>
      <c r="C208" s="97"/>
      <c r="D208" s="98"/>
      <c r="E208" s="102"/>
      <c r="F208" s="102"/>
      <c r="G208" s="102"/>
      <c r="H208" s="102"/>
      <c r="I208" s="99"/>
      <c r="J208" s="57"/>
      <c r="K208" s="99"/>
      <c r="L208" s="100"/>
      <c r="M208" s="99"/>
      <c r="N208" s="99"/>
      <c r="O208" s="99"/>
      <c r="P208" s="99"/>
    </row>
    <row r="209" spans="1:16" x14ac:dyDescent="0.25">
      <c r="A209" s="8">
        <f t="shared" si="6"/>
        <v>200</v>
      </c>
      <c r="B209" s="97"/>
      <c r="C209" s="97"/>
      <c r="D209" s="98"/>
      <c r="E209" s="102"/>
      <c r="F209" s="102"/>
      <c r="G209" s="102"/>
      <c r="H209" s="102"/>
      <c r="I209" s="99"/>
      <c r="J209" s="57"/>
      <c r="K209" s="99"/>
      <c r="L209" s="100"/>
      <c r="M209" s="99"/>
      <c r="N209" s="99"/>
      <c r="O209" s="99"/>
      <c r="P209" s="99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47" customWidth="1"/>
    <col min="2" max="2" width="26.5703125" style="46" customWidth="1"/>
    <col min="3" max="3" width="23.7109375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9</v>
      </c>
      <c r="B1" s="45" t="s">
        <v>219</v>
      </c>
      <c r="C1" s="93"/>
      <c r="G1" s="2"/>
    </row>
    <row r="2" spans="1:18" x14ac:dyDescent="0.35">
      <c r="A2" s="87">
        <v>10</v>
      </c>
      <c r="B2" s="46" t="s">
        <v>8</v>
      </c>
      <c r="C2" s="48" t="s">
        <v>7</v>
      </c>
      <c r="D2" s="49">
        <v>24</v>
      </c>
      <c r="H2" s="88"/>
    </row>
    <row r="3" spans="1:18" x14ac:dyDescent="0.35">
      <c r="C3" s="48" t="s">
        <v>15</v>
      </c>
      <c r="D3" s="49">
        <v>7</v>
      </c>
      <c r="H3" s="88"/>
    </row>
    <row r="5" spans="1:18" x14ac:dyDescent="0.35">
      <c r="B5" s="53" t="s">
        <v>0</v>
      </c>
      <c r="C5" s="54" t="s">
        <v>1</v>
      </c>
      <c r="D5" s="55" t="s">
        <v>2</v>
      </c>
      <c r="E5" s="115" t="s">
        <v>61</v>
      </c>
    </row>
    <row r="6" spans="1:18" x14ac:dyDescent="0.35">
      <c r="A6" s="51">
        <f>IF(FCRPool1Firstname&lt;&gt;"",1,"")</f>
        <v>1</v>
      </c>
      <c r="B6" s="77" t="s">
        <v>85</v>
      </c>
      <c r="C6" s="77" t="s">
        <v>86</v>
      </c>
      <c r="D6" s="78" t="s">
        <v>87</v>
      </c>
      <c r="E6" s="79">
        <v>34</v>
      </c>
    </row>
    <row r="7" spans="1:18" x14ac:dyDescent="0.35">
      <c r="A7" s="51">
        <f>IF(A6&lt;&gt;"",A6+1,"")</f>
        <v>2</v>
      </c>
      <c r="B7" s="77" t="s">
        <v>135</v>
      </c>
      <c r="C7" s="77" t="s">
        <v>136</v>
      </c>
      <c r="D7" s="78" t="s">
        <v>137</v>
      </c>
      <c r="E7" s="79">
        <v>34</v>
      </c>
    </row>
    <row r="8" spans="1:18" x14ac:dyDescent="0.35">
      <c r="A8" s="51">
        <f t="shared" ref="A8:A30" si="0">IF(A7&lt;&gt;"",A7+1,"")</f>
        <v>3</v>
      </c>
      <c r="B8" s="77" t="s">
        <v>182</v>
      </c>
      <c r="C8" s="77" t="s">
        <v>183</v>
      </c>
      <c r="D8" s="78" t="s">
        <v>184</v>
      </c>
      <c r="E8" s="79">
        <v>34</v>
      </c>
    </row>
    <row r="9" spans="1:18" x14ac:dyDescent="0.35">
      <c r="A9" s="51">
        <f t="shared" si="0"/>
        <v>4</v>
      </c>
      <c r="B9" s="77" t="s">
        <v>178</v>
      </c>
      <c r="C9" s="77" t="s">
        <v>165</v>
      </c>
      <c r="D9" s="78" t="s">
        <v>179</v>
      </c>
      <c r="E9" s="79">
        <v>34</v>
      </c>
    </row>
    <row r="10" spans="1:18" x14ac:dyDescent="0.35">
      <c r="A10" s="51">
        <f t="shared" si="0"/>
        <v>5</v>
      </c>
      <c r="B10" s="77" t="s">
        <v>111</v>
      </c>
      <c r="C10" s="77" t="s">
        <v>112</v>
      </c>
      <c r="D10" s="78" t="s">
        <v>113</v>
      </c>
      <c r="E10" s="79">
        <v>34</v>
      </c>
    </row>
    <row r="11" spans="1:18" x14ac:dyDescent="0.35">
      <c r="A11" s="51">
        <f t="shared" si="0"/>
        <v>6</v>
      </c>
      <c r="B11" s="77" t="s">
        <v>116</v>
      </c>
      <c r="C11" s="77" t="s">
        <v>101</v>
      </c>
      <c r="D11" s="78" t="s">
        <v>117</v>
      </c>
      <c r="E11" s="79">
        <v>34</v>
      </c>
      <c r="Q11" s="88"/>
      <c r="R11" s="88"/>
    </row>
    <row r="12" spans="1:18" x14ac:dyDescent="0.35">
      <c r="A12" s="51">
        <f t="shared" si="0"/>
        <v>7</v>
      </c>
      <c r="B12" s="77" t="s">
        <v>149</v>
      </c>
      <c r="C12" s="77" t="s">
        <v>150</v>
      </c>
      <c r="D12" s="78" t="s">
        <v>151</v>
      </c>
      <c r="E12" s="79">
        <v>34</v>
      </c>
      <c r="Q12" s="88"/>
    </row>
    <row r="13" spans="1:18" x14ac:dyDescent="0.35">
      <c r="A13" s="51">
        <f t="shared" si="0"/>
        <v>8</v>
      </c>
      <c r="B13" s="80"/>
      <c r="C13" s="80"/>
      <c r="D13" s="81"/>
      <c r="E13" s="82"/>
    </row>
    <row r="14" spans="1:18" x14ac:dyDescent="0.35">
      <c r="A14" s="51">
        <f t="shared" si="0"/>
        <v>9</v>
      </c>
      <c r="B14" s="77"/>
      <c r="C14" s="77"/>
      <c r="D14" s="78"/>
      <c r="E14" s="79"/>
      <c r="Q14" s="88"/>
      <c r="R14" s="88"/>
    </row>
    <row r="15" spans="1:18" x14ac:dyDescent="0.35">
      <c r="A15" s="51">
        <f t="shared" si="0"/>
        <v>10</v>
      </c>
      <c r="B15" s="80"/>
      <c r="C15" s="80"/>
      <c r="D15" s="81"/>
      <c r="E15" s="82"/>
      <c r="Q15" s="88"/>
      <c r="R15" s="88"/>
    </row>
    <row r="16" spans="1:18" x14ac:dyDescent="0.35">
      <c r="A16" s="51">
        <f t="shared" si="0"/>
        <v>11</v>
      </c>
      <c r="B16" s="83"/>
      <c r="C16" s="83"/>
      <c r="D16" s="84"/>
      <c r="E16" s="84"/>
      <c r="Q16" s="88"/>
      <c r="R16" s="88"/>
    </row>
    <row r="17" spans="1:19" x14ac:dyDescent="0.35">
      <c r="A17" s="51">
        <f t="shared" si="0"/>
        <v>12</v>
      </c>
      <c r="B17" s="85"/>
      <c r="C17" s="85"/>
      <c r="D17" s="86"/>
      <c r="E17" s="86"/>
      <c r="Q17" s="88"/>
      <c r="R17" s="88"/>
    </row>
    <row r="18" spans="1:19" x14ac:dyDescent="0.35">
      <c r="A18" s="51">
        <f t="shared" si="0"/>
        <v>13</v>
      </c>
      <c r="B18" s="85"/>
      <c r="C18" s="85"/>
      <c r="D18" s="86"/>
      <c r="E18" s="86"/>
    </row>
    <row r="19" spans="1:19" x14ac:dyDescent="0.35">
      <c r="A19" s="51">
        <f t="shared" si="0"/>
        <v>14</v>
      </c>
      <c r="B19" s="85"/>
      <c r="C19" s="85"/>
      <c r="D19" s="86"/>
      <c r="E19" s="86"/>
    </row>
    <row r="20" spans="1:19" x14ac:dyDescent="0.35">
      <c r="A20" s="51">
        <f t="shared" si="0"/>
        <v>15</v>
      </c>
      <c r="B20" s="85"/>
      <c r="C20" s="85"/>
      <c r="D20" s="86"/>
      <c r="E20" s="86"/>
    </row>
    <row r="21" spans="1:19" x14ac:dyDescent="0.35">
      <c r="A21" s="51">
        <f t="shared" si="0"/>
        <v>16</v>
      </c>
      <c r="B21" s="85"/>
      <c r="C21" s="85"/>
      <c r="D21" s="86"/>
      <c r="E21" s="86"/>
      <c r="Q21" s="88"/>
    </row>
    <row r="22" spans="1:19" x14ac:dyDescent="0.35">
      <c r="A22" s="51">
        <f t="shared" si="0"/>
        <v>17</v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>
        <f t="shared" si="0"/>
        <v>18</v>
      </c>
      <c r="B23" s="85"/>
      <c r="C23" s="85"/>
      <c r="D23" s="86"/>
      <c r="E23" s="86"/>
      <c r="Q23" s="88"/>
      <c r="R23" s="88"/>
    </row>
    <row r="24" spans="1:19" x14ac:dyDescent="0.35">
      <c r="A24" s="51">
        <f t="shared" si="0"/>
        <v>19</v>
      </c>
      <c r="B24" s="85"/>
      <c r="C24" s="85"/>
      <c r="D24" s="86"/>
      <c r="E24" s="86"/>
    </row>
    <row r="25" spans="1:19" x14ac:dyDescent="0.35">
      <c r="A25" s="51">
        <f t="shared" si="0"/>
        <v>20</v>
      </c>
      <c r="B25" s="85"/>
      <c r="C25" s="85"/>
      <c r="D25" s="86"/>
      <c r="E25" s="86"/>
    </row>
    <row r="26" spans="1:19" x14ac:dyDescent="0.35">
      <c r="A26" s="51">
        <f t="shared" si="0"/>
        <v>21</v>
      </c>
      <c r="B26" s="85"/>
      <c r="C26" s="85"/>
      <c r="D26" s="86"/>
      <c r="E26" s="86"/>
    </row>
    <row r="27" spans="1:19" x14ac:dyDescent="0.35">
      <c r="A27" s="51">
        <f t="shared" si="0"/>
        <v>22</v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>
        <f t="shared" si="0"/>
        <v>23</v>
      </c>
      <c r="B28" s="85"/>
      <c r="C28" s="85"/>
      <c r="D28" s="86"/>
      <c r="E28" s="86"/>
    </row>
    <row r="29" spans="1:19" x14ac:dyDescent="0.35">
      <c r="A29" s="51">
        <f t="shared" si="0"/>
        <v>24</v>
      </c>
      <c r="B29" s="85"/>
      <c r="C29" s="85"/>
      <c r="D29" s="86"/>
      <c r="E29" s="86"/>
    </row>
    <row r="30" spans="1:19" x14ac:dyDescent="0.35">
      <c r="A30" s="51">
        <f t="shared" si="0"/>
        <v>25</v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18" x14ac:dyDescent="0.35">
      <c r="A1" s="52" t="s">
        <v>12</v>
      </c>
      <c r="B1" s="45"/>
      <c r="C1" s="93"/>
      <c r="G1" s="2"/>
    </row>
    <row r="2" spans="1:18" x14ac:dyDescent="0.35">
      <c r="A2" s="87"/>
      <c r="B2" s="46" t="s">
        <v>8</v>
      </c>
      <c r="C2" s="48" t="s">
        <v>7</v>
      </c>
      <c r="D2" s="49"/>
    </row>
    <row r="3" spans="1:18" x14ac:dyDescent="0.35">
      <c r="C3" s="48" t="s">
        <v>15</v>
      </c>
      <c r="D3" s="49"/>
    </row>
    <row r="5" spans="1:1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18" x14ac:dyDescent="0.35">
      <c r="A6" s="51" t="str">
        <f>IF(FCRPool2FirstName&lt;&gt;"",1,"")</f>
        <v/>
      </c>
      <c r="B6" s="77"/>
      <c r="C6" s="77"/>
      <c r="D6" s="78"/>
      <c r="E6" s="79"/>
    </row>
    <row r="7" spans="1:18" x14ac:dyDescent="0.35">
      <c r="A7" s="51" t="str">
        <f>IF(B7&lt;&gt;"",A6+1,"")</f>
        <v/>
      </c>
      <c r="B7" s="77"/>
      <c r="C7" s="77"/>
      <c r="D7" s="78"/>
      <c r="E7" s="79"/>
    </row>
    <row r="8" spans="1:1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18" x14ac:dyDescent="0.35">
      <c r="A9" s="51" t="str">
        <f t="shared" si="0"/>
        <v/>
      </c>
      <c r="B9" s="77"/>
      <c r="C9" s="77"/>
      <c r="D9" s="78"/>
      <c r="E9" s="79"/>
    </row>
    <row r="10" spans="1:18" x14ac:dyDescent="0.35">
      <c r="A10" s="51" t="str">
        <f t="shared" si="0"/>
        <v/>
      </c>
      <c r="B10" s="77"/>
      <c r="C10" s="77"/>
      <c r="D10" s="78"/>
      <c r="E10" s="79"/>
    </row>
    <row r="11" spans="1:18" x14ac:dyDescent="0.35">
      <c r="A11" s="51" t="str">
        <f t="shared" si="0"/>
        <v/>
      </c>
      <c r="B11" s="77"/>
      <c r="C11" s="77"/>
      <c r="D11" s="78"/>
      <c r="E11" s="79"/>
      <c r="Q11" s="88"/>
      <c r="R11" s="88"/>
    </row>
    <row r="12" spans="1:18" x14ac:dyDescent="0.35">
      <c r="A12" s="51" t="str">
        <f t="shared" si="0"/>
        <v/>
      </c>
      <c r="B12" s="77"/>
      <c r="C12" s="77"/>
      <c r="D12" s="78"/>
      <c r="E12" s="79"/>
      <c r="Q12" s="88"/>
    </row>
    <row r="13" spans="1:18" x14ac:dyDescent="0.35">
      <c r="A13" s="51" t="str">
        <f t="shared" si="0"/>
        <v/>
      </c>
      <c r="B13" s="80"/>
      <c r="C13" s="80"/>
      <c r="D13" s="81"/>
      <c r="E13" s="82"/>
    </row>
    <row r="14" spans="1:18" x14ac:dyDescent="0.35">
      <c r="A14" s="51" t="str">
        <f t="shared" si="0"/>
        <v/>
      </c>
      <c r="B14" s="77"/>
      <c r="C14" s="77"/>
      <c r="D14" s="78"/>
      <c r="E14" s="79"/>
      <c r="Q14" s="88"/>
      <c r="R14" s="88"/>
    </row>
    <row r="15" spans="1:18" x14ac:dyDescent="0.35">
      <c r="A15" s="51" t="str">
        <f t="shared" si="0"/>
        <v/>
      </c>
      <c r="B15" s="80"/>
      <c r="C15" s="80"/>
      <c r="D15" s="81"/>
      <c r="E15" s="82"/>
      <c r="Q15" s="88"/>
      <c r="R15" s="88"/>
    </row>
    <row r="16" spans="1:18" x14ac:dyDescent="0.35">
      <c r="A16" s="51" t="str">
        <f t="shared" si="0"/>
        <v/>
      </c>
      <c r="B16" s="83"/>
      <c r="C16" s="83"/>
      <c r="D16" s="84"/>
      <c r="E16" s="84"/>
      <c r="Q16" s="88"/>
      <c r="R16" s="88"/>
    </row>
    <row r="17" spans="1:19" x14ac:dyDescent="0.35">
      <c r="A17" s="51" t="str">
        <f t="shared" si="0"/>
        <v/>
      </c>
      <c r="B17" s="85"/>
      <c r="C17" s="85"/>
      <c r="D17" s="86"/>
      <c r="E17" s="86"/>
      <c r="Q17" s="88"/>
      <c r="R17" s="88"/>
    </row>
    <row r="18" spans="1:19" x14ac:dyDescent="0.35">
      <c r="A18" s="51" t="str">
        <f t="shared" si="0"/>
        <v/>
      </c>
      <c r="B18" s="85"/>
      <c r="C18" s="85"/>
      <c r="D18" s="86"/>
      <c r="E18" s="86"/>
    </row>
    <row r="19" spans="1:19" x14ac:dyDescent="0.35">
      <c r="A19" s="51" t="str">
        <f t="shared" si="0"/>
        <v/>
      </c>
      <c r="B19" s="85"/>
      <c r="C19" s="85"/>
      <c r="D19" s="86"/>
      <c r="E19" s="86"/>
    </row>
    <row r="20" spans="1:19" x14ac:dyDescent="0.35">
      <c r="A20" s="51" t="str">
        <f t="shared" si="0"/>
        <v/>
      </c>
      <c r="B20" s="85"/>
      <c r="C20" s="85"/>
      <c r="D20" s="86"/>
      <c r="E20" s="86"/>
    </row>
    <row r="21" spans="1:19" x14ac:dyDescent="0.35">
      <c r="A21" s="51" t="str">
        <f t="shared" si="0"/>
        <v/>
      </c>
      <c r="B21" s="85"/>
      <c r="C21" s="85"/>
      <c r="D21" s="86"/>
      <c r="E21" s="86"/>
      <c r="Q21" s="88"/>
    </row>
    <row r="22" spans="1:19" x14ac:dyDescent="0.35">
      <c r="A22" s="51" t="str">
        <f t="shared" si="0"/>
        <v/>
      </c>
      <c r="B22" s="85"/>
      <c r="C22" s="85"/>
      <c r="D22" s="86"/>
      <c r="E22" s="86"/>
      <c r="Q22" s="88"/>
      <c r="R22" s="88"/>
      <c r="S22" s="88"/>
    </row>
    <row r="23" spans="1:19" x14ac:dyDescent="0.35">
      <c r="A23" s="51" t="str">
        <f t="shared" si="0"/>
        <v/>
      </c>
      <c r="B23" s="85"/>
      <c r="C23" s="85"/>
      <c r="D23" s="86"/>
      <c r="E23" s="86"/>
      <c r="Q23" s="88"/>
      <c r="R23" s="88"/>
    </row>
    <row r="24" spans="1:19" x14ac:dyDescent="0.35">
      <c r="A24" s="51" t="str">
        <f t="shared" si="0"/>
        <v/>
      </c>
      <c r="B24" s="85"/>
      <c r="C24" s="85"/>
      <c r="D24" s="86"/>
      <c r="E24" s="86"/>
    </row>
    <row r="25" spans="1:19" x14ac:dyDescent="0.35">
      <c r="A25" s="51" t="str">
        <f t="shared" si="0"/>
        <v/>
      </c>
      <c r="B25" s="85"/>
      <c r="C25" s="85"/>
      <c r="D25" s="86"/>
      <c r="E25" s="86"/>
    </row>
    <row r="26" spans="1:19" x14ac:dyDescent="0.35">
      <c r="A26" s="51" t="str">
        <f t="shared" si="0"/>
        <v/>
      </c>
      <c r="B26" s="85"/>
      <c r="C26" s="85"/>
      <c r="D26" s="86"/>
      <c r="E26" s="86"/>
    </row>
    <row r="27" spans="1:19" x14ac:dyDescent="0.35">
      <c r="A27" s="51" t="str">
        <f t="shared" si="0"/>
        <v/>
      </c>
      <c r="B27" s="85"/>
      <c r="C27" s="85"/>
      <c r="D27" s="86"/>
      <c r="E27" s="86"/>
      <c r="Q27" s="88"/>
      <c r="R27" s="88"/>
      <c r="S27" s="88"/>
    </row>
    <row r="28" spans="1:19" x14ac:dyDescent="0.35">
      <c r="A28" s="51" t="str">
        <f t="shared" si="0"/>
        <v/>
      </c>
      <c r="B28" s="85"/>
      <c r="C28" s="85"/>
      <c r="D28" s="86"/>
      <c r="E28" s="86"/>
    </row>
    <row r="29" spans="1:19" x14ac:dyDescent="0.35">
      <c r="A29" s="51" t="str">
        <f t="shared" si="0"/>
        <v/>
      </c>
      <c r="B29" s="85"/>
      <c r="C29" s="85"/>
      <c r="D29" s="86"/>
      <c r="E29" s="86"/>
    </row>
    <row r="30" spans="1:19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47" customWidth="1"/>
    <col min="2" max="2" width="34.85546875" style="46" customWidth="1"/>
    <col min="3" max="3" width="28" style="46" customWidth="1"/>
    <col min="4" max="4" width="13.85546875" style="47" customWidth="1"/>
    <col min="5" max="5" width="12.7109375" style="47" customWidth="1"/>
  </cols>
  <sheetData>
    <row r="1" spans="1:8" x14ac:dyDescent="0.35">
      <c r="A1" s="52" t="s">
        <v>13</v>
      </c>
      <c r="B1" s="45"/>
      <c r="C1" s="93"/>
      <c r="G1" s="2" t="s">
        <v>11</v>
      </c>
      <c r="H1" t="s">
        <v>14</v>
      </c>
    </row>
    <row r="2" spans="1:8" x14ac:dyDescent="0.35">
      <c r="A2" s="87"/>
      <c r="B2" s="46" t="s">
        <v>8</v>
      </c>
      <c r="C2" s="48" t="s">
        <v>7</v>
      </c>
      <c r="D2" s="49"/>
    </row>
    <row r="3" spans="1:8" x14ac:dyDescent="0.35">
      <c r="A3" s="50"/>
      <c r="C3" s="48" t="s">
        <v>15</v>
      </c>
      <c r="D3" s="49"/>
    </row>
    <row r="5" spans="1:8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8" x14ac:dyDescent="0.35">
      <c r="A6" s="51" t="str">
        <f>IF(FCRPool3FirstName&lt;&gt;"",1,"")</f>
        <v/>
      </c>
      <c r="B6" s="77"/>
      <c r="C6" s="77"/>
      <c r="D6" s="78"/>
      <c r="E6" s="79"/>
    </row>
    <row r="7" spans="1:8" x14ac:dyDescent="0.35">
      <c r="A7" s="51" t="str">
        <f>IF(B7&lt;&gt;"",A6+1,"")</f>
        <v/>
      </c>
      <c r="B7" s="77"/>
      <c r="C7" s="77"/>
      <c r="D7" s="78"/>
      <c r="E7" s="79"/>
    </row>
    <row r="8" spans="1:8" x14ac:dyDescent="0.35">
      <c r="A8" s="51" t="str">
        <f t="shared" ref="A8:A30" si="0">IF(B8&lt;&gt;"",A7+1,"")</f>
        <v/>
      </c>
      <c r="B8" s="77"/>
      <c r="C8" s="77"/>
      <c r="D8" s="78"/>
      <c r="E8" s="79"/>
    </row>
    <row r="9" spans="1:8" x14ac:dyDescent="0.35">
      <c r="A9" s="51" t="str">
        <f t="shared" si="0"/>
        <v/>
      </c>
      <c r="B9" s="77"/>
      <c r="C9" s="77"/>
      <c r="D9" s="78"/>
      <c r="E9" s="79"/>
    </row>
    <row r="10" spans="1:8" x14ac:dyDescent="0.35">
      <c r="A10" s="51" t="str">
        <f t="shared" si="0"/>
        <v/>
      </c>
      <c r="B10" s="77"/>
      <c r="C10" s="77"/>
      <c r="D10" s="78"/>
      <c r="E10" s="79"/>
    </row>
    <row r="11" spans="1:8" x14ac:dyDescent="0.35">
      <c r="A11" s="51" t="str">
        <f t="shared" si="0"/>
        <v/>
      </c>
      <c r="B11" s="77"/>
      <c r="C11" s="77"/>
      <c r="D11" s="78"/>
      <c r="E11" s="79"/>
    </row>
    <row r="12" spans="1:8" x14ac:dyDescent="0.35">
      <c r="A12" s="51" t="str">
        <f t="shared" si="0"/>
        <v/>
      </c>
      <c r="B12" s="80"/>
      <c r="C12" s="80"/>
      <c r="D12" s="81"/>
      <c r="E12" s="82"/>
    </row>
    <row r="13" spans="1:8" x14ac:dyDescent="0.35">
      <c r="A13" s="51" t="str">
        <f t="shared" si="0"/>
        <v/>
      </c>
      <c r="B13" s="77"/>
      <c r="C13" s="77"/>
      <c r="D13" s="78"/>
      <c r="E13" s="79"/>
    </row>
    <row r="14" spans="1:8" x14ac:dyDescent="0.35">
      <c r="A14" s="51" t="str">
        <f t="shared" si="0"/>
        <v/>
      </c>
      <c r="B14" s="83"/>
      <c r="C14" s="83"/>
      <c r="D14" s="84"/>
      <c r="E14" s="84"/>
    </row>
    <row r="15" spans="1:8" x14ac:dyDescent="0.35">
      <c r="A15" s="51" t="str">
        <f t="shared" si="0"/>
        <v/>
      </c>
      <c r="B15" s="85"/>
      <c r="C15" s="85"/>
      <c r="D15" s="86"/>
      <c r="E15" s="86"/>
    </row>
    <row r="16" spans="1:8" x14ac:dyDescent="0.35">
      <c r="A16" s="51" t="str">
        <f t="shared" si="0"/>
        <v/>
      </c>
      <c r="B16" s="85"/>
      <c r="C16" s="85"/>
      <c r="D16" s="86"/>
      <c r="E16" s="86"/>
    </row>
    <row r="17" spans="1:5" x14ac:dyDescent="0.35">
      <c r="A17" s="51" t="str">
        <f t="shared" si="0"/>
        <v/>
      </c>
      <c r="B17" s="85"/>
      <c r="C17" s="85"/>
      <c r="D17" s="86"/>
      <c r="E17" s="86"/>
    </row>
    <row r="18" spans="1:5" x14ac:dyDescent="0.35">
      <c r="A18" s="51" t="str">
        <f t="shared" si="0"/>
        <v/>
      </c>
      <c r="B18" s="85"/>
      <c r="C18" s="85"/>
      <c r="D18" s="86"/>
      <c r="E18" s="86"/>
    </row>
    <row r="19" spans="1:5" x14ac:dyDescent="0.35">
      <c r="A19" s="51" t="str">
        <f t="shared" si="0"/>
        <v/>
      </c>
      <c r="B19" s="85"/>
      <c r="C19" s="85"/>
      <c r="D19" s="86"/>
      <c r="E19" s="86"/>
    </row>
    <row r="20" spans="1:5" x14ac:dyDescent="0.35">
      <c r="A20" s="51" t="str">
        <f t="shared" si="0"/>
        <v/>
      </c>
      <c r="B20" s="85"/>
      <c r="C20" s="85"/>
      <c r="D20" s="86"/>
      <c r="E20" s="86"/>
    </row>
    <row r="21" spans="1:5" x14ac:dyDescent="0.35">
      <c r="A21" s="51" t="str">
        <f t="shared" si="0"/>
        <v/>
      </c>
      <c r="B21" s="85"/>
      <c r="C21" s="85"/>
      <c r="D21" s="86"/>
      <c r="E21" s="86"/>
    </row>
    <row r="22" spans="1:5" x14ac:dyDescent="0.35">
      <c r="A22" s="51" t="str">
        <f t="shared" si="0"/>
        <v/>
      </c>
      <c r="B22" s="85"/>
      <c r="C22" s="85"/>
      <c r="D22" s="86"/>
      <c r="E22" s="86"/>
    </row>
    <row r="23" spans="1:5" x14ac:dyDescent="0.35">
      <c r="A23" s="51" t="str">
        <f t="shared" si="0"/>
        <v/>
      </c>
      <c r="B23" s="85"/>
      <c r="C23" s="85"/>
      <c r="D23" s="86"/>
      <c r="E23" s="86"/>
    </row>
    <row r="24" spans="1:5" x14ac:dyDescent="0.35">
      <c r="A24" s="51" t="str">
        <f t="shared" si="0"/>
        <v/>
      </c>
      <c r="B24" s="85"/>
      <c r="C24" s="85"/>
      <c r="D24" s="86"/>
      <c r="E24" s="86"/>
    </row>
    <row r="25" spans="1:5" x14ac:dyDescent="0.35">
      <c r="A25" s="51" t="str">
        <f t="shared" si="0"/>
        <v/>
      </c>
      <c r="B25" s="85"/>
      <c r="C25" s="85"/>
      <c r="D25" s="86"/>
      <c r="E25" s="86"/>
    </row>
    <row r="26" spans="1:5" x14ac:dyDescent="0.35">
      <c r="A26" s="51" t="str">
        <f t="shared" si="0"/>
        <v/>
      </c>
      <c r="B26" s="85"/>
      <c r="C26" s="85"/>
      <c r="D26" s="86"/>
      <c r="E26" s="86"/>
    </row>
    <row r="27" spans="1:5" x14ac:dyDescent="0.35">
      <c r="A27" s="51" t="str">
        <f t="shared" si="0"/>
        <v/>
      </c>
      <c r="B27" s="85"/>
      <c r="C27" s="85"/>
      <c r="D27" s="86"/>
      <c r="E27" s="86"/>
    </row>
    <row r="28" spans="1:5" x14ac:dyDescent="0.35">
      <c r="A28" s="51" t="str">
        <f t="shared" si="0"/>
        <v/>
      </c>
      <c r="B28" s="85"/>
      <c r="C28" s="85"/>
      <c r="D28" s="86"/>
      <c r="E28" s="86"/>
    </row>
    <row r="29" spans="1:5" x14ac:dyDescent="0.35">
      <c r="A29" s="51" t="str">
        <f t="shared" si="0"/>
        <v/>
      </c>
      <c r="B29" s="85"/>
      <c r="C29" s="85"/>
      <c r="D29" s="86"/>
      <c r="E29" s="86"/>
    </row>
    <row r="30" spans="1:5" x14ac:dyDescent="0.35">
      <c r="A30" s="51" t="str">
        <f t="shared" si="0"/>
        <v/>
      </c>
      <c r="B30" s="85"/>
      <c r="C30" s="85"/>
      <c r="D30" s="86"/>
      <c r="E30" s="8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63" customWidth="1"/>
    <col min="2" max="2" width="34.85546875" style="46" customWidth="1"/>
    <col min="3" max="3" width="28" style="46" customWidth="1"/>
    <col min="4" max="4" width="13.85546875" style="46" customWidth="1"/>
    <col min="5" max="5" width="12.7109375" style="46" customWidth="1"/>
  </cols>
  <sheetData>
    <row r="1" spans="1:7" x14ac:dyDescent="0.35">
      <c r="A1" s="61" t="s">
        <v>49</v>
      </c>
      <c r="B1" s="45"/>
      <c r="C1" s="93"/>
      <c r="D1" s="47"/>
      <c r="G1" s="2"/>
    </row>
    <row r="2" spans="1:7" x14ac:dyDescent="0.35">
      <c r="A2" s="87"/>
      <c r="B2" s="46" t="s">
        <v>8</v>
      </c>
      <c r="C2" s="48" t="s">
        <v>7</v>
      </c>
      <c r="D2" s="49"/>
    </row>
    <row r="3" spans="1:7" x14ac:dyDescent="0.35">
      <c r="A3" s="62"/>
      <c r="C3" s="48" t="s">
        <v>15</v>
      </c>
      <c r="D3" s="49"/>
    </row>
    <row r="4" spans="1:7" x14ac:dyDescent="0.35">
      <c r="D4" s="47"/>
    </row>
    <row r="5" spans="1:7" x14ac:dyDescent="0.35">
      <c r="B5" s="53" t="s">
        <v>0</v>
      </c>
      <c r="C5" s="54" t="s">
        <v>1</v>
      </c>
      <c r="D5" s="55" t="s">
        <v>2</v>
      </c>
      <c r="E5" s="55" t="s">
        <v>10</v>
      </c>
    </row>
    <row r="6" spans="1:7" x14ac:dyDescent="0.35">
      <c r="A6" s="64" t="str">
        <f>IF(FCRPool4FirstName&lt;&gt;"",1,"")</f>
        <v/>
      </c>
      <c r="B6" s="77"/>
      <c r="C6" s="77"/>
      <c r="D6" s="78"/>
      <c r="E6" s="79"/>
    </row>
    <row r="7" spans="1:7" x14ac:dyDescent="0.35">
      <c r="A7" s="65" t="str">
        <f>IF(B7&lt;&gt;"",A6+1,"")</f>
        <v/>
      </c>
      <c r="B7" s="83"/>
      <c r="C7" s="83"/>
      <c r="D7" s="83"/>
      <c r="E7" s="82"/>
    </row>
    <row r="8" spans="1:7" x14ac:dyDescent="0.35">
      <c r="A8" s="65" t="str">
        <f t="shared" ref="A8:A30" si="0">IF(B8&lt;&gt;"",A7+1,"")</f>
        <v/>
      </c>
      <c r="B8" s="85"/>
      <c r="C8" s="85"/>
      <c r="D8" s="85"/>
      <c r="E8" s="79"/>
    </row>
    <row r="9" spans="1:7" x14ac:dyDescent="0.35">
      <c r="A9" s="65" t="str">
        <f t="shared" si="0"/>
        <v/>
      </c>
      <c r="B9" s="85"/>
      <c r="C9" s="85"/>
      <c r="D9" s="85"/>
      <c r="E9" s="79"/>
    </row>
    <row r="10" spans="1:7" x14ac:dyDescent="0.35">
      <c r="A10" s="65" t="str">
        <f t="shared" si="0"/>
        <v/>
      </c>
      <c r="B10" s="85"/>
      <c r="C10" s="85"/>
      <c r="D10" s="85"/>
      <c r="E10" s="79"/>
    </row>
    <row r="11" spans="1:7" x14ac:dyDescent="0.35">
      <c r="A11" s="65" t="str">
        <f t="shared" si="0"/>
        <v/>
      </c>
      <c r="B11" s="85"/>
      <c r="C11" s="85"/>
      <c r="D11" s="85"/>
      <c r="E11" s="79"/>
    </row>
    <row r="12" spans="1:7" x14ac:dyDescent="0.35">
      <c r="A12" s="65" t="str">
        <f t="shared" si="0"/>
        <v/>
      </c>
      <c r="B12" s="85"/>
      <c r="C12" s="85"/>
      <c r="D12" s="85"/>
      <c r="E12" s="79"/>
    </row>
    <row r="13" spans="1:7" x14ac:dyDescent="0.35">
      <c r="A13" s="65" t="str">
        <f t="shared" si="0"/>
        <v/>
      </c>
      <c r="B13" s="85"/>
      <c r="C13" s="85"/>
      <c r="D13" s="85"/>
      <c r="E13" s="79"/>
    </row>
    <row r="14" spans="1:7" x14ac:dyDescent="0.35">
      <c r="A14" s="65" t="str">
        <f t="shared" si="0"/>
        <v/>
      </c>
      <c r="B14" s="85"/>
      <c r="C14" s="85"/>
      <c r="D14" s="85"/>
      <c r="E14" s="79"/>
    </row>
    <row r="15" spans="1:7" x14ac:dyDescent="0.35">
      <c r="A15" s="65" t="str">
        <f t="shared" si="0"/>
        <v/>
      </c>
      <c r="B15" s="85"/>
      <c r="C15" s="85"/>
      <c r="D15" s="85"/>
      <c r="E15" s="79"/>
    </row>
    <row r="16" spans="1:7" x14ac:dyDescent="0.35">
      <c r="A16" s="65" t="str">
        <f t="shared" si="0"/>
        <v/>
      </c>
      <c r="B16" s="85"/>
      <c r="C16" s="85"/>
      <c r="D16" s="85"/>
      <c r="E16" s="79"/>
    </row>
    <row r="17" spans="1:5" x14ac:dyDescent="0.35">
      <c r="A17" s="65" t="str">
        <f t="shared" si="0"/>
        <v/>
      </c>
      <c r="B17" s="83"/>
      <c r="C17" s="83"/>
      <c r="D17" s="83"/>
      <c r="E17" s="83"/>
    </row>
    <row r="18" spans="1:5" x14ac:dyDescent="0.35">
      <c r="A18" s="65" t="str">
        <f t="shared" si="0"/>
        <v/>
      </c>
      <c r="B18" s="85"/>
      <c r="C18" s="85"/>
      <c r="D18" s="85"/>
      <c r="E18" s="85"/>
    </row>
    <row r="19" spans="1:5" x14ac:dyDescent="0.35">
      <c r="A19" s="65" t="str">
        <f t="shared" si="0"/>
        <v/>
      </c>
      <c r="B19" s="85"/>
      <c r="C19" s="85"/>
      <c r="D19" s="85"/>
      <c r="E19" s="85"/>
    </row>
    <row r="20" spans="1:5" x14ac:dyDescent="0.35">
      <c r="A20" s="65" t="str">
        <f t="shared" si="0"/>
        <v/>
      </c>
      <c r="B20" s="85"/>
      <c r="C20" s="85"/>
      <c r="D20" s="85"/>
      <c r="E20" s="85"/>
    </row>
    <row r="21" spans="1:5" x14ac:dyDescent="0.35">
      <c r="A21" s="65" t="str">
        <f t="shared" si="0"/>
        <v/>
      </c>
      <c r="B21" s="85"/>
      <c r="C21" s="85"/>
      <c r="D21" s="85"/>
      <c r="E21" s="85"/>
    </row>
    <row r="22" spans="1:5" x14ac:dyDescent="0.35">
      <c r="A22" s="65" t="str">
        <f t="shared" si="0"/>
        <v/>
      </c>
      <c r="B22" s="85"/>
      <c r="C22" s="85"/>
      <c r="D22" s="85"/>
      <c r="E22" s="85"/>
    </row>
    <row r="23" spans="1:5" x14ac:dyDescent="0.35">
      <c r="A23" s="65" t="str">
        <f t="shared" si="0"/>
        <v/>
      </c>
      <c r="B23" s="85"/>
      <c r="C23" s="85"/>
      <c r="D23" s="85"/>
      <c r="E23" s="85"/>
    </row>
    <row r="24" spans="1:5" x14ac:dyDescent="0.35">
      <c r="A24" s="65" t="str">
        <f t="shared" si="0"/>
        <v/>
      </c>
      <c r="B24" s="85"/>
      <c r="C24" s="85"/>
      <c r="D24" s="85"/>
      <c r="E24" s="85"/>
    </row>
    <row r="25" spans="1:5" x14ac:dyDescent="0.35">
      <c r="A25" s="65" t="str">
        <f t="shared" si="0"/>
        <v/>
      </c>
      <c r="B25" s="85"/>
      <c r="C25" s="85"/>
      <c r="D25" s="85"/>
      <c r="E25" s="85"/>
    </row>
    <row r="26" spans="1:5" x14ac:dyDescent="0.35">
      <c r="A26" s="65" t="str">
        <f t="shared" si="0"/>
        <v/>
      </c>
      <c r="B26" s="85"/>
      <c r="C26" s="85"/>
      <c r="D26" s="85"/>
      <c r="E26" s="85"/>
    </row>
    <row r="27" spans="1:5" x14ac:dyDescent="0.35">
      <c r="A27" s="65" t="str">
        <f t="shared" si="0"/>
        <v/>
      </c>
      <c r="B27" s="85"/>
      <c r="C27" s="85"/>
      <c r="D27" s="85"/>
      <c r="E27" s="85"/>
    </row>
    <row r="28" spans="1:5" x14ac:dyDescent="0.35">
      <c r="A28" s="65" t="str">
        <f t="shared" si="0"/>
        <v/>
      </c>
      <c r="B28" s="85"/>
      <c r="C28" s="85"/>
      <c r="D28" s="85"/>
      <c r="E28" s="85"/>
    </row>
    <row r="29" spans="1:5" x14ac:dyDescent="0.35">
      <c r="A29" s="65" t="str">
        <f t="shared" si="0"/>
        <v/>
      </c>
      <c r="B29" s="85"/>
      <c r="C29" s="85"/>
      <c r="D29" s="85"/>
      <c r="E29" s="85"/>
    </row>
    <row r="30" spans="1:5" x14ac:dyDescent="0.35">
      <c r="A30" s="65" t="str">
        <f t="shared" si="0"/>
        <v/>
      </c>
      <c r="B30" s="85"/>
      <c r="C30" s="85"/>
      <c r="D30" s="85"/>
      <c r="E30" s="85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34" customWidth="1"/>
    <col min="2" max="2" width="28.5703125" style="34" customWidth="1"/>
    <col min="3" max="3" width="24.7109375" style="34" customWidth="1"/>
    <col min="4" max="4" width="12.7109375" style="34" customWidth="1"/>
    <col min="5" max="16384" width="9.140625" style="34"/>
  </cols>
  <sheetData>
    <row r="1" spans="1:6" ht="21" x14ac:dyDescent="0.35">
      <c r="A1" s="36" t="s">
        <v>30</v>
      </c>
      <c r="C1" s="93"/>
    </row>
    <row r="3" spans="1:6" ht="21" x14ac:dyDescent="0.35">
      <c r="A3" s="149">
        <f>+Entries!A2</f>
        <v>0</v>
      </c>
      <c r="B3" s="149"/>
      <c r="C3" s="149"/>
      <c r="D3" s="93"/>
    </row>
    <row r="4" spans="1:6" x14ac:dyDescent="0.3">
      <c r="A4" s="150"/>
      <c r="B4" s="150"/>
      <c r="C4" s="38"/>
    </row>
    <row r="5" spans="1:6" x14ac:dyDescent="0.3">
      <c r="A5" s="151" t="e">
        <f>+#REF!</f>
        <v>#REF!</v>
      </c>
      <c r="B5" s="149"/>
      <c r="C5" s="39" t="s">
        <v>28</v>
      </c>
    </row>
    <row r="6" spans="1:6" x14ac:dyDescent="0.3">
      <c r="A6" s="44"/>
      <c r="B6" s="39" t="s">
        <v>36</v>
      </c>
      <c r="C6" s="38"/>
    </row>
    <row r="7" spans="1:6" x14ac:dyDescent="0.3">
      <c r="A7" s="44">
        <f>+Entries!B10</f>
        <v>28</v>
      </c>
      <c r="B7" s="152" t="s">
        <v>34</v>
      </c>
      <c r="C7" s="152"/>
    </row>
    <row r="8" spans="1:6" x14ac:dyDescent="0.3">
      <c r="A8" s="44">
        <f>+Results!A8</f>
        <v>0</v>
      </c>
      <c r="B8" s="67" t="s">
        <v>6</v>
      </c>
    </row>
    <row r="9" spans="1:6" x14ac:dyDescent="0.3">
      <c r="A9" s="37"/>
      <c r="B9" s="40" t="s">
        <v>0</v>
      </c>
      <c r="C9" s="40" t="s">
        <v>1</v>
      </c>
      <c r="D9" s="41" t="s">
        <v>2</v>
      </c>
      <c r="E9" s="43" t="s">
        <v>33</v>
      </c>
      <c r="F9" s="43" t="s">
        <v>32</v>
      </c>
    </row>
    <row r="10" spans="1:6" x14ac:dyDescent="0.3">
      <c r="A10" s="42">
        <v>1</v>
      </c>
      <c r="B10" s="74"/>
      <c r="C10" s="74"/>
      <c r="D10" s="73"/>
      <c r="E10" s="73"/>
      <c r="F10" s="73"/>
    </row>
    <row r="11" spans="1:6" x14ac:dyDescent="0.3">
      <c r="A11" s="42">
        <f>+A10+1</f>
        <v>2</v>
      </c>
      <c r="B11" s="74"/>
      <c r="C11" s="74"/>
      <c r="D11" s="73"/>
      <c r="E11" s="73"/>
      <c r="F11" s="73"/>
    </row>
    <row r="12" spans="1:6" x14ac:dyDescent="0.3">
      <c r="A12" s="42">
        <f t="shared" ref="A12:A41" si="0">+A11+1</f>
        <v>3</v>
      </c>
      <c r="B12" s="74"/>
      <c r="C12" s="74"/>
      <c r="D12" s="73"/>
      <c r="E12" s="73"/>
      <c r="F12" s="73"/>
    </row>
    <row r="13" spans="1:6" x14ac:dyDescent="0.3">
      <c r="A13" s="42">
        <f t="shared" si="0"/>
        <v>4</v>
      </c>
      <c r="B13" s="74"/>
      <c r="C13" s="74"/>
      <c r="D13" s="73"/>
      <c r="E13" s="73"/>
      <c r="F13" s="73"/>
    </row>
    <row r="14" spans="1:6" x14ac:dyDescent="0.3">
      <c r="A14" s="42">
        <f t="shared" si="0"/>
        <v>5</v>
      </c>
      <c r="B14" s="74"/>
      <c r="C14" s="74"/>
      <c r="D14" s="73"/>
      <c r="E14" s="73"/>
      <c r="F14" s="73"/>
    </row>
    <row r="15" spans="1:6" x14ac:dyDescent="0.3">
      <c r="A15" s="42">
        <f t="shared" si="0"/>
        <v>6</v>
      </c>
      <c r="B15" s="74"/>
      <c r="C15" s="74"/>
      <c r="D15" s="73"/>
      <c r="E15" s="73"/>
      <c r="F15" s="73"/>
    </row>
    <row r="16" spans="1:6" x14ac:dyDescent="0.3">
      <c r="A16" s="42">
        <f t="shared" si="0"/>
        <v>7</v>
      </c>
      <c r="B16" s="74"/>
      <c r="C16" s="74"/>
      <c r="D16" s="73"/>
      <c r="E16" s="73"/>
      <c r="F16" s="73"/>
    </row>
    <row r="17" spans="1:6" x14ac:dyDescent="0.3">
      <c r="A17" s="42">
        <f t="shared" si="0"/>
        <v>8</v>
      </c>
      <c r="B17" s="74"/>
      <c r="C17" s="74"/>
      <c r="D17" s="73"/>
      <c r="E17" s="73"/>
      <c r="F17" s="73"/>
    </row>
    <row r="18" spans="1:6" x14ac:dyDescent="0.3">
      <c r="A18" s="42">
        <f t="shared" si="0"/>
        <v>9</v>
      </c>
      <c r="B18" s="74"/>
      <c r="C18" s="74"/>
      <c r="D18" s="73"/>
      <c r="E18" s="73"/>
      <c r="F18" s="73"/>
    </row>
    <row r="19" spans="1:6" x14ac:dyDescent="0.3">
      <c r="A19" s="42">
        <f t="shared" si="0"/>
        <v>10</v>
      </c>
      <c r="B19" s="74"/>
      <c r="C19" s="74"/>
      <c r="D19" s="73"/>
      <c r="E19" s="73"/>
      <c r="F19" s="73"/>
    </row>
    <row r="20" spans="1:6" x14ac:dyDescent="0.3">
      <c r="A20" s="42">
        <f t="shared" si="0"/>
        <v>11</v>
      </c>
      <c r="B20" s="74"/>
      <c r="C20" s="74"/>
      <c r="D20" s="73"/>
      <c r="E20" s="73"/>
      <c r="F20" s="73"/>
    </row>
    <row r="21" spans="1:6" x14ac:dyDescent="0.3">
      <c r="A21" s="42">
        <f t="shared" si="0"/>
        <v>12</v>
      </c>
      <c r="B21" s="74"/>
      <c r="C21" s="74"/>
      <c r="D21" s="73"/>
      <c r="E21" s="73"/>
      <c r="F21" s="73"/>
    </row>
    <row r="22" spans="1:6" x14ac:dyDescent="0.3">
      <c r="A22" s="42">
        <f t="shared" si="0"/>
        <v>13</v>
      </c>
      <c r="B22" s="74"/>
      <c r="C22" s="74"/>
      <c r="D22" s="73"/>
      <c r="E22" s="73"/>
      <c r="F22" s="73"/>
    </row>
    <row r="23" spans="1:6" x14ac:dyDescent="0.3">
      <c r="A23" s="42">
        <f t="shared" si="0"/>
        <v>14</v>
      </c>
      <c r="B23" s="74"/>
      <c r="C23" s="74"/>
      <c r="D23" s="73"/>
      <c r="E23" s="73"/>
      <c r="F23" s="73"/>
    </row>
    <row r="24" spans="1:6" x14ac:dyDescent="0.3">
      <c r="A24" s="42">
        <f t="shared" si="0"/>
        <v>15</v>
      </c>
      <c r="B24" s="74"/>
      <c r="C24" s="74"/>
      <c r="D24" s="73"/>
      <c r="E24" s="73"/>
      <c r="F24" s="73"/>
    </row>
    <row r="25" spans="1:6" x14ac:dyDescent="0.3">
      <c r="A25" s="42">
        <f t="shared" si="0"/>
        <v>16</v>
      </c>
      <c r="B25" s="74"/>
      <c r="C25" s="74"/>
      <c r="D25" s="73"/>
      <c r="E25" s="73"/>
      <c r="F25" s="73"/>
    </row>
    <row r="26" spans="1:6" x14ac:dyDescent="0.3">
      <c r="A26" s="42">
        <f t="shared" si="0"/>
        <v>17</v>
      </c>
      <c r="B26" s="74"/>
      <c r="C26" s="74"/>
      <c r="D26" s="73"/>
      <c r="E26" s="73"/>
      <c r="F26" s="73"/>
    </row>
    <row r="27" spans="1:6" x14ac:dyDescent="0.3">
      <c r="A27" s="42">
        <f t="shared" si="0"/>
        <v>18</v>
      </c>
      <c r="B27" s="74"/>
      <c r="C27" s="74"/>
      <c r="D27" s="73"/>
      <c r="E27" s="73"/>
      <c r="F27" s="73"/>
    </row>
    <row r="28" spans="1:6" x14ac:dyDescent="0.3">
      <c r="A28" s="42">
        <f t="shared" si="0"/>
        <v>19</v>
      </c>
      <c r="B28" s="74"/>
      <c r="C28" s="74"/>
      <c r="D28" s="73"/>
      <c r="E28" s="73"/>
      <c r="F28" s="73"/>
    </row>
    <row r="29" spans="1:6" x14ac:dyDescent="0.3">
      <c r="A29" s="42">
        <f t="shared" si="0"/>
        <v>20</v>
      </c>
      <c r="B29" s="74"/>
      <c r="C29" s="74"/>
      <c r="D29" s="73"/>
      <c r="E29" s="73"/>
      <c r="F29" s="73"/>
    </row>
    <row r="30" spans="1:6" x14ac:dyDescent="0.3">
      <c r="A30" s="42">
        <f t="shared" si="0"/>
        <v>21</v>
      </c>
      <c r="B30" s="74"/>
      <c r="C30" s="74"/>
      <c r="D30" s="73"/>
      <c r="E30" s="73"/>
      <c r="F30" s="73"/>
    </row>
    <row r="31" spans="1:6" x14ac:dyDescent="0.3">
      <c r="A31" s="42">
        <f t="shared" si="0"/>
        <v>22</v>
      </c>
      <c r="B31" s="74"/>
      <c r="C31" s="74"/>
      <c r="D31" s="73"/>
      <c r="E31" s="73"/>
      <c r="F31" s="73"/>
    </row>
    <row r="32" spans="1:6" x14ac:dyDescent="0.3">
      <c r="A32" s="42">
        <f t="shared" si="0"/>
        <v>23</v>
      </c>
      <c r="B32" s="74"/>
      <c r="C32" s="74"/>
      <c r="D32" s="73"/>
      <c r="E32" s="73"/>
      <c r="F32" s="73"/>
    </row>
    <row r="33" spans="1:6" x14ac:dyDescent="0.3">
      <c r="A33" s="42">
        <f t="shared" si="0"/>
        <v>24</v>
      </c>
      <c r="B33" s="74"/>
      <c r="C33" s="74"/>
      <c r="D33" s="73"/>
      <c r="E33" s="73"/>
      <c r="F33" s="73"/>
    </row>
    <row r="34" spans="1:6" x14ac:dyDescent="0.3">
      <c r="A34" s="42">
        <f t="shared" si="0"/>
        <v>25</v>
      </c>
      <c r="B34" s="74"/>
      <c r="C34" s="74"/>
      <c r="D34" s="73"/>
      <c r="E34" s="73"/>
      <c r="F34" s="73"/>
    </row>
    <row r="35" spans="1:6" x14ac:dyDescent="0.3">
      <c r="A35" s="42">
        <f t="shared" si="0"/>
        <v>26</v>
      </c>
      <c r="B35" s="74"/>
      <c r="C35" s="74"/>
      <c r="D35" s="73"/>
      <c r="E35" s="73"/>
      <c r="F35" s="73"/>
    </row>
    <row r="36" spans="1:6" x14ac:dyDescent="0.3">
      <c r="A36" s="42">
        <f t="shared" si="0"/>
        <v>27</v>
      </c>
      <c r="B36" s="74"/>
      <c r="C36" s="74"/>
      <c r="D36" s="73"/>
      <c r="E36" s="73"/>
      <c r="F36" s="73"/>
    </row>
    <row r="37" spans="1:6" x14ac:dyDescent="0.3">
      <c r="A37" s="42">
        <f t="shared" si="0"/>
        <v>28</v>
      </c>
      <c r="B37" s="74"/>
      <c r="C37" s="74"/>
      <c r="D37" s="73"/>
      <c r="E37" s="73"/>
      <c r="F37" s="73"/>
    </row>
    <row r="38" spans="1:6" x14ac:dyDescent="0.3">
      <c r="A38" s="42">
        <f t="shared" si="0"/>
        <v>29</v>
      </c>
      <c r="B38" s="74"/>
      <c r="C38" s="74"/>
      <c r="D38" s="73"/>
      <c r="E38" s="73"/>
      <c r="F38" s="73"/>
    </row>
    <row r="39" spans="1:6" x14ac:dyDescent="0.3">
      <c r="A39" s="42">
        <f t="shared" si="0"/>
        <v>30</v>
      </c>
      <c r="B39" s="74"/>
      <c r="C39" s="74"/>
      <c r="D39" s="73"/>
      <c r="E39" s="73"/>
      <c r="F39" s="73"/>
    </row>
    <row r="40" spans="1:6" x14ac:dyDescent="0.3">
      <c r="A40" s="42">
        <f t="shared" si="0"/>
        <v>31</v>
      </c>
      <c r="B40" s="74"/>
      <c r="C40" s="74"/>
      <c r="D40" s="73"/>
      <c r="E40" s="73"/>
      <c r="F40" s="73"/>
    </row>
    <row r="41" spans="1:6" x14ac:dyDescent="0.3">
      <c r="A41" s="42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C1" sqref="C1"/>
    </sheetView>
  </sheetViews>
  <sheetFormatPr defaultRowHeight="18.75" x14ac:dyDescent="0.3"/>
  <cols>
    <col min="1" max="1" width="6.7109375" style="36" customWidth="1"/>
    <col min="2" max="2" width="28.5703125" style="38" customWidth="1"/>
    <col min="3" max="3" width="24.7109375" style="38" customWidth="1"/>
    <col min="4" max="4" width="12.7109375" style="37" customWidth="1"/>
    <col min="5" max="5" width="10.28515625" style="37" customWidth="1"/>
    <col min="6" max="6" width="11.140625" style="37" customWidth="1"/>
    <col min="7" max="16384" width="9.140625" style="36"/>
  </cols>
  <sheetData>
    <row r="1" spans="1:15" ht="21" x14ac:dyDescent="0.35">
      <c r="A1" s="36" t="s">
        <v>27</v>
      </c>
      <c r="C1" s="93"/>
      <c r="K1" s="38"/>
      <c r="L1" s="38"/>
      <c r="M1" s="37"/>
      <c r="N1" s="37"/>
      <c r="O1" s="37"/>
    </row>
    <row r="2" spans="1:15" x14ac:dyDescent="0.3">
      <c r="K2" s="38"/>
      <c r="L2" s="38"/>
      <c r="M2" s="37"/>
      <c r="N2" s="37"/>
      <c r="O2" s="37"/>
    </row>
    <row r="3" spans="1:15" x14ac:dyDescent="0.3">
      <c r="A3" s="137">
        <f>+Entries!A2</f>
        <v>0</v>
      </c>
      <c r="B3" s="137"/>
      <c r="C3" s="137"/>
      <c r="E3" s="38"/>
      <c r="F3" s="38"/>
      <c r="J3" s="149"/>
      <c r="K3" s="149"/>
      <c r="L3" s="149"/>
      <c r="M3" s="37"/>
      <c r="N3" s="38"/>
      <c r="O3" s="38"/>
    </row>
    <row r="4" spans="1:15" x14ac:dyDescent="0.3">
      <c r="A4" s="150"/>
      <c r="B4" s="150"/>
      <c r="J4" s="150"/>
      <c r="K4" s="150"/>
      <c r="L4" s="38"/>
      <c r="M4" s="37"/>
      <c r="N4" s="37"/>
      <c r="O4" s="37"/>
    </row>
    <row r="5" spans="1:15" x14ac:dyDescent="0.3">
      <c r="A5" s="151" t="e">
        <f>+#REF!</f>
        <v>#REF!</v>
      </c>
      <c r="B5" s="149"/>
      <c r="C5" s="39" t="s">
        <v>28</v>
      </c>
      <c r="J5" s="149"/>
      <c r="K5" s="149"/>
      <c r="L5" s="39"/>
      <c r="M5" s="37"/>
      <c r="N5" s="37"/>
      <c r="O5" s="37"/>
    </row>
    <row r="6" spans="1:15" x14ac:dyDescent="0.3">
      <c r="A6" s="44"/>
      <c r="B6" s="39" t="s">
        <v>36</v>
      </c>
      <c r="K6" s="39"/>
      <c r="L6" s="38"/>
      <c r="M6" s="37"/>
      <c r="N6" s="37"/>
      <c r="O6" s="37"/>
    </row>
    <row r="7" spans="1:15" x14ac:dyDescent="0.3">
      <c r="A7" s="44">
        <f>+Entries!B10</f>
        <v>28</v>
      </c>
      <c r="B7" s="152" t="s">
        <v>34</v>
      </c>
      <c r="C7" s="152"/>
      <c r="J7" s="44"/>
      <c r="K7" s="152"/>
      <c r="L7" s="152"/>
      <c r="M7" s="37"/>
      <c r="N7" s="37"/>
      <c r="O7" s="37"/>
    </row>
    <row r="8" spans="1:15" x14ac:dyDescent="0.3">
      <c r="A8" s="44">
        <f>+Results!A8</f>
        <v>0</v>
      </c>
      <c r="B8" s="67" t="s">
        <v>6</v>
      </c>
      <c r="J8" s="44"/>
      <c r="K8" s="67"/>
      <c r="L8" s="38"/>
      <c r="M8" s="37"/>
      <c r="N8" s="37"/>
      <c r="O8" s="37"/>
    </row>
    <row r="9" spans="1:15" x14ac:dyDescent="0.3">
      <c r="A9" s="37"/>
      <c r="B9" s="40" t="s">
        <v>0</v>
      </c>
      <c r="C9" s="40" t="s">
        <v>1</v>
      </c>
      <c r="D9" s="41" t="s">
        <v>2</v>
      </c>
      <c r="E9" s="43" t="s">
        <v>31</v>
      </c>
      <c r="F9" s="43" t="s">
        <v>32</v>
      </c>
    </row>
    <row r="10" spans="1:15" x14ac:dyDescent="0.3">
      <c r="A10" s="43">
        <v>1</v>
      </c>
      <c r="B10" s="74"/>
      <c r="C10" s="74"/>
      <c r="D10" s="73"/>
      <c r="E10" s="73"/>
      <c r="F10" s="73"/>
    </row>
    <row r="11" spans="1:15" x14ac:dyDescent="0.3">
      <c r="A11" s="43">
        <f>+A10+1</f>
        <v>2</v>
      </c>
      <c r="B11" s="74"/>
      <c r="C11" s="74"/>
      <c r="D11" s="73"/>
      <c r="E11" s="73"/>
      <c r="F11" s="73"/>
    </row>
    <row r="12" spans="1:15" x14ac:dyDescent="0.3">
      <c r="A12" s="43">
        <f t="shared" ref="A12:A41" si="0">+A11+1</f>
        <v>3</v>
      </c>
      <c r="B12" s="74"/>
      <c r="C12" s="74"/>
      <c r="D12" s="73"/>
      <c r="E12" s="73"/>
      <c r="F12" s="73"/>
    </row>
    <row r="13" spans="1:15" x14ac:dyDescent="0.3">
      <c r="A13" s="43">
        <f t="shared" si="0"/>
        <v>4</v>
      </c>
      <c r="B13" s="74"/>
      <c r="C13" s="74"/>
      <c r="D13" s="73"/>
      <c r="E13" s="73"/>
      <c r="F13" s="73"/>
    </row>
    <row r="14" spans="1:15" x14ac:dyDescent="0.3">
      <c r="A14" s="43">
        <f t="shared" si="0"/>
        <v>5</v>
      </c>
      <c r="B14" s="74"/>
      <c r="C14" s="74"/>
      <c r="D14" s="73"/>
      <c r="E14" s="73"/>
      <c r="F14" s="73"/>
    </row>
    <row r="15" spans="1:15" x14ac:dyDescent="0.3">
      <c r="A15" s="43">
        <f t="shared" si="0"/>
        <v>6</v>
      </c>
      <c r="B15" s="74"/>
      <c r="C15" s="74"/>
      <c r="D15" s="73"/>
      <c r="E15" s="73"/>
      <c r="F15" s="73"/>
    </row>
    <row r="16" spans="1:15" x14ac:dyDescent="0.3">
      <c r="A16" s="43">
        <f t="shared" si="0"/>
        <v>7</v>
      </c>
      <c r="B16" s="74"/>
      <c r="C16" s="74"/>
      <c r="D16" s="73"/>
      <c r="E16" s="73"/>
      <c r="F16" s="73"/>
    </row>
    <row r="17" spans="1:6" x14ac:dyDescent="0.3">
      <c r="A17" s="43">
        <f t="shared" si="0"/>
        <v>8</v>
      </c>
      <c r="B17" s="74"/>
      <c r="C17" s="74"/>
      <c r="D17" s="73"/>
      <c r="E17" s="73"/>
      <c r="F17" s="73"/>
    </row>
    <row r="18" spans="1:6" x14ac:dyDescent="0.3">
      <c r="A18" s="43">
        <f t="shared" si="0"/>
        <v>9</v>
      </c>
      <c r="B18" s="74"/>
      <c r="C18" s="74"/>
      <c r="D18" s="73"/>
      <c r="E18" s="73"/>
      <c r="F18" s="73"/>
    </row>
    <row r="19" spans="1:6" x14ac:dyDescent="0.3">
      <c r="A19" s="43">
        <f t="shared" si="0"/>
        <v>10</v>
      </c>
      <c r="B19" s="74"/>
      <c r="C19" s="74"/>
      <c r="D19" s="73"/>
      <c r="E19" s="73"/>
      <c r="F19" s="73"/>
    </row>
    <row r="20" spans="1:6" x14ac:dyDescent="0.3">
      <c r="A20" s="43">
        <f t="shared" si="0"/>
        <v>11</v>
      </c>
      <c r="B20" s="74"/>
      <c r="C20" s="74"/>
      <c r="D20" s="73"/>
      <c r="E20" s="73"/>
      <c r="F20" s="73"/>
    </row>
    <row r="21" spans="1:6" x14ac:dyDescent="0.3">
      <c r="A21" s="43">
        <f t="shared" si="0"/>
        <v>12</v>
      </c>
      <c r="B21" s="74"/>
      <c r="C21" s="74"/>
      <c r="D21" s="73"/>
      <c r="E21" s="73"/>
      <c r="F21" s="73"/>
    </row>
    <row r="22" spans="1:6" x14ac:dyDescent="0.3">
      <c r="A22" s="43">
        <f t="shared" si="0"/>
        <v>13</v>
      </c>
      <c r="B22" s="74"/>
      <c r="C22" s="74"/>
      <c r="D22" s="73"/>
      <c r="E22" s="73"/>
      <c r="F22" s="73"/>
    </row>
    <row r="23" spans="1:6" x14ac:dyDescent="0.3">
      <c r="A23" s="43">
        <f t="shared" si="0"/>
        <v>14</v>
      </c>
      <c r="B23" s="74"/>
      <c r="C23" s="74"/>
      <c r="D23" s="73"/>
      <c r="E23" s="73"/>
      <c r="F23" s="73"/>
    </row>
    <row r="24" spans="1:6" x14ac:dyDescent="0.3">
      <c r="A24" s="43">
        <f t="shared" si="0"/>
        <v>15</v>
      </c>
      <c r="B24" s="74"/>
      <c r="C24" s="74"/>
      <c r="D24" s="73"/>
      <c r="E24" s="73"/>
      <c r="F24" s="73"/>
    </row>
    <row r="25" spans="1:6" x14ac:dyDescent="0.3">
      <c r="A25" s="43">
        <f t="shared" si="0"/>
        <v>16</v>
      </c>
      <c r="B25" s="74"/>
      <c r="C25" s="74"/>
      <c r="D25" s="73"/>
      <c r="E25" s="73"/>
      <c r="F25" s="73"/>
    </row>
    <row r="26" spans="1:6" x14ac:dyDescent="0.3">
      <c r="A26" s="43">
        <f t="shared" si="0"/>
        <v>17</v>
      </c>
      <c r="B26" s="74"/>
      <c r="C26" s="74"/>
      <c r="D26" s="73"/>
      <c r="E26" s="73"/>
      <c r="F26" s="73"/>
    </row>
    <row r="27" spans="1:6" x14ac:dyDescent="0.3">
      <c r="A27" s="43">
        <f t="shared" si="0"/>
        <v>18</v>
      </c>
      <c r="B27" s="74"/>
      <c r="C27" s="74"/>
      <c r="D27" s="73"/>
      <c r="E27" s="73"/>
      <c r="F27" s="73"/>
    </row>
    <row r="28" spans="1:6" x14ac:dyDescent="0.3">
      <c r="A28" s="43">
        <f t="shared" si="0"/>
        <v>19</v>
      </c>
      <c r="B28" s="74"/>
      <c r="C28" s="74"/>
      <c r="D28" s="73"/>
      <c r="E28" s="73"/>
      <c r="F28" s="73"/>
    </row>
    <row r="29" spans="1:6" x14ac:dyDescent="0.3">
      <c r="A29" s="43">
        <f t="shared" si="0"/>
        <v>20</v>
      </c>
      <c r="B29" s="74"/>
      <c r="C29" s="74"/>
      <c r="D29" s="73"/>
      <c r="E29" s="73"/>
      <c r="F29" s="73"/>
    </row>
    <row r="30" spans="1:6" x14ac:dyDescent="0.3">
      <c r="A30" s="43">
        <f t="shared" si="0"/>
        <v>21</v>
      </c>
      <c r="B30" s="74"/>
      <c r="C30" s="74"/>
      <c r="D30" s="73"/>
      <c r="E30" s="73"/>
      <c r="F30" s="73"/>
    </row>
    <row r="31" spans="1:6" x14ac:dyDescent="0.3">
      <c r="A31" s="43">
        <f t="shared" si="0"/>
        <v>22</v>
      </c>
      <c r="B31" s="74"/>
      <c r="C31" s="74"/>
      <c r="D31" s="73"/>
      <c r="E31" s="73"/>
      <c r="F31" s="73"/>
    </row>
    <row r="32" spans="1:6" x14ac:dyDescent="0.3">
      <c r="A32" s="43">
        <f t="shared" si="0"/>
        <v>23</v>
      </c>
      <c r="B32" s="74"/>
      <c r="C32" s="74"/>
      <c r="D32" s="73"/>
      <c r="E32" s="73"/>
      <c r="F32" s="73"/>
    </row>
    <row r="33" spans="1:6" x14ac:dyDescent="0.3">
      <c r="A33" s="43">
        <f t="shared" si="0"/>
        <v>24</v>
      </c>
      <c r="B33" s="74"/>
      <c r="C33" s="74"/>
      <c r="D33" s="73"/>
      <c r="E33" s="73"/>
      <c r="F33" s="73"/>
    </row>
    <row r="34" spans="1:6" x14ac:dyDescent="0.3">
      <c r="A34" s="43">
        <f t="shared" si="0"/>
        <v>25</v>
      </c>
      <c r="B34" s="74"/>
      <c r="C34" s="74"/>
      <c r="D34" s="73"/>
      <c r="E34" s="73"/>
      <c r="F34" s="73"/>
    </row>
    <row r="35" spans="1:6" x14ac:dyDescent="0.3">
      <c r="A35" s="43">
        <f t="shared" si="0"/>
        <v>26</v>
      </c>
      <c r="B35" s="74"/>
      <c r="C35" s="74"/>
      <c r="D35" s="73"/>
      <c r="E35" s="73"/>
      <c r="F35" s="73"/>
    </row>
    <row r="36" spans="1:6" x14ac:dyDescent="0.3">
      <c r="A36" s="43">
        <f t="shared" si="0"/>
        <v>27</v>
      </c>
      <c r="B36" s="74"/>
      <c r="C36" s="74"/>
      <c r="D36" s="73"/>
      <c r="E36" s="73"/>
      <c r="F36" s="73"/>
    </row>
    <row r="37" spans="1:6" x14ac:dyDescent="0.3">
      <c r="A37" s="43">
        <f t="shared" si="0"/>
        <v>28</v>
      </c>
      <c r="B37" s="74"/>
      <c r="C37" s="74"/>
      <c r="D37" s="73"/>
      <c r="E37" s="73"/>
      <c r="F37" s="73"/>
    </row>
    <row r="38" spans="1:6" x14ac:dyDescent="0.3">
      <c r="A38" s="43">
        <f t="shared" si="0"/>
        <v>29</v>
      </c>
      <c r="B38" s="74"/>
      <c r="C38" s="74"/>
      <c r="D38" s="73"/>
      <c r="E38" s="73"/>
      <c r="F38" s="73"/>
    </row>
    <row r="39" spans="1:6" x14ac:dyDescent="0.3">
      <c r="A39" s="43">
        <f t="shared" si="0"/>
        <v>30</v>
      </c>
      <c r="B39" s="74"/>
      <c r="C39" s="74"/>
      <c r="D39" s="73"/>
      <c r="E39" s="73"/>
      <c r="F39" s="73"/>
    </row>
    <row r="40" spans="1:6" x14ac:dyDescent="0.3">
      <c r="A40" s="43">
        <f t="shared" si="0"/>
        <v>31</v>
      </c>
      <c r="B40" s="74"/>
      <c r="C40" s="74"/>
      <c r="D40" s="73"/>
      <c r="E40" s="73"/>
      <c r="F40" s="73"/>
    </row>
    <row r="41" spans="1:6" x14ac:dyDescent="0.3">
      <c r="A41" s="43">
        <f t="shared" si="0"/>
        <v>32</v>
      </c>
      <c r="B41" s="74"/>
      <c r="C41" s="74"/>
      <c r="D41" s="73"/>
      <c r="E41" s="73"/>
      <c r="F41" s="73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2" customWidth="1"/>
    <col min="12" max="12" width="6.42578125" style="22" customWidth="1"/>
    <col min="13" max="13" width="9.28515625" style="22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4" t="e">
        <f>+#REF!</f>
        <v>#REF!</v>
      </c>
      <c r="N1" s="23" t="s">
        <v>47</v>
      </c>
      <c r="T1" s="33" t="s">
        <v>26</v>
      </c>
    </row>
    <row r="3" spans="1:20" x14ac:dyDescent="0.25">
      <c r="A3" s="153">
        <f>+Entries!A2</f>
        <v>0</v>
      </c>
      <c r="B3" s="153"/>
      <c r="C3" s="153"/>
    </row>
    <row r="4" spans="1:20" x14ac:dyDescent="0.25">
      <c r="A4" s="154"/>
      <c r="B4" s="154"/>
      <c r="C4" s="12"/>
    </row>
    <row r="5" spans="1:20" x14ac:dyDescent="0.25">
      <c r="A5" s="155"/>
      <c r="B5" s="153"/>
      <c r="C5" s="35"/>
    </row>
    <row r="6" spans="1:20" x14ac:dyDescent="0.25">
      <c r="A6" s="59"/>
      <c r="B6" s="35"/>
      <c r="C6" s="12"/>
    </row>
    <row r="7" spans="1:20" x14ac:dyDescent="0.25">
      <c r="A7" s="59"/>
      <c r="B7" s="156"/>
      <c r="C7" s="156"/>
    </row>
    <row r="8" spans="1:20" x14ac:dyDescent="0.25">
      <c r="A8" s="59"/>
      <c r="B8" s="66"/>
    </row>
    <row r="9" spans="1:20" ht="34.5" customHeight="1" x14ac:dyDescent="0.25">
      <c r="A9" s="2"/>
      <c r="B9" s="5" t="s">
        <v>0</v>
      </c>
      <c r="C9" s="6" t="s">
        <v>1</v>
      </c>
      <c r="D9" s="7" t="s">
        <v>2</v>
      </c>
      <c r="E9" s="60" t="s">
        <v>31</v>
      </c>
      <c r="F9" s="60" t="s">
        <v>32</v>
      </c>
      <c r="G9" s="11" t="s">
        <v>33</v>
      </c>
      <c r="H9" s="11" t="s">
        <v>38</v>
      </c>
      <c r="I9" s="11" t="s">
        <v>37</v>
      </c>
      <c r="J9" s="11"/>
      <c r="K9" s="32" t="s">
        <v>35</v>
      </c>
      <c r="L9" s="32" t="s">
        <v>40</v>
      </c>
      <c r="M9" s="32" t="s">
        <v>41</v>
      </c>
      <c r="O9" s="20" t="s">
        <v>45</v>
      </c>
      <c r="P9" s="20" t="s">
        <v>42</v>
      </c>
      <c r="Q9" s="20" t="s">
        <v>43</v>
      </c>
      <c r="R9" s="20" t="s">
        <v>44</v>
      </c>
      <c r="S9" s="20" t="s">
        <v>43</v>
      </c>
    </row>
    <row r="10" spans="1:20" x14ac:dyDescent="0.25">
      <c r="A10" s="60">
        <v>1</v>
      </c>
      <c r="B10" s="75"/>
      <c r="C10" s="75"/>
      <c r="D10" s="76"/>
      <c r="E10" s="76"/>
      <c r="F10" s="76"/>
      <c r="G10" s="58"/>
      <c r="H10" s="58"/>
      <c r="I10" s="58" t="str">
        <f>IF(F10&gt;0,F10+H10,"")</f>
        <v/>
      </c>
      <c r="J10" s="58"/>
      <c r="K10" s="72"/>
      <c r="L10" s="72"/>
      <c r="M10" s="72" t="str">
        <f t="shared" ref="M10:M41" si="0">IF(K10&gt;0,K10+L10,"")</f>
        <v/>
      </c>
      <c r="O10" s="89">
        <f>SUM(P10:S10)</f>
        <v>40</v>
      </c>
      <c r="P10" s="89">
        <v>40</v>
      </c>
      <c r="Q10" s="89"/>
      <c r="R10" s="89"/>
      <c r="S10" s="89"/>
    </row>
    <row r="11" spans="1:20" x14ac:dyDescent="0.25">
      <c r="A11" s="60">
        <f>+A10+1</f>
        <v>2</v>
      </c>
      <c r="B11" s="75"/>
      <c r="C11" s="75"/>
      <c r="D11" s="76"/>
      <c r="E11" s="76"/>
      <c r="F11" s="76"/>
      <c r="G11" s="58"/>
      <c r="H11" s="58"/>
      <c r="I11" s="58" t="str">
        <f t="shared" ref="I11:I41" si="1">IF(F11&gt;0,F11+H11,"")</f>
        <v/>
      </c>
      <c r="J11" s="58"/>
      <c r="K11" s="72"/>
      <c r="L11" s="72"/>
      <c r="M11" s="72" t="str">
        <f t="shared" si="0"/>
        <v/>
      </c>
      <c r="O11" s="89">
        <f t="shared" ref="O11:O41" si="2">SUM(P11:S11)</f>
        <v>0</v>
      </c>
      <c r="P11" s="89"/>
      <c r="Q11" s="89"/>
      <c r="R11" s="89"/>
      <c r="S11" s="89"/>
    </row>
    <row r="12" spans="1:20" x14ac:dyDescent="0.25">
      <c r="A12" s="60">
        <f t="shared" ref="A12:A41" si="3">+A11+1</f>
        <v>3</v>
      </c>
      <c r="B12" s="75"/>
      <c r="C12" s="75"/>
      <c r="D12" s="76"/>
      <c r="E12" s="76"/>
      <c r="F12" s="76"/>
      <c r="G12" s="58"/>
      <c r="H12" s="58"/>
      <c r="I12" s="58" t="str">
        <f t="shared" si="1"/>
        <v/>
      </c>
      <c r="J12" s="58"/>
      <c r="K12" s="72"/>
      <c r="L12" s="72"/>
      <c r="M12" s="72" t="str">
        <f t="shared" si="0"/>
        <v/>
      </c>
      <c r="O12" s="89">
        <f t="shared" si="2"/>
        <v>0</v>
      </c>
      <c r="P12" s="89"/>
      <c r="Q12" s="89"/>
      <c r="R12" s="89"/>
      <c r="S12" s="89"/>
    </row>
    <row r="13" spans="1:20" x14ac:dyDescent="0.25">
      <c r="A13" s="60">
        <f t="shared" si="3"/>
        <v>4</v>
      </c>
      <c r="B13" s="75"/>
      <c r="C13" s="75"/>
      <c r="D13" s="76"/>
      <c r="E13" s="76"/>
      <c r="F13" s="76"/>
      <c r="G13" s="58"/>
      <c r="H13" s="58"/>
      <c r="I13" s="58" t="str">
        <f t="shared" si="1"/>
        <v/>
      </c>
      <c r="J13" s="58"/>
      <c r="K13" s="72"/>
      <c r="L13" s="72"/>
      <c r="M13" s="72" t="str">
        <f t="shared" si="0"/>
        <v/>
      </c>
      <c r="O13" s="89">
        <f t="shared" si="2"/>
        <v>0</v>
      </c>
      <c r="P13" s="89"/>
      <c r="Q13" s="89"/>
      <c r="R13" s="89"/>
      <c r="S13" s="89"/>
    </row>
    <row r="14" spans="1:20" x14ac:dyDescent="0.25">
      <c r="A14" s="60">
        <f t="shared" si="3"/>
        <v>5</v>
      </c>
      <c r="B14" s="75"/>
      <c r="C14" s="75"/>
      <c r="D14" s="76"/>
      <c r="E14" s="76"/>
      <c r="F14" s="76"/>
      <c r="G14" s="58"/>
      <c r="H14" s="58"/>
      <c r="I14" s="58" t="str">
        <f t="shared" si="1"/>
        <v/>
      </c>
      <c r="J14" s="58"/>
      <c r="K14" s="72"/>
      <c r="L14" s="72"/>
      <c r="M14" s="72" t="str">
        <f t="shared" si="0"/>
        <v/>
      </c>
      <c r="O14" s="89">
        <f t="shared" si="2"/>
        <v>0</v>
      </c>
      <c r="P14" s="89"/>
      <c r="Q14" s="89"/>
      <c r="R14" s="89"/>
      <c r="S14" s="89"/>
    </row>
    <row r="15" spans="1:20" x14ac:dyDescent="0.25">
      <c r="A15" s="60">
        <f t="shared" si="3"/>
        <v>6</v>
      </c>
      <c r="B15" s="75"/>
      <c r="C15" s="75"/>
      <c r="D15" s="76"/>
      <c r="E15" s="76"/>
      <c r="F15" s="76"/>
      <c r="G15" s="58"/>
      <c r="H15" s="58"/>
      <c r="I15" s="58" t="str">
        <f t="shared" si="1"/>
        <v/>
      </c>
      <c r="J15" s="58"/>
      <c r="K15" s="72"/>
      <c r="L15" s="72"/>
      <c r="M15" s="72" t="str">
        <f t="shared" si="0"/>
        <v/>
      </c>
      <c r="O15" s="89">
        <f t="shared" si="2"/>
        <v>40</v>
      </c>
      <c r="P15" s="89">
        <v>40</v>
      </c>
      <c r="Q15" s="89"/>
      <c r="R15" s="89"/>
      <c r="S15" s="89"/>
    </row>
    <row r="16" spans="1:20" x14ac:dyDescent="0.25">
      <c r="A16" s="60">
        <f t="shared" si="3"/>
        <v>7</v>
      </c>
      <c r="B16" s="75"/>
      <c r="C16" s="75"/>
      <c r="D16" s="76"/>
      <c r="E16" s="76"/>
      <c r="F16" s="76"/>
      <c r="G16" s="58"/>
      <c r="H16" s="58"/>
      <c r="I16" s="58" t="str">
        <f t="shared" si="1"/>
        <v/>
      </c>
      <c r="J16" s="58"/>
      <c r="K16" s="72"/>
      <c r="L16" s="72"/>
      <c r="M16" s="72" t="str">
        <f t="shared" si="0"/>
        <v/>
      </c>
      <c r="O16" s="89">
        <f t="shared" si="2"/>
        <v>0</v>
      </c>
      <c r="P16" s="89"/>
      <c r="Q16" s="89"/>
      <c r="R16" s="89"/>
      <c r="S16" s="89"/>
    </row>
    <row r="17" spans="1:19" x14ac:dyDescent="0.25">
      <c r="A17" s="60">
        <f t="shared" si="3"/>
        <v>8</v>
      </c>
      <c r="B17" s="75"/>
      <c r="C17" s="75"/>
      <c r="D17" s="76"/>
      <c r="E17" s="76"/>
      <c r="F17" s="76"/>
      <c r="G17" s="58"/>
      <c r="H17" s="58"/>
      <c r="I17" s="58" t="str">
        <f t="shared" si="1"/>
        <v/>
      </c>
      <c r="J17" s="58"/>
      <c r="K17" s="72"/>
      <c r="L17" s="72"/>
      <c r="M17" s="72" t="str">
        <f t="shared" si="0"/>
        <v/>
      </c>
      <c r="O17" s="89">
        <f t="shared" si="2"/>
        <v>0</v>
      </c>
      <c r="P17" s="89"/>
      <c r="Q17" s="89"/>
      <c r="R17" s="89"/>
      <c r="S17" s="89"/>
    </row>
    <row r="18" spans="1:19" x14ac:dyDescent="0.25">
      <c r="A18" s="60">
        <f t="shared" si="3"/>
        <v>9</v>
      </c>
      <c r="B18" s="75"/>
      <c r="C18" s="75"/>
      <c r="D18" s="76"/>
      <c r="E18" s="76"/>
      <c r="F18" s="76"/>
      <c r="G18" s="58"/>
      <c r="H18" s="58"/>
      <c r="I18" s="58" t="str">
        <f t="shared" si="1"/>
        <v/>
      </c>
      <c r="J18" s="58"/>
      <c r="K18" s="72"/>
      <c r="L18" s="72"/>
      <c r="M18" s="72" t="str">
        <f t="shared" si="0"/>
        <v/>
      </c>
      <c r="O18" s="89">
        <f t="shared" si="2"/>
        <v>0</v>
      </c>
      <c r="P18" s="89"/>
      <c r="Q18" s="89"/>
      <c r="R18" s="89"/>
      <c r="S18" s="89"/>
    </row>
    <row r="19" spans="1:19" x14ac:dyDescent="0.25">
      <c r="A19" s="60">
        <f t="shared" si="3"/>
        <v>10</v>
      </c>
      <c r="B19" s="75"/>
      <c r="C19" s="75"/>
      <c r="D19" s="76"/>
      <c r="E19" s="76"/>
      <c r="F19" s="76"/>
      <c r="G19" s="58"/>
      <c r="H19" s="58"/>
      <c r="I19" s="58" t="str">
        <f t="shared" si="1"/>
        <v/>
      </c>
      <c r="J19" s="58"/>
      <c r="K19" s="72"/>
      <c r="L19" s="72"/>
      <c r="M19" s="72" t="str">
        <f t="shared" si="0"/>
        <v/>
      </c>
      <c r="O19" s="89">
        <f t="shared" si="2"/>
        <v>0</v>
      </c>
      <c r="P19" s="89"/>
      <c r="Q19" s="89"/>
      <c r="R19" s="89"/>
      <c r="S19" s="89"/>
    </row>
    <row r="20" spans="1:19" x14ac:dyDescent="0.25">
      <c r="A20" s="60">
        <f t="shared" si="3"/>
        <v>11</v>
      </c>
      <c r="B20" s="75"/>
      <c r="C20" s="75"/>
      <c r="D20" s="76"/>
      <c r="E20" s="76"/>
      <c r="F20" s="76"/>
      <c r="G20" s="58"/>
      <c r="H20" s="58"/>
      <c r="I20" s="58" t="str">
        <f t="shared" si="1"/>
        <v/>
      </c>
      <c r="J20" s="58"/>
      <c r="K20" s="72"/>
      <c r="L20" s="72"/>
      <c r="M20" s="72" t="str">
        <f t="shared" si="0"/>
        <v/>
      </c>
      <c r="O20" s="89">
        <f t="shared" si="2"/>
        <v>0</v>
      </c>
      <c r="P20" s="89"/>
      <c r="Q20" s="89"/>
      <c r="R20" s="89"/>
      <c r="S20" s="89"/>
    </row>
    <row r="21" spans="1:19" x14ac:dyDescent="0.25">
      <c r="A21" s="60">
        <f t="shared" si="3"/>
        <v>12</v>
      </c>
      <c r="B21" s="75"/>
      <c r="C21" s="75"/>
      <c r="D21" s="76"/>
      <c r="E21" s="76"/>
      <c r="F21" s="76"/>
      <c r="G21" s="58"/>
      <c r="H21" s="58"/>
      <c r="I21" s="58" t="str">
        <f t="shared" si="1"/>
        <v/>
      </c>
      <c r="J21" s="58"/>
      <c r="K21" s="72"/>
      <c r="L21" s="72"/>
      <c r="M21" s="72" t="str">
        <f t="shared" si="0"/>
        <v/>
      </c>
      <c r="O21" s="89">
        <f t="shared" si="2"/>
        <v>0</v>
      </c>
      <c r="P21" s="89"/>
      <c r="Q21" s="89"/>
      <c r="R21" s="89"/>
      <c r="S21" s="89"/>
    </row>
    <row r="22" spans="1:19" x14ac:dyDescent="0.25">
      <c r="A22" s="60">
        <f t="shared" si="3"/>
        <v>13</v>
      </c>
      <c r="B22" s="75"/>
      <c r="C22" s="75"/>
      <c r="D22" s="76"/>
      <c r="E22" s="76"/>
      <c r="F22" s="76"/>
      <c r="G22" s="58"/>
      <c r="H22" s="58"/>
      <c r="I22" s="58" t="str">
        <f t="shared" si="1"/>
        <v/>
      </c>
      <c r="J22" s="58"/>
      <c r="K22" s="72"/>
      <c r="L22" s="72"/>
      <c r="M22" s="72" t="str">
        <f t="shared" si="0"/>
        <v/>
      </c>
      <c r="O22" s="89">
        <f t="shared" si="2"/>
        <v>0</v>
      </c>
      <c r="P22" s="89"/>
      <c r="Q22" s="89"/>
      <c r="R22" s="89"/>
      <c r="S22" s="89"/>
    </row>
    <row r="23" spans="1:19" x14ac:dyDescent="0.25">
      <c r="A23" s="60">
        <f t="shared" si="3"/>
        <v>14</v>
      </c>
      <c r="B23" s="75"/>
      <c r="C23" s="75"/>
      <c r="D23" s="76"/>
      <c r="E23" s="76"/>
      <c r="F23" s="76"/>
      <c r="G23" s="58"/>
      <c r="H23" s="58"/>
      <c r="I23" s="58" t="str">
        <f t="shared" si="1"/>
        <v/>
      </c>
      <c r="J23" s="58"/>
      <c r="K23" s="72"/>
      <c r="L23" s="72"/>
      <c r="M23" s="72" t="str">
        <f t="shared" si="0"/>
        <v/>
      </c>
      <c r="O23" s="89">
        <f t="shared" si="2"/>
        <v>0</v>
      </c>
      <c r="P23" s="89"/>
      <c r="Q23" s="89"/>
      <c r="R23" s="89"/>
      <c r="S23" s="89"/>
    </row>
    <row r="24" spans="1:19" x14ac:dyDescent="0.25">
      <c r="A24" s="60">
        <f t="shared" si="3"/>
        <v>15</v>
      </c>
      <c r="B24" s="75"/>
      <c r="C24" s="75"/>
      <c r="D24" s="76"/>
      <c r="E24" s="76"/>
      <c r="F24" s="76"/>
      <c r="G24" s="58"/>
      <c r="H24" s="58"/>
      <c r="I24" s="58" t="str">
        <f t="shared" si="1"/>
        <v/>
      </c>
      <c r="J24" s="58"/>
      <c r="K24" s="72"/>
      <c r="L24" s="72"/>
      <c r="M24" s="72" t="str">
        <f t="shared" si="0"/>
        <v/>
      </c>
      <c r="O24" s="89">
        <f t="shared" si="2"/>
        <v>0</v>
      </c>
      <c r="P24" s="89"/>
      <c r="Q24" s="89"/>
      <c r="R24" s="89"/>
      <c r="S24" s="89"/>
    </row>
    <row r="25" spans="1:19" x14ac:dyDescent="0.25">
      <c r="A25" s="60">
        <f t="shared" si="3"/>
        <v>16</v>
      </c>
      <c r="B25" s="75"/>
      <c r="C25" s="75"/>
      <c r="D25" s="76"/>
      <c r="E25" s="76"/>
      <c r="F25" s="76"/>
      <c r="G25" s="58"/>
      <c r="H25" s="58"/>
      <c r="I25" s="58" t="str">
        <f t="shared" si="1"/>
        <v/>
      </c>
      <c r="J25" s="58"/>
      <c r="K25" s="72"/>
      <c r="L25" s="72"/>
      <c r="M25" s="72" t="str">
        <f t="shared" si="0"/>
        <v/>
      </c>
      <c r="O25" s="89">
        <f t="shared" si="2"/>
        <v>0</v>
      </c>
      <c r="P25" s="89"/>
      <c r="Q25" s="89"/>
      <c r="R25" s="89"/>
      <c r="S25" s="89"/>
    </row>
    <row r="26" spans="1:19" x14ac:dyDescent="0.25">
      <c r="A26" s="60">
        <f t="shared" si="3"/>
        <v>17</v>
      </c>
      <c r="B26" s="75"/>
      <c r="C26" s="75"/>
      <c r="D26" s="76"/>
      <c r="E26" s="76"/>
      <c r="F26" s="76"/>
      <c r="G26" s="58"/>
      <c r="H26" s="58"/>
      <c r="I26" s="58" t="str">
        <f t="shared" si="1"/>
        <v/>
      </c>
      <c r="J26" s="58"/>
      <c r="K26" s="72"/>
      <c r="L26" s="72"/>
      <c r="M26" s="72" t="str">
        <f t="shared" si="0"/>
        <v/>
      </c>
      <c r="O26" s="89">
        <f t="shared" si="2"/>
        <v>0</v>
      </c>
      <c r="P26" s="89"/>
      <c r="Q26" s="89"/>
      <c r="R26" s="89"/>
      <c r="S26" s="89"/>
    </row>
    <row r="27" spans="1:19" x14ac:dyDescent="0.25">
      <c r="A27" s="60">
        <f t="shared" si="3"/>
        <v>18</v>
      </c>
      <c r="B27" s="75"/>
      <c r="C27" s="75"/>
      <c r="D27" s="76"/>
      <c r="E27" s="76"/>
      <c r="F27" s="76"/>
      <c r="G27" s="58"/>
      <c r="H27" s="58"/>
      <c r="I27" s="58" t="str">
        <f t="shared" si="1"/>
        <v/>
      </c>
      <c r="J27" s="58"/>
      <c r="K27" s="72"/>
      <c r="L27" s="72"/>
      <c r="M27" s="72" t="str">
        <f t="shared" si="0"/>
        <v/>
      </c>
      <c r="O27" s="89">
        <f t="shared" si="2"/>
        <v>0</v>
      </c>
      <c r="P27" s="89"/>
      <c r="Q27" s="89"/>
      <c r="R27" s="89"/>
      <c r="S27" s="89"/>
    </row>
    <row r="28" spans="1:19" x14ac:dyDescent="0.25">
      <c r="A28" s="60">
        <f t="shared" si="3"/>
        <v>19</v>
      </c>
      <c r="B28" s="75"/>
      <c r="C28" s="75"/>
      <c r="D28" s="76"/>
      <c r="E28" s="76"/>
      <c r="F28" s="76"/>
      <c r="G28" s="58"/>
      <c r="H28" s="58"/>
      <c r="I28" s="58" t="str">
        <f t="shared" si="1"/>
        <v/>
      </c>
      <c r="J28" s="58"/>
      <c r="K28" s="72"/>
      <c r="L28" s="72"/>
      <c r="M28" s="72" t="str">
        <f t="shared" si="0"/>
        <v/>
      </c>
      <c r="O28" s="89">
        <f t="shared" si="2"/>
        <v>0</v>
      </c>
      <c r="P28" s="89"/>
      <c r="Q28" s="89"/>
      <c r="R28" s="89"/>
      <c r="S28" s="89"/>
    </row>
    <row r="29" spans="1:19" x14ac:dyDescent="0.25">
      <c r="A29" s="60">
        <f t="shared" si="3"/>
        <v>20</v>
      </c>
      <c r="B29" s="75"/>
      <c r="C29" s="75"/>
      <c r="D29" s="76"/>
      <c r="E29" s="76"/>
      <c r="F29" s="76"/>
      <c r="G29" s="58"/>
      <c r="H29" s="58"/>
      <c r="I29" s="58" t="str">
        <f t="shared" si="1"/>
        <v/>
      </c>
      <c r="J29" s="58"/>
      <c r="K29" s="72"/>
      <c r="L29" s="72"/>
      <c r="M29" s="72" t="str">
        <f t="shared" si="0"/>
        <v/>
      </c>
      <c r="O29" s="89">
        <f t="shared" si="2"/>
        <v>0</v>
      </c>
      <c r="P29" s="89"/>
      <c r="Q29" s="89"/>
      <c r="R29" s="89"/>
      <c r="S29" s="89"/>
    </row>
    <row r="30" spans="1:19" x14ac:dyDescent="0.25">
      <c r="A30" s="60">
        <f t="shared" si="3"/>
        <v>21</v>
      </c>
      <c r="B30" s="75"/>
      <c r="C30" s="75"/>
      <c r="D30" s="76"/>
      <c r="E30" s="76"/>
      <c r="F30" s="76"/>
      <c r="G30" s="58"/>
      <c r="H30" s="58"/>
      <c r="I30" s="58" t="str">
        <f t="shared" si="1"/>
        <v/>
      </c>
      <c r="J30" s="58"/>
      <c r="K30" s="72"/>
      <c r="L30" s="72"/>
      <c r="M30" s="72" t="str">
        <f t="shared" si="0"/>
        <v/>
      </c>
      <c r="O30" s="89">
        <f t="shared" si="2"/>
        <v>0</v>
      </c>
      <c r="P30" s="89"/>
      <c r="Q30" s="89"/>
      <c r="R30" s="89"/>
      <c r="S30" s="89"/>
    </row>
    <row r="31" spans="1:19" x14ac:dyDescent="0.25">
      <c r="A31" s="60">
        <f t="shared" si="3"/>
        <v>22</v>
      </c>
      <c r="B31" s="75"/>
      <c r="C31" s="75"/>
      <c r="D31" s="76"/>
      <c r="E31" s="76"/>
      <c r="F31" s="76"/>
      <c r="G31" s="58"/>
      <c r="H31" s="58"/>
      <c r="I31" s="58" t="str">
        <f t="shared" si="1"/>
        <v/>
      </c>
      <c r="J31" s="58"/>
      <c r="K31" s="72"/>
      <c r="L31" s="72"/>
      <c r="M31" s="72" t="str">
        <f t="shared" si="0"/>
        <v/>
      </c>
      <c r="O31" s="89">
        <f t="shared" si="2"/>
        <v>0</v>
      </c>
      <c r="P31" s="89"/>
      <c r="Q31" s="89"/>
      <c r="R31" s="89"/>
      <c r="S31" s="89"/>
    </row>
    <row r="32" spans="1:19" x14ac:dyDescent="0.25">
      <c r="A32" s="60">
        <f t="shared" si="3"/>
        <v>23</v>
      </c>
      <c r="B32" s="75"/>
      <c r="C32" s="75"/>
      <c r="D32" s="76"/>
      <c r="E32" s="76"/>
      <c r="F32" s="76"/>
      <c r="G32" s="58"/>
      <c r="H32" s="58"/>
      <c r="I32" s="58" t="str">
        <f t="shared" si="1"/>
        <v/>
      </c>
      <c r="J32" s="58"/>
      <c r="K32" s="72"/>
      <c r="L32" s="72"/>
      <c r="M32" s="72" t="str">
        <f t="shared" si="0"/>
        <v/>
      </c>
      <c r="O32" s="89">
        <f t="shared" si="2"/>
        <v>0</v>
      </c>
      <c r="P32" s="89"/>
      <c r="Q32" s="89"/>
      <c r="R32" s="89"/>
      <c r="S32" s="89"/>
    </row>
    <row r="33" spans="1:19" x14ac:dyDescent="0.25">
      <c r="A33" s="60">
        <f t="shared" si="3"/>
        <v>24</v>
      </c>
      <c r="B33" s="75"/>
      <c r="C33" s="75"/>
      <c r="D33" s="76"/>
      <c r="E33" s="76"/>
      <c r="F33" s="76"/>
      <c r="G33" s="58"/>
      <c r="H33" s="58"/>
      <c r="I33" s="58" t="str">
        <f t="shared" si="1"/>
        <v/>
      </c>
      <c r="J33" s="58"/>
      <c r="K33" s="72"/>
      <c r="L33" s="72"/>
      <c r="M33" s="72" t="str">
        <f t="shared" si="0"/>
        <v/>
      </c>
      <c r="O33" s="89">
        <f t="shared" si="2"/>
        <v>0</v>
      </c>
      <c r="P33" s="89"/>
      <c r="Q33" s="89"/>
      <c r="R33" s="89"/>
      <c r="S33" s="89"/>
    </row>
    <row r="34" spans="1:19" x14ac:dyDescent="0.25">
      <c r="A34" s="60">
        <f t="shared" si="3"/>
        <v>25</v>
      </c>
      <c r="B34" s="75"/>
      <c r="C34" s="75"/>
      <c r="D34" s="76"/>
      <c r="E34" s="76"/>
      <c r="F34" s="76"/>
      <c r="G34" s="58"/>
      <c r="H34" s="58"/>
      <c r="I34" s="58" t="str">
        <f t="shared" si="1"/>
        <v/>
      </c>
      <c r="J34" s="58"/>
      <c r="K34" s="72"/>
      <c r="L34" s="72"/>
      <c r="M34" s="72" t="str">
        <f t="shared" si="0"/>
        <v/>
      </c>
      <c r="O34" s="89">
        <f t="shared" si="2"/>
        <v>0</v>
      </c>
      <c r="P34" s="89"/>
      <c r="Q34" s="89"/>
      <c r="R34" s="89"/>
      <c r="S34" s="89"/>
    </row>
    <row r="35" spans="1:19" x14ac:dyDescent="0.25">
      <c r="A35" s="60">
        <f t="shared" si="3"/>
        <v>26</v>
      </c>
      <c r="B35" s="75"/>
      <c r="C35" s="75"/>
      <c r="D35" s="76"/>
      <c r="E35" s="76"/>
      <c r="F35" s="76"/>
      <c r="G35" s="58"/>
      <c r="H35" s="58"/>
      <c r="I35" s="58" t="str">
        <f t="shared" si="1"/>
        <v/>
      </c>
      <c r="J35" s="58"/>
      <c r="K35" s="72"/>
      <c r="L35" s="72"/>
      <c r="M35" s="72" t="str">
        <f t="shared" si="0"/>
        <v/>
      </c>
      <c r="O35" s="89">
        <f t="shared" si="2"/>
        <v>0</v>
      </c>
      <c r="P35" s="89"/>
      <c r="Q35" s="89"/>
      <c r="R35" s="89"/>
      <c r="S35" s="89"/>
    </row>
    <row r="36" spans="1:19" x14ac:dyDescent="0.25">
      <c r="A36" s="60">
        <f t="shared" si="3"/>
        <v>27</v>
      </c>
      <c r="B36" s="75"/>
      <c r="C36" s="75"/>
      <c r="D36" s="76"/>
      <c r="E36" s="76"/>
      <c r="F36" s="76"/>
      <c r="G36" s="58"/>
      <c r="H36" s="58"/>
      <c r="I36" s="58" t="str">
        <f t="shared" si="1"/>
        <v/>
      </c>
      <c r="J36" s="58"/>
      <c r="K36" s="72"/>
      <c r="L36" s="72"/>
      <c r="M36" s="72" t="str">
        <f t="shared" si="0"/>
        <v/>
      </c>
      <c r="O36" s="89">
        <f t="shared" si="2"/>
        <v>0</v>
      </c>
      <c r="P36" s="89"/>
      <c r="Q36" s="89"/>
      <c r="R36" s="89"/>
      <c r="S36" s="89"/>
    </row>
    <row r="37" spans="1:19" x14ac:dyDescent="0.25">
      <c r="A37" s="60">
        <f t="shared" si="3"/>
        <v>28</v>
      </c>
      <c r="B37" s="75"/>
      <c r="C37" s="75"/>
      <c r="D37" s="76"/>
      <c r="E37" s="76"/>
      <c r="F37" s="76"/>
      <c r="G37" s="58"/>
      <c r="H37" s="58"/>
      <c r="I37" s="58" t="str">
        <f t="shared" si="1"/>
        <v/>
      </c>
      <c r="J37" s="58"/>
      <c r="K37" s="72"/>
      <c r="L37" s="72"/>
      <c r="M37" s="72" t="str">
        <f t="shared" si="0"/>
        <v/>
      </c>
      <c r="O37" s="89">
        <f t="shared" si="2"/>
        <v>0</v>
      </c>
      <c r="P37" s="89"/>
      <c r="Q37" s="89"/>
      <c r="R37" s="89"/>
      <c r="S37" s="89"/>
    </row>
    <row r="38" spans="1:19" x14ac:dyDescent="0.25">
      <c r="A38" s="60">
        <f t="shared" si="3"/>
        <v>29</v>
      </c>
      <c r="B38" s="75"/>
      <c r="C38" s="75"/>
      <c r="D38" s="76"/>
      <c r="E38" s="76"/>
      <c r="F38" s="76"/>
      <c r="G38" s="58"/>
      <c r="H38" s="58"/>
      <c r="I38" s="58" t="str">
        <f t="shared" si="1"/>
        <v/>
      </c>
      <c r="J38" s="58"/>
      <c r="K38" s="72"/>
      <c r="L38" s="72"/>
      <c r="M38" s="72" t="str">
        <f t="shared" si="0"/>
        <v/>
      </c>
      <c r="O38" s="89">
        <f t="shared" si="2"/>
        <v>0</v>
      </c>
      <c r="P38" s="89"/>
      <c r="Q38" s="89"/>
      <c r="R38" s="89"/>
      <c r="S38" s="89"/>
    </row>
    <row r="39" spans="1:19" x14ac:dyDescent="0.25">
      <c r="A39" s="60">
        <f t="shared" si="3"/>
        <v>30</v>
      </c>
      <c r="B39" s="75"/>
      <c r="C39" s="75"/>
      <c r="D39" s="76"/>
      <c r="E39" s="76"/>
      <c r="F39" s="76"/>
      <c r="G39" s="58"/>
      <c r="H39" s="58"/>
      <c r="I39" s="58" t="str">
        <f t="shared" si="1"/>
        <v/>
      </c>
      <c r="J39" s="58"/>
      <c r="K39" s="72"/>
      <c r="L39" s="72"/>
      <c r="M39" s="72" t="str">
        <f t="shared" si="0"/>
        <v/>
      </c>
      <c r="O39" s="89">
        <f t="shared" si="2"/>
        <v>0</v>
      </c>
      <c r="P39" s="89"/>
      <c r="Q39" s="89"/>
      <c r="R39" s="89"/>
      <c r="S39" s="89"/>
    </row>
    <row r="40" spans="1:19" x14ac:dyDescent="0.25">
      <c r="A40" s="60">
        <f t="shared" si="3"/>
        <v>31</v>
      </c>
      <c r="B40" s="75"/>
      <c r="C40" s="75"/>
      <c r="D40" s="76"/>
      <c r="E40" s="76"/>
      <c r="F40" s="76"/>
      <c r="G40" s="58"/>
      <c r="H40" s="58"/>
      <c r="I40" s="58" t="str">
        <f t="shared" si="1"/>
        <v/>
      </c>
      <c r="J40" s="58"/>
      <c r="K40" s="72"/>
      <c r="L40" s="72"/>
      <c r="M40" s="72" t="str">
        <f t="shared" si="0"/>
        <v/>
      </c>
      <c r="O40" s="89">
        <f t="shared" si="2"/>
        <v>0</v>
      </c>
      <c r="P40" s="89"/>
      <c r="Q40" s="89"/>
      <c r="R40" s="89"/>
      <c r="S40" s="89"/>
    </row>
    <row r="41" spans="1:19" x14ac:dyDescent="0.25">
      <c r="A41" s="60">
        <f t="shared" si="3"/>
        <v>32</v>
      </c>
      <c r="B41" s="75"/>
      <c r="C41" s="75"/>
      <c r="D41" s="76"/>
      <c r="E41" s="76"/>
      <c r="F41" s="76"/>
      <c r="G41" s="58"/>
      <c r="H41" s="58"/>
      <c r="I41" s="58" t="str">
        <f t="shared" si="1"/>
        <v/>
      </c>
      <c r="J41" s="58"/>
      <c r="K41" s="72"/>
      <c r="L41" s="72"/>
      <c r="M41" s="72" t="str">
        <f t="shared" si="0"/>
        <v/>
      </c>
      <c r="O41" s="89">
        <f t="shared" si="2"/>
        <v>0</v>
      </c>
      <c r="P41" s="89"/>
      <c r="Q41" s="89"/>
      <c r="R41" s="89"/>
      <c r="S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138</vt:i4>
      </vt:variant>
    </vt:vector>
  </HeadingPairs>
  <TitlesOfParts>
    <vt:vector size="149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FCRCheckInFirstName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FCREntriesTourneyName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2026-04-17T03:07:17Z</cp:lastPrinted>
  <dcterms:created xsi:type="dcterms:W3CDTF">2014-07-12T17:55:34Z</dcterms:created>
  <dcterms:modified xsi:type="dcterms:W3CDTF">2026-04-17T03:24:59Z</dcterms:modified>
</cp:coreProperties>
</file>