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BAA35C71-CD12-4004-9911-A398C52F8847}" xr6:coauthVersionLast="47" xr6:coauthVersionMax="47" xr10:uidLastSave="{00000000-0000-0000-0000-000000000000}"/>
  <bookViews>
    <workbookView xWindow="-28920" yWindow="-135" windowWidth="29040" windowHeight="15720" activeTab="1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CheckInFirstName">ConsyCheckInSheet!$B$11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<sst xmlns="http://schemas.openxmlformats.org/spreadsheetml/2006/main" count="537" uniqueCount="220">
  <si>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</si>
  <si>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</si>
  <si>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</si>
  <si>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</si>
  <si>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</si>
  <si>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</si>
  <si>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</si>
  <si>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</si>
  <si>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</si>
  <si>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</si>
  <si>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</si>
  <si>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</si>
  <si>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</si>
  <si>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</si>
  <si>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</si>
  <si>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</si>
  <si>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</si>
  <si>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</si>
  <si>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</si>
  <si>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</si>
  <si>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</si>
  <si>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</si>
  <si>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</si>
  <si>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</si>
  <si>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</si>
  <si>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</si>
  <si>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</si>
  <si>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</si>
  <si>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</si>
  <si>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</si>
  <si>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</si>
  <si>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</si>
  <si>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</si>
  <si>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</si>
  <si>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</si>
  <si>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</si>
  <si>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</si>
  <si>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</si>
  <si>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</si>
  <si>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</si>
  <si>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</si>
  <si>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</si>
  <si>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</si>
  <si>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</si>
  <si>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</si>
  <si>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</si>
  <si>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</si>
  <si>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</si>
  <si>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</si>
  <si>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</si>
  <si>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</si>
  <si>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</si>
  <si>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</si>
  <si>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</si>
  <si>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</si>
  <si>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</si>
  <si>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</si>
  <si>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</si>
  <si>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</si>
  <si>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</si>
  <si>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</si>
  <si>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</si>
  <si>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</si>
  <si>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</si>
  <si>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</si>
  <si>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</si>
  <si>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</si>
  <si>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</si>
  <si>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</si>
  <si>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</si>
  <si>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</si>
  <si>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</si>
  <si>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</si>
  <si>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</si>
  <si>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</si>
  <si>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</si>
  <si>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</si>
  <si>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Napa Wine Country Open</t>
  </si>
  <si>
    <t>The Moose Lodge</t>
  </si>
  <si>
    <t>Napa, Ca 9458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</si>
  <si>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</si>
  <si>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</si>
  <si>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</si>
  <si>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</si>
  <si>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</si>
  <si>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</si>
  <si>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</si>
  <si>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</si>
  <si>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</si>
  <si>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</si>
  <si>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</si>
  <si>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</si>
  <si>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</si>
  <si>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</si>
  <si>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</si>
  <si>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</si>
  <si>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</si>
  <si>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</si>
  <si>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</si>
  <si>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</si>
  <si>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</si>
  <si>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</si>
  <si>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</si>
  <si>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</si>
  <si>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</si>
  <si>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</si>
  <si>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</si>
  <si>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</si>
  <si>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</si>
  <si>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</si>
  <si>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</si>
  <si>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</si>
  <si>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</si>
  <si>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</si>
  <si>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</si>
  <si>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</si>
  <si>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</si>
  <si>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</si>
  <si>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</si>
  <si>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</si>
  <si>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</si>
  <si>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</si>
  <si>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</si>
  <si>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</si>
  <si>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</si>
  <si>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</si>
  <si>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</si>
  <si>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</si>
  <si>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</si>
  <si>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</si>
  <si>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</si>
  <si>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</si>
  <si>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</si>
  <si>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</si>
  <si>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</si>
  <si>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</si>
  <si>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</si>
  <si>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</si>
  <si>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</si>
  <si>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</si>
  <si>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</si>
  <si>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</si>
  <si>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</si>
  <si>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</si>
  <si>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</si>
  <si>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</si>
  <si>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</si>
  <si>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</si>
  <si>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</si>
  <si>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</si>
  <si>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</si>
  <si>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</si>
  <si>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</si>
  <si>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</si>
  <si>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</si>
  <si>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</si>
  <si>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</si>
  <si>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</si>
  <si>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</si>
  <si>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</si>
  <si>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</si>
  <si>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</si>
  <si>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</si>
  <si>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</si>
  <si>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Morris, Wayne</t>
  </si>
  <si>
    <t>Fremont, CA</t>
  </si>
  <si>
    <t>CA-6409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</si>
  <si>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</si>
  <si>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</si>
  <si>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</si>
  <si>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</si>
  <si>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</si>
  <si>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</si>
  <si>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</si>
  <si>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</si>
  <si>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</si>
  <si>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</si>
  <si>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</si>
  <si>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</si>
  <si>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</si>
  <si>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</si>
  <si>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</si>
  <si>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</si>
  <si>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</si>
  <si>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</si>
  <si>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</si>
  <si>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</si>
  <si>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</si>
  <si>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</si>
  <si>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</si>
  <si>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</si>
  <si>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</si>
  <si>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</si>
  <si>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</si>
  <si>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</si>
  <si>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</si>
  <si>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</si>
  <si>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</si>
  <si>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</si>
  <si>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</si>
  <si>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</si>
  <si>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</si>
  <si>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</si>
  <si>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</si>
  <si>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</si>
  <si>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</si>
  <si>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</si>
  <si>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</si>
  <si>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</si>
  <si>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</si>
  <si>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</si>
  <si>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</si>
  <si>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</si>
  <si>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</si>
  <si>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</si>
  <si>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</si>
  <si>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</si>
  <si>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Estes, Offra</t>
  </si>
  <si>
    <t>CA-7778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</si>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</sst>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Naviga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SortAlph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7" t="s">
        <v>56</v>
      </c>
      <c r="B1" s="137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6" t="s">
        <v>72</v>
      </c>
      <c r="E2" s="146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3" t="s">
        <v>57</v>
      </c>
      <c r="C3" s="143"/>
      <c r="D3" s="139" t="s">
        <v>77</v>
      </c>
      <c r="E3" s="139"/>
      <c r="F3" s="15"/>
      <c r="G3"/>
      <c r="L3" s="2"/>
      <c r="M3" s="16"/>
      <c r="S3" s="15"/>
      <c r="Z3" s="15"/>
    </row>
    <row r="4" spans="1:30" x14ac:dyDescent="0.25">
      <c r="A4" s="15"/>
      <c r="B4" s="143" t="s">
        <v>58</v>
      </c>
      <c r="C4" s="143"/>
      <c r="D4" s="139" t="s">
        <v>78</v>
      </c>
      <c r="E4" s="139"/>
      <c r="F4" s="15"/>
      <c r="G4" s="15"/>
      <c r="L4" s="2"/>
      <c r="M4" s="1"/>
      <c r="R4" s="69"/>
    </row>
    <row r="5" spans="1:30" ht="15" customHeight="1" x14ac:dyDescent="0.25">
      <c r="A5" s="15"/>
      <c r="B5" s="143" t="s">
        <v>59</v>
      </c>
      <c r="C5" s="143"/>
      <c r="D5" s="139" t="s">
        <v>79</v>
      </c>
      <c r="E5" s="139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3" t="s">
        <v>60</v>
      </c>
      <c r="C6" s="143"/>
      <c r="D6" s="129">
        <v>46130</v>
      </c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2"/>
      <c r="AA7" s="142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4" t="s">
        <v>39</v>
      </c>
      <c r="L9" s="145"/>
      <c r="R9" s="2"/>
      <c r="S9" s="1"/>
      <c r="U9" s="27">
        <v>1</v>
      </c>
      <c r="V9" s="27"/>
      <c r="W9" s="27"/>
      <c r="X9" s="27"/>
    </row>
    <row r="10" spans="1:30" ht="15.75" x14ac:dyDescent="0.25">
      <c r="B10" s="56">
        <f>COUNTIF(B12:B211,"&lt;&gt;"&amp;"")</f>
        <v>28</v>
      </c>
      <c r="C10" s="56">
        <f>COUNTIF(C12:C211,"&lt;&gt;"&amp;"")</f>
        <v>7</v>
      </c>
      <c r="G10" s="56">
        <f>COUNTIF(G12:G211,"&lt;&gt;"&amp;"")</f>
        <v>24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40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41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>
        <v>1</v>
      </c>
      <c r="C12" s="110"/>
      <c r="D12" s="132" t="s">
        <v>80</v>
      </c>
      <c r="E12" s="132"/>
      <c r="F12" s="97" t="s">
        <v>81</v>
      </c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>
        <v>1</v>
      </c>
      <c r="C13" s="110"/>
      <c r="D13" s="132" t="s">
        <v>82</v>
      </c>
      <c r="E13" s="132" t="s">
        <v>83</v>
      </c>
      <c r="F13" s="97" t="s">
        <v>84</v>
      </c>
      <c r="G13" s="110">
        <v>1</v>
      </c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>
        <v>1</v>
      </c>
      <c r="C14" s="110">
        <v>1</v>
      </c>
      <c r="D14" s="132" t="s">
        <v>85</v>
      </c>
      <c r="E14" s="132" t="s">
        <v>86</v>
      </c>
      <c r="F14" s="107" t="s">
        <v>87</v>
      </c>
      <c r="G14" s="109">
        <v>1</v>
      </c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>
        <v>1</v>
      </c>
      <c r="C15" s="110"/>
      <c r="D15" s="132" t="s">
        <v>88</v>
      </c>
      <c r="E15" s="132" t="s">
        <v>89</v>
      </c>
      <c r="F15" s="107" t="s">
        <v>90</v>
      </c>
      <c r="G15" s="109">
        <v>1</v>
      </c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>
        <v>1</v>
      </c>
      <c r="C16" s="110"/>
      <c r="D16" s="132" t="s">
        <v>91</v>
      </c>
      <c r="E16" s="132" t="s">
        <v>92</v>
      </c>
      <c r="F16" s="107" t="s">
        <v>93</v>
      </c>
      <c r="G16" s="109">
        <v>1</v>
      </c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 t="s">
        <v>94</v>
      </c>
      <c r="E17" s="132" t="s">
        <v>95</v>
      </c>
      <c r="F17" s="107" t="s">
        <v>96</v>
      </c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>
        <v>1</v>
      </c>
      <c r="C18" s="110"/>
      <c r="D18" s="132" t="s">
        <v>97</v>
      </c>
      <c r="E18" s="132" t="s">
        <v>98</v>
      </c>
      <c r="F18" s="97" t="s">
        <v>99</v>
      </c>
      <c r="G18" s="109">
        <v>1</v>
      </c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>
        <v>1</v>
      </c>
      <c r="C19" s="110"/>
      <c r="D19" s="132" t="s">
        <v>100</v>
      </c>
      <c r="E19" s="132" t="s">
        <v>101</v>
      </c>
      <c r="F19" s="107" t="s">
        <v>102</v>
      </c>
      <c r="G19" s="109">
        <v>1</v>
      </c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 t="s">
        <v>103</v>
      </c>
      <c r="E20" s="132" t="s">
        <v>104</v>
      </c>
      <c r="F20" s="97" t="s">
        <v>105</v>
      </c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>
        <v>1</v>
      </c>
      <c r="C21" s="110"/>
      <c r="D21" s="132" t="s">
        <v>106</v>
      </c>
      <c r="E21" s="132" t="s">
        <v>101</v>
      </c>
      <c r="F21" s="107" t="s">
        <v>107</v>
      </c>
      <c r="G21" s="109">
        <v>1</v>
      </c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>
        <v>1</v>
      </c>
      <c r="C22" s="110"/>
      <c r="D22" s="132" t="s">
        <v>108</v>
      </c>
      <c r="E22" s="132" t="s">
        <v>109</v>
      </c>
      <c r="F22" s="97" t="s">
        <v>110</v>
      </c>
      <c r="G22" s="109">
        <v>1</v>
      </c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>
        <v>1</v>
      </c>
      <c r="C23" s="110">
        <v>1</v>
      </c>
      <c r="D23" s="132" t="s">
        <v>111</v>
      </c>
      <c r="E23" s="132" t="s">
        <v>112</v>
      </c>
      <c r="F23" s="107" t="s">
        <v>113</v>
      </c>
      <c r="G23" s="110">
        <v>1</v>
      </c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 t="s">
        <v>114</v>
      </c>
      <c r="E24" s="132" t="s">
        <v>83</v>
      </c>
      <c r="F24" s="107" t="s">
        <v>115</v>
      </c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>
        <v>1</v>
      </c>
      <c r="C25" s="110"/>
      <c r="D25" s="132" t="s">
        <v>217</v>
      </c>
      <c r="E25" s="132"/>
      <c r="F25" s="107" t="s">
        <v>218</v>
      </c>
      <c r="G25" s="109"/>
      <c r="H25" s="110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>
        <v>1</v>
      </c>
      <c r="C26" s="110">
        <v>1</v>
      </c>
      <c r="D26" s="132" t="s">
        <v>116</v>
      </c>
      <c r="E26" s="132" t="s">
        <v>101</v>
      </c>
      <c r="F26" s="97" t="s">
        <v>117</v>
      </c>
      <c r="G26" s="109">
        <v>1</v>
      </c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 t="s">
        <v>118</v>
      </c>
      <c r="E27" s="132" t="s">
        <v>119</v>
      </c>
      <c r="F27" s="107" t="s">
        <v>120</v>
      </c>
      <c r="G27" s="110"/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 t="s">
        <v>121</v>
      </c>
      <c r="E28" s="132" t="s">
        <v>109</v>
      </c>
      <c r="F28" s="107" t="s">
        <v>122</v>
      </c>
      <c r="G28" s="109"/>
      <c r="H28" s="109"/>
      <c r="I28" s="109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>
        <v>1</v>
      </c>
      <c r="C29" s="110"/>
      <c r="D29" s="132" t="s">
        <v>123</v>
      </c>
      <c r="E29" s="132" t="s">
        <v>124</v>
      </c>
      <c r="F29" s="107" t="s">
        <v>125</v>
      </c>
      <c r="G29" s="109">
        <v>1</v>
      </c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>
        <v>1</v>
      </c>
      <c r="C30" s="110"/>
      <c r="D30" s="132" t="s">
        <v>126</v>
      </c>
      <c r="E30" s="132" t="s">
        <v>127</v>
      </c>
      <c r="F30" s="97" t="s">
        <v>128</v>
      </c>
      <c r="G30" s="109">
        <v>1</v>
      </c>
      <c r="H30" s="109"/>
      <c r="I30" s="109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 t="s">
        <v>129</v>
      </c>
      <c r="E31" s="132" t="s">
        <v>130</v>
      </c>
      <c r="F31" s="97" t="s">
        <v>131</v>
      </c>
      <c r="G31" s="109"/>
      <c r="H31" s="110"/>
      <c r="I31" s="110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>
        <v>1</v>
      </c>
      <c r="C32" s="110"/>
      <c r="D32" s="132" t="s">
        <v>132</v>
      </c>
      <c r="E32" s="132" t="s">
        <v>133</v>
      </c>
      <c r="F32" s="134" t="s">
        <v>134</v>
      </c>
      <c r="G32" s="109">
        <v>1</v>
      </c>
      <c r="H32" s="110"/>
      <c r="I32" s="109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>
        <v>1</v>
      </c>
      <c r="C33" s="110">
        <v>1</v>
      </c>
      <c r="D33" s="132" t="s">
        <v>135</v>
      </c>
      <c r="E33" s="132" t="s">
        <v>136</v>
      </c>
      <c r="F33" s="107" t="s">
        <v>137</v>
      </c>
      <c r="G33" s="110">
        <v>1</v>
      </c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 t="s">
        <v>138</v>
      </c>
      <c r="E34" s="132" t="s">
        <v>133</v>
      </c>
      <c r="F34" s="107" t="s">
        <v>139</v>
      </c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>
        <v>1</v>
      </c>
      <c r="C35" s="110"/>
      <c r="D35" s="132" t="s">
        <v>140</v>
      </c>
      <c r="E35" s="132" t="s">
        <v>141</v>
      </c>
      <c r="F35" s="97" t="s">
        <v>142</v>
      </c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 t="s">
        <v>143</v>
      </c>
      <c r="E36" s="132" t="s">
        <v>144</v>
      </c>
      <c r="F36" s="97" t="s">
        <v>145</v>
      </c>
      <c r="G36" s="109"/>
      <c r="H36" s="110"/>
      <c r="I36" s="110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>
        <v>1</v>
      </c>
      <c r="C37" s="110"/>
      <c r="D37" s="132" t="s">
        <v>146</v>
      </c>
      <c r="E37" s="132" t="s">
        <v>147</v>
      </c>
      <c r="F37" s="107" t="s">
        <v>148</v>
      </c>
      <c r="G37" s="109">
        <v>1</v>
      </c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>
        <v>1</v>
      </c>
      <c r="C38" s="110">
        <v>1</v>
      </c>
      <c r="D38" s="132" t="s">
        <v>149</v>
      </c>
      <c r="E38" s="132" t="s">
        <v>150</v>
      </c>
      <c r="F38" s="97" t="s">
        <v>151</v>
      </c>
      <c r="G38" s="109">
        <v>1</v>
      </c>
      <c r="H38" s="109"/>
      <c r="I38" s="109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>
        <v>1</v>
      </c>
      <c r="C39" s="110"/>
      <c r="D39" s="132" t="s">
        <v>152</v>
      </c>
      <c r="E39" s="132" t="s">
        <v>153</v>
      </c>
      <c r="F39" s="107" t="s">
        <v>154</v>
      </c>
      <c r="G39" s="109"/>
      <c r="H39" s="110"/>
      <c r="I39" s="110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>
        <v>1</v>
      </c>
      <c r="C40" s="110"/>
      <c r="D40" s="132" t="s">
        <v>155</v>
      </c>
      <c r="E40" s="132" t="s">
        <v>109</v>
      </c>
      <c r="F40" s="97" t="s">
        <v>156</v>
      </c>
      <c r="G40" s="109">
        <v>1</v>
      </c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 t="s">
        <v>157</v>
      </c>
      <c r="E41" s="132" t="s">
        <v>158</v>
      </c>
      <c r="F41" s="107" t="s">
        <v>159</v>
      </c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 t="s">
        <v>160</v>
      </c>
      <c r="E42" s="132" t="s">
        <v>109</v>
      </c>
      <c r="F42" s="107" t="s">
        <v>161</v>
      </c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 t="s">
        <v>162</v>
      </c>
      <c r="E43" s="132" t="s">
        <v>127</v>
      </c>
      <c r="F43" s="107" t="s">
        <v>163</v>
      </c>
      <c r="G43" s="109"/>
      <c r="H43" s="110"/>
      <c r="I43" s="110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 t="s">
        <v>164</v>
      </c>
      <c r="E44" s="132" t="s">
        <v>165</v>
      </c>
      <c r="F44" s="107" t="s">
        <v>166</v>
      </c>
      <c r="G44" s="109"/>
      <c r="H44" s="109"/>
      <c r="I44" s="109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 t="s">
        <v>167</v>
      </c>
      <c r="E45" s="132" t="s">
        <v>168</v>
      </c>
      <c r="F45" s="107" t="s">
        <v>169</v>
      </c>
      <c r="G45" s="109"/>
      <c r="H45" s="110"/>
      <c r="I45" s="110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>
        <v>1</v>
      </c>
      <c r="C46" s="110"/>
      <c r="D46" s="132" t="s">
        <v>170</v>
      </c>
      <c r="E46" s="132" t="s">
        <v>171</v>
      </c>
      <c r="F46" s="97" t="s">
        <v>172</v>
      </c>
      <c r="G46" s="109">
        <v>1</v>
      </c>
      <c r="H46" s="109"/>
      <c r="I46" s="109"/>
      <c r="J46" s="109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>
        <v>1</v>
      </c>
      <c r="C47" s="110"/>
      <c r="D47" s="132" t="s">
        <v>173</v>
      </c>
      <c r="E47" s="132" t="s">
        <v>174</v>
      </c>
      <c r="F47" s="107" t="s">
        <v>175</v>
      </c>
      <c r="G47" s="109">
        <v>1</v>
      </c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 t="s">
        <v>176</v>
      </c>
      <c r="E48" s="132" t="s">
        <v>109</v>
      </c>
      <c r="F48" s="107" t="s">
        <v>177</v>
      </c>
      <c r="G48" s="109"/>
      <c r="H48" s="110"/>
      <c r="I48" s="110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>
        <v>1</v>
      </c>
      <c r="C49" s="110">
        <v>1</v>
      </c>
      <c r="D49" s="133" t="s">
        <v>178</v>
      </c>
      <c r="E49" s="133" t="s">
        <v>165</v>
      </c>
      <c r="F49" s="107" t="s">
        <v>179</v>
      </c>
      <c r="G49" s="109">
        <v>1</v>
      </c>
      <c r="H49" s="109"/>
      <c r="I49" s="109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>
        <v>1</v>
      </c>
      <c r="C50" s="110"/>
      <c r="D50" s="132" t="s">
        <v>180</v>
      </c>
      <c r="E50" s="132" t="s">
        <v>109</v>
      </c>
      <c r="F50" s="107" t="s">
        <v>181</v>
      </c>
      <c r="G50" s="110">
        <v>1</v>
      </c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>
        <v>1</v>
      </c>
      <c r="C51" s="110">
        <v>1</v>
      </c>
      <c r="D51" s="132" t="s">
        <v>182</v>
      </c>
      <c r="E51" s="132" t="s">
        <v>183</v>
      </c>
      <c r="F51" s="97" t="s">
        <v>184</v>
      </c>
      <c r="G51" s="110">
        <v>1</v>
      </c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 t="s">
        <v>185</v>
      </c>
      <c r="E52" s="132" t="s">
        <v>186</v>
      </c>
      <c r="F52" s="97" t="s">
        <v>187</v>
      </c>
      <c r="G52" s="109"/>
      <c r="H52" s="110"/>
      <c r="I52" s="110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 t="s">
        <v>188</v>
      </c>
      <c r="E53" s="132" t="s">
        <v>189</v>
      </c>
      <c r="F53" s="107" t="s">
        <v>190</v>
      </c>
      <c r="G53" s="109"/>
      <c r="H53" s="109"/>
      <c r="I53" s="109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 t="s">
        <v>191</v>
      </c>
      <c r="E54" s="132" t="s">
        <v>189</v>
      </c>
      <c r="F54" s="97" t="s">
        <v>192</v>
      </c>
      <c r="G54" s="109"/>
      <c r="H54" s="110"/>
      <c r="I54" s="110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 t="s">
        <v>193</v>
      </c>
      <c r="E55" s="132" t="s">
        <v>158</v>
      </c>
      <c r="F55" s="107" t="s">
        <v>194</v>
      </c>
      <c r="G55" s="109"/>
      <c r="H55" s="109"/>
      <c r="I55" s="109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10"/>
      <c r="D56" s="132" t="s">
        <v>195</v>
      </c>
      <c r="E56" s="132" t="s">
        <v>109</v>
      </c>
      <c r="F56" s="97" t="s">
        <v>196</v>
      </c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09"/>
      <c r="D57" s="132" t="s">
        <v>197</v>
      </c>
      <c r="E57" s="132" t="s">
        <v>109</v>
      </c>
      <c r="F57" s="107"/>
      <c r="G57" s="109"/>
      <c r="H57" s="110"/>
      <c r="I57" s="110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>
        <v>1</v>
      </c>
      <c r="C58" s="110"/>
      <c r="D58" s="132" t="s">
        <v>198</v>
      </c>
      <c r="E58" s="132" t="s">
        <v>109</v>
      </c>
      <c r="F58" s="107" t="s">
        <v>199</v>
      </c>
      <c r="G58" s="109">
        <v>1</v>
      </c>
      <c r="H58" s="109"/>
      <c r="I58" s="109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>
        <v>1</v>
      </c>
      <c r="C59" s="110"/>
      <c r="D59" s="132" t="s">
        <v>200</v>
      </c>
      <c r="E59" s="132" t="s">
        <v>109</v>
      </c>
      <c r="F59" s="107" t="s">
        <v>201</v>
      </c>
      <c r="G59" s="109">
        <v>1</v>
      </c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 t="s">
        <v>202</v>
      </c>
      <c r="E60" s="132" t="s">
        <v>109</v>
      </c>
      <c r="F60" s="97" t="s">
        <v>203</v>
      </c>
      <c r="G60" s="109"/>
      <c r="H60" s="110"/>
      <c r="I60" s="110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 t="s">
        <v>204</v>
      </c>
      <c r="E61" s="132" t="s">
        <v>205</v>
      </c>
      <c r="F61" s="107" t="s">
        <v>206</v>
      </c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 t="s">
        <v>207</v>
      </c>
      <c r="E62" s="132" t="s">
        <v>208</v>
      </c>
      <c r="F62" s="107" t="s">
        <v>209</v>
      </c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 t="s">
        <v>210</v>
      </c>
      <c r="E63" s="132" t="s">
        <v>211</v>
      </c>
      <c r="F63" s="136" t="s">
        <v>212</v>
      </c>
      <c r="G63" s="109"/>
      <c r="H63" s="109"/>
      <c r="I63" s="109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 t="s">
        <v>213</v>
      </c>
      <c r="E64" s="132" t="s">
        <v>109</v>
      </c>
      <c r="F64" s="107" t="s">
        <v>214</v>
      </c>
      <c r="G64" s="109"/>
      <c r="H64" s="110"/>
      <c r="I64" s="110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 t="s">
        <v>215</v>
      </c>
      <c r="E65" s="132" t="s">
        <v>165</v>
      </c>
      <c r="F65" s="107" t="s">
        <v>216</v>
      </c>
      <c r="G65" s="109"/>
      <c r="H65" s="109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xmlns:xlrd2="http://schemas.microsoft.com/office/spreadsheetml/2017/richdata2" ref="B12:J65"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Navigation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SortAlpha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tabSelected="1" workbookViewId="0">
      <selection sqref="A1:B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7" t="s">
        <v>70</v>
      </c>
      <c r="B1" s="137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38" t="s">
        <v>77</v>
      </c>
      <c r="D3" s="138"/>
      <c r="E3" s="138"/>
    </row>
    <row r="4" spans="1:8" x14ac:dyDescent="0.25">
      <c r="A4" s="15"/>
      <c r="B4" s="127" t="s">
        <v>58</v>
      </c>
      <c r="C4" s="139" t="s">
        <v>78</v>
      </c>
      <c r="D4" s="139"/>
      <c r="E4" s="139"/>
    </row>
    <row r="5" spans="1:8" x14ac:dyDescent="0.25">
      <c r="A5" s="15"/>
      <c r="B5" s="127" t="s">
        <v>59</v>
      </c>
      <c r="C5" s="139" t="s">
        <v>79</v>
      </c>
      <c r="D5" s="139"/>
      <c r="E5" s="15"/>
    </row>
    <row r="6" spans="1:8" x14ac:dyDescent="0.25">
      <c r="A6" s="15"/>
      <c r="B6" s="127" t="s">
        <v>60</v>
      </c>
      <c r="C6" s="129">
        <v>46130</v>
      </c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 t="s">
        <v>80</v>
      </c>
      <c r="C11" s="132"/>
      <c r="D11" s="107" t="s">
        <v>81</v>
      </c>
      <c r="E11" s="109"/>
      <c r="F11" s="110"/>
      <c r="G11" s="110"/>
      <c r="H11" s="110"/>
    </row>
    <row r="12" spans="1:8" x14ac:dyDescent="0.25">
      <c r="A12" s="131"/>
      <c r="B12" s="132" t="s">
        <v>82</v>
      </c>
      <c r="C12" s="132" t="s">
        <v>83</v>
      </c>
      <c r="D12" s="107" t="s">
        <v>84</v>
      </c>
      <c r="E12" s="110"/>
      <c r="F12" s="110"/>
      <c r="G12" s="110"/>
      <c r="H12" s="110"/>
    </row>
    <row r="13" spans="1:8" x14ac:dyDescent="0.25">
      <c r="A13" s="131"/>
      <c r="B13" s="132" t="s">
        <v>85</v>
      </c>
      <c r="C13" s="132" t="s">
        <v>86</v>
      </c>
      <c r="D13" s="97" t="s">
        <v>87</v>
      </c>
      <c r="E13" s="109"/>
      <c r="F13" s="110"/>
      <c r="G13" s="110"/>
      <c r="H13" s="110"/>
    </row>
    <row r="14" spans="1:8" x14ac:dyDescent="0.25">
      <c r="A14" s="131"/>
      <c r="B14" s="132" t="s">
        <v>88</v>
      </c>
      <c r="C14" s="132" t="s">
        <v>89</v>
      </c>
      <c r="D14" s="97" t="s">
        <v>90</v>
      </c>
      <c r="E14" s="109"/>
      <c r="F14" s="109"/>
      <c r="G14" s="110"/>
      <c r="H14" s="110"/>
    </row>
    <row r="15" spans="1:8" x14ac:dyDescent="0.25">
      <c r="A15" s="131"/>
      <c r="B15" s="132" t="s">
        <v>91</v>
      </c>
      <c r="C15" s="132" t="s">
        <v>92</v>
      </c>
      <c r="D15" s="107" t="s">
        <v>93</v>
      </c>
      <c r="E15" s="109"/>
      <c r="F15" s="110"/>
      <c r="G15" s="110"/>
      <c r="H15" s="110"/>
    </row>
    <row r="16" spans="1:8" x14ac:dyDescent="0.25">
      <c r="A16" s="131"/>
      <c r="B16" s="132" t="s">
        <v>94</v>
      </c>
      <c r="C16" s="132" t="s">
        <v>95</v>
      </c>
      <c r="D16" s="107" t="s">
        <v>96</v>
      </c>
      <c r="E16" s="109"/>
      <c r="F16" s="110"/>
      <c r="G16" s="110"/>
      <c r="H16" s="110"/>
    </row>
    <row r="17" spans="1:8" x14ac:dyDescent="0.25">
      <c r="A17" s="131"/>
      <c r="B17" s="133" t="s">
        <v>97</v>
      </c>
      <c r="C17" s="133" t="s">
        <v>98</v>
      </c>
      <c r="D17" s="107" t="s">
        <v>99</v>
      </c>
      <c r="E17" s="109"/>
      <c r="F17" s="109"/>
      <c r="G17" s="110"/>
      <c r="H17" s="110"/>
    </row>
    <row r="18" spans="1:8" x14ac:dyDescent="0.25">
      <c r="A18" s="131"/>
      <c r="B18" s="132" t="s">
        <v>100</v>
      </c>
      <c r="C18" s="132" t="s">
        <v>101</v>
      </c>
      <c r="D18" s="107" t="s">
        <v>102</v>
      </c>
      <c r="E18" s="109"/>
      <c r="F18" s="110"/>
      <c r="G18" s="110"/>
      <c r="H18" s="110"/>
    </row>
    <row r="19" spans="1:8" x14ac:dyDescent="0.25">
      <c r="A19" s="131"/>
      <c r="B19" s="132" t="s">
        <v>103</v>
      </c>
      <c r="C19" s="132" t="s">
        <v>104</v>
      </c>
      <c r="D19" s="97" t="s">
        <v>105</v>
      </c>
      <c r="E19" s="109"/>
      <c r="F19" s="109"/>
      <c r="G19" s="110"/>
      <c r="H19" s="110"/>
    </row>
    <row r="20" spans="1:8" x14ac:dyDescent="0.25">
      <c r="A20" s="131"/>
      <c r="B20" s="132" t="s">
        <v>106</v>
      </c>
      <c r="C20" s="132" t="s">
        <v>101</v>
      </c>
      <c r="D20" s="107" t="s">
        <v>107</v>
      </c>
      <c r="E20" s="109"/>
      <c r="F20" s="109"/>
      <c r="G20" s="110"/>
      <c r="H20" s="110"/>
    </row>
    <row r="21" spans="1:8" x14ac:dyDescent="0.25">
      <c r="A21" s="131"/>
      <c r="B21" s="132" t="s">
        <v>108</v>
      </c>
      <c r="C21" s="132" t="s">
        <v>109</v>
      </c>
      <c r="D21" s="97" t="s">
        <v>110</v>
      </c>
      <c r="E21" s="109"/>
      <c r="F21" s="110"/>
      <c r="G21" s="110"/>
      <c r="H21" s="110"/>
    </row>
    <row r="22" spans="1:8" x14ac:dyDescent="0.25">
      <c r="A22" s="131"/>
      <c r="B22" s="132" t="s">
        <v>111</v>
      </c>
      <c r="C22" s="132" t="s">
        <v>112</v>
      </c>
      <c r="D22" s="107" t="s">
        <v>113</v>
      </c>
      <c r="E22" s="109"/>
      <c r="F22" s="110"/>
      <c r="G22" s="110"/>
      <c r="H22" s="110"/>
    </row>
    <row r="23" spans="1:8" x14ac:dyDescent="0.25">
      <c r="A23" s="131"/>
      <c r="B23" s="132" t="s">
        <v>114</v>
      </c>
      <c r="C23" s="132" t="s">
        <v>83</v>
      </c>
      <c r="D23" s="107" t="s">
        <v>115</v>
      </c>
      <c r="E23" s="109"/>
      <c r="F23" s="109"/>
      <c r="G23" s="110"/>
      <c r="H23" s="110"/>
    </row>
    <row r="24" spans="1:8" x14ac:dyDescent="0.25">
      <c r="A24" s="131"/>
      <c r="B24" s="132" t="s">
        <v>116</v>
      </c>
      <c r="C24" s="132" t="s">
        <v>101</v>
      </c>
      <c r="D24" s="107" t="s">
        <v>117</v>
      </c>
      <c r="E24" s="109"/>
      <c r="F24" s="110"/>
      <c r="G24" s="110"/>
      <c r="H24" s="110"/>
    </row>
    <row r="25" spans="1:8" x14ac:dyDescent="0.25">
      <c r="A25" s="131"/>
      <c r="B25" s="132" t="s">
        <v>118</v>
      </c>
      <c r="C25" s="132" t="s">
        <v>119</v>
      </c>
      <c r="D25" s="97" t="s">
        <v>120</v>
      </c>
      <c r="E25" s="109"/>
      <c r="F25" s="109"/>
      <c r="G25" s="110"/>
      <c r="H25" s="110"/>
    </row>
    <row r="26" spans="1:8" x14ac:dyDescent="0.25">
      <c r="A26" s="131"/>
      <c r="B26" s="132" t="s">
        <v>121</v>
      </c>
      <c r="C26" s="132" t="s">
        <v>109</v>
      </c>
      <c r="D26" s="107" t="s">
        <v>122</v>
      </c>
      <c r="E26" s="109"/>
      <c r="F26" s="109"/>
      <c r="G26" s="110"/>
      <c r="H26" s="110"/>
    </row>
    <row r="27" spans="1:8" x14ac:dyDescent="0.25">
      <c r="A27" s="131"/>
      <c r="B27" s="132" t="s">
        <v>123</v>
      </c>
      <c r="C27" s="132" t="s">
        <v>124</v>
      </c>
      <c r="D27" s="107" t="s">
        <v>125</v>
      </c>
      <c r="E27" s="109"/>
      <c r="F27" s="109"/>
      <c r="G27" s="110"/>
      <c r="H27" s="110"/>
    </row>
    <row r="28" spans="1:8" x14ac:dyDescent="0.25">
      <c r="A28" s="131"/>
      <c r="B28" s="132" t="s">
        <v>126</v>
      </c>
      <c r="C28" s="132" t="s">
        <v>127</v>
      </c>
      <c r="D28" s="107" t="s">
        <v>128</v>
      </c>
      <c r="E28" s="109"/>
      <c r="F28" s="109"/>
      <c r="G28" s="110"/>
      <c r="H28" s="110"/>
    </row>
    <row r="29" spans="1:8" x14ac:dyDescent="0.25">
      <c r="A29" s="131"/>
      <c r="B29" s="132" t="s">
        <v>129</v>
      </c>
      <c r="C29" s="132" t="s">
        <v>130</v>
      </c>
      <c r="D29" s="97" t="s">
        <v>131</v>
      </c>
      <c r="E29" s="109"/>
      <c r="F29" s="109"/>
      <c r="G29" s="110"/>
      <c r="H29" s="110"/>
    </row>
    <row r="30" spans="1:8" x14ac:dyDescent="0.25">
      <c r="A30" s="131"/>
      <c r="B30" s="132" t="s">
        <v>132</v>
      </c>
      <c r="C30" s="132" t="s">
        <v>133</v>
      </c>
      <c r="D30" s="97" t="s">
        <v>134</v>
      </c>
      <c r="E30" s="109"/>
      <c r="F30" s="110"/>
      <c r="G30" s="110"/>
      <c r="H30" s="110"/>
    </row>
    <row r="31" spans="1:8" x14ac:dyDescent="0.25">
      <c r="A31" s="131"/>
      <c r="B31" s="132" t="s">
        <v>135</v>
      </c>
      <c r="C31" s="132" t="s">
        <v>136</v>
      </c>
      <c r="D31" s="107" t="s">
        <v>137</v>
      </c>
      <c r="E31" s="109"/>
      <c r="F31" s="109"/>
      <c r="G31" s="110"/>
      <c r="H31" s="110"/>
    </row>
    <row r="32" spans="1:8" x14ac:dyDescent="0.25">
      <c r="A32" s="131"/>
      <c r="B32" s="132" t="s">
        <v>138</v>
      </c>
      <c r="C32" s="132" t="s">
        <v>133</v>
      </c>
      <c r="D32" s="97" t="s">
        <v>139</v>
      </c>
      <c r="E32" s="109"/>
      <c r="F32" s="109"/>
      <c r="G32" s="110"/>
      <c r="H32" s="110"/>
    </row>
    <row r="33" spans="1:8" x14ac:dyDescent="0.25">
      <c r="A33" s="131"/>
      <c r="B33" s="132" t="s">
        <v>140</v>
      </c>
      <c r="C33" s="132" t="s">
        <v>141</v>
      </c>
      <c r="D33" s="97" t="s">
        <v>142</v>
      </c>
      <c r="E33" s="109"/>
      <c r="F33" s="110"/>
      <c r="G33" s="110"/>
      <c r="H33" s="110"/>
    </row>
    <row r="34" spans="1:8" x14ac:dyDescent="0.25">
      <c r="A34" s="131"/>
      <c r="B34" s="132" t="s">
        <v>143</v>
      </c>
      <c r="C34" s="132" t="s">
        <v>144</v>
      </c>
      <c r="D34" s="107" t="s">
        <v>145</v>
      </c>
      <c r="E34" s="109"/>
      <c r="F34" s="109"/>
      <c r="G34" s="110"/>
      <c r="H34" s="110"/>
    </row>
    <row r="35" spans="1:8" x14ac:dyDescent="0.25">
      <c r="A35" s="131"/>
      <c r="B35" s="132" t="s">
        <v>146</v>
      </c>
      <c r="C35" s="132" t="s">
        <v>147</v>
      </c>
      <c r="D35" s="97" t="s">
        <v>148</v>
      </c>
      <c r="E35" s="109"/>
      <c r="F35" s="109"/>
      <c r="G35" s="110"/>
      <c r="H35" s="110"/>
    </row>
    <row r="36" spans="1:8" x14ac:dyDescent="0.25">
      <c r="A36" s="131"/>
      <c r="B36" s="132" t="s">
        <v>149</v>
      </c>
      <c r="C36" s="132" t="s">
        <v>150</v>
      </c>
      <c r="D36" s="107" t="s">
        <v>151</v>
      </c>
      <c r="E36" s="109"/>
      <c r="F36" s="109"/>
      <c r="G36" s="110"/>
      <c r="H36" s="110"/>
    </row>
    <row r="37" spans="1:8" x14ac:dyDescent="0.25">
      <c r="A37" s="131"/>
      <c r="B37" s="132" t="s">
        <v>152</v>
      </c>
      <c r="C37" s="132" t="s">
        <v>153</v>
      </c>
      <c r="D37" s="107" t="s">
        <v>154</v>
      </c>
      <c r="E37" s="109"/>
      <c r="F37" s="110"/>
      <c r="G37" s="110"/>
      <c r="H37" s="110"/>
    </row>
    <row r="38" spans="1:8" x14ac:dyDescent="0.25">
      <c r="A38" s="131"/>
      <c r="B38" s="132" t="s">
        <v>155</v>
      </c>
      <c r="C38" s="132" t="s">
        <v>109</v>
      </c>
      <c r="D38" s="107" t="s">
        <v>156</v>
      </c>
      <c r="E38" s="109"/>
      <c r="F38" s="110"/>
      <c r="G38" s="110"/>
      <c r="H38" s="110"/>
    </row>
    <row r="39" spans="1:8" x14ac:dyDescent="0.25">
      <c r="A39" s="131"/>
      <c r="B39" s="132" t="s">
        <v>157</v>
      </c>
      <c r="C39" s="132" t="s">
        <v>158</v>
      </c>
      <c r="D39" s="107" t="s">
        <v>159</v>
      </c>
      <c r="E39" s="109"/>
      <c r="F39" s="109"/>
      <c r="G39" s="110"/>
      <c r="H39" s="110"/>
    </row>
    <row r="40" spans="1:8" x14ac:dyDescent="0.25">
      <c r="A40" s="131"/>
      <c r="B40" s="132" t="s">
        <v>160</v>
      </c>
      <c r="C40" s="132" t="s">
        <v>109</v>
      </c>
      <c r="D40" s="107" t="s">
        <v>161</v>
      </c>
      <c r="E40" s="109"/>
      <c r="F40" s="110"/>
      <c r="G40" s="110"/>
      <c r="H40" s="110"/>
    </row>
    <row r="41" spans="1:8" x14ac:dyDescent="0.25">
      <c r="A41" s="131"/>
      <c r="B41" s="132" t="s">
        <v>162</v>
      </c>
      <c r="C41" s="132" t="s">
        <v>127</v>
      </c>
      <c r="D41" s="107" t="s">
        <v>163</v>
      </c>
      <c r="E41" s="109"/>
      <c r="F41" s="109"/>
      <c r="G41" s="110"/>
      <c r="H41" s="110"/>
    </row>
    <row r="42" spans="1:8" x14ac:dyDescent="0.25">
      <c r="A42" s="131"/>
      <c r="B42" s="132" t="s">
        <v>164</v>
      </c>
      <c r="C42" s="132" t="s">
        <v>165</v>
      </c>
      <c r="D42" s="107" t="s">
        <v>166</v>
      </c>
      <c r="E42" s="109"/>
      <c r="F42" s="110"/>
      <c r="G42" s="110"/>
      <c r="H42" s="110"/>
    </row>
    <row r="43" spans="1:8" x14ac:dyDescent="0.25">
      <c r="A43" s="131"/>
      <c r="B43" s="132" t="s">
        <v>167</v>
      </c>
      <c r="C43" s="132" t="s">
        <v>168</v>
      </c>
      <c r="D43" s="107" t="s">
        <v>169</v>
      </c>
      <c r="E43" s="109"/>
      <c r="F43" s="110"/>
      <c r="G43" s="110"/>
      <c r="H43" s="110"/>
    </row>
    <row r="44" spans="1:8" x14ac:dyDescent="0.25">
      <c r="A44" s="131"/>
      <c r="B44" s="132" t="s">
        <v>170</v>
      </c>
      <c r="C44" s="132" t="s">
        <v>171</v>
      </c>
      <c r="D44" s="107" t="s">
        <v>172</v>
      </c>
      <c r="E44" s="109"/>
      <c r="F44" s="110"/>
      <c r="G44" s="110"/>
      <c r="H44" s="110"/>
    </row>
    <row r="45" spans="1:8" x14ac:dyDescent="0.25">
      <c r="A45" s="131"/>
      <c r="B45" s="132" t="s">
        <v>173</v>
      </c>
      <c r="C45" s="132" t="s">
        <v>174</v>
      </c>
      <c r="D45" s="107" t="s">
        <v>175</v>
      </c>
      <c r="E45" s="109"/>
      <c r="F45" s="109"/>
      <c r="G45" s="110"/>
      <c r="H45" s="110"/>
    </row>
    <row r="46" spans="1:8" x14ac:dyDescent="0.25">
      <c r="A46" s="131"/>
      <c r="B46" s="132" t="s">
        <v>176</v>
      </c>
      <c r="C46" s="132" t="s">
        <v>109</v>
      </c>
      <c r="D46" s="107" t="s">
        <v>177</v>
      </c>
      <c r="E46" s="109"/>
      <c r="F46" s="110"/>
      <c r="G46" s="110"/>
      <c r="H46" s="110"/>
    </row>
    <row r="47" spans="1:8" x14ac:dyDescent="0.25">
      <c r="A47" s="131"/>
      <c r="B47" s="132" t="s">
        <v>178</v>
      </c>
      <c r="C47" s="132" t="s">
        <v>165</v>
      </c>
      <c r="D47" s="107" t="s">
        <v>179</v>
      </c>
      <c r="E47" s="109"/>
      <c r="F47" s="110"/>
      <c r="G47" s="110"/>
      <c r="H47" s="110"/>
    </row>
    <row r="48" spans="1:8" x14ac:dyDescent="0.25">
      <c r="A48" s="131"/>
      <c r="B48" s="132" t="s">
        <v>180</v>
      </c>
      <c r="C48" s="132" t="s">
        <v>109</v>
      </c>
      <c r="D48" s="107" t="s">
        <v>181</v>
      </c>
      <c r="E48" s="109"/>
      <c r="F48" s="109"/>
      <c r="G48" s="110"/>
      <c r="H48" s="110"/>
    </row>
    <row r="49" spans="1:8" x14ac:dyDescent="0.25">
      <c r="A49" s="131"/>
      <c r="B49" s="132" t="s">
        <v>182</v>
      </c>
      <c r="C49" s="132" t="s">
        <v>183</v>
      </c>
      <c r="D49" s="107" t="s">
        <v>184</v>
      </c>
      <c r="E49" s="109"/>
      <c r="F49" s="109"/>
      <c r="G49" s="110"/>
      <c r="H49" s="110"/>
    </row>
    <row r="50" spans="1:8" x14ac:dyDescent="0.25">
      <c r="A50" s="131"/>
      <c r="B50" s="132" t="s">
        <v>185</v>
      </c>
      <c r="C50" s="132" t="s">
        <v>186</v>
      </c>
      <c r="D50" s="107" t="s">
        <v>187</v>
      </c>
      <c r="E50" s="110"/>
      <c r="F50" s="110"/>
      <c r="G50" s="110"/>
      <c r="H50" s="110"/>
    </row>
    <row r="51" spans="1:8" x14ac:dyDescent="0.25">
      <c r="A51" s="131"/>
      <c r="B51" s="132" t="s">
        <v>188</v>
      </c>
      <c r="C51" s="132" t="s">
        <v>189</v>
      </c>
      <c r="D51" s="97" t="s">
        <v>190</v>
      </c>
      <c r="E51" s="109"/>
      <c r="F51" s="109"/>
      <c r="G51" s="110"/>
      <c r="H51" s="110"/>
    </row>
    <row r="52" spans="1:8" x14ac:dyDescent="0.25">
      <c r="A52" s="131"/>
      <c r="B52" s="132" t="s">
        <v>191</v>
      </c>
      <c r="C52" s="132" t="s">
        <v>189</v>
      </c>
      <c r="D52" s="97" t="s">
        <v>192</v>
      </c>
      <c r="E52" s="109"/>
      <c r="F52" s="109"/>
      <c r="G52" s="110"/>
      <c r="H52" s="110"/>
    </row>
    <row r="53" spans="1:8" x14ac:dyDescent="0.25">
      <c r="A53" s="131"/>
      <c r="B53" s="132" t="s">
        <v>193</v>
      </c>
      <c r="C53" s="132" t="s">
        <v>158</v>
      </c>
      <c r="D53" s="97" t="s">
        <v>194</v>
      </c>
      <c r="E53" s="109"/>
      <c r="F53" s="110"/>
      <c r="G53" s="110"/>
      <c r="H53" s="110"/>
    </row>
    <row r="54" spans="1:8" x14ac:dyDescent="0.25">
      <c r="A54" s="131"/>
      <c r="B54" s="132" t="s">
        <v>195</v>
      </c>
      <c r="C54" s="132" t="s">
        <v>109</v>
      </c>
      <c r="D54" s="107" t="s">
        <v>196</v>
      </c>
      <c r="E54" s="109"/>
      <c r="F54" s="109"/>
      <c r="G54" s="110"/>
      <c r="H54" s="110"/>
    </row>
    <row r="55" spans="1:8" x14ac:dyDescent="0.25">
      <c r="A55" s="131"/>
      <c r="B55" s="132" t="s">
        <v>197</v>
      </c>
      <c r="C55" s="132" t="s">
        <v>109</v>
      </c>
      <c r="D55" s="97"/>
      <c r="E55" s="109"/>
      <c r="F55" s="109"/>
      <c r="G55" s="110"/>
      <c r="H55" s="110"/>
    </row>
    <row r="56" spans="1:8" x14ac:dyDescent="0.25">
      <c r="A56" s="131"/>
      <c r="B56" s="132" t="s">
        <v>198</v>
      </c>
      <c r="C56" s="132" t="s">
        <v>109</v>
      </c>
      <c r="D56" s="107" t="s">
        <v>199</v>
      </c>
      <c r="E56" s="109"/>
      <c r="F56" s="110"/>
      <c r="G56" s="110"/>
      <c r="H56" s="110"/>
    </row>
    <row r="57" spans="1:8" x14ac:dyDescent="0.25">
      <c r="A57" s="131"/>
      <c r="B57" s="132" t="s">
        <v>200</v>
      </c>
      <c r="C57" s="132" t="s">
        <v>109</v>
      </c>
      <c r="D57" s="97" t="s">
        <v>201</v>
      </c>
      <c r="E57" s="110"/>
      <c r="F57" s="110"/>
      <c r="G57" s="110"/>
      <c r="H57" s="110"/>
    </row>
    <row r="58" spans="1:8" x14ac:dyDescent="0.25">
      <c r="A58" s="131"/>
      <c r="B58" s="132" t="s">
        <v>202</v>
      </c>
      <c r="C58" s="132" t="s">
        <v>109</v>
      </c>
      <c r="D58" s="97" t="s">
        <v>203</v>
      </c>
      <c r="E58" s="109"/>
      <c r="F58" s="109"/>
      <c r="G58" s="110"/>
      <c r="H58" s="110"/>
    </row>
    <row r="59" spans="1:8" x14ac:dyDescent="0.25">
      <c r="A59" s="131"/>
      <c r="B59" s="132" t="s">
        <v>204</v>
      </c>
      <c r="C59" s="132" t="s">
        <v>205</v>
      </c>
      <c r="D59" s="107" t="s">
        <v>206</v>
      </c>
      <c r="E59" s="109"/>
      <c r="F59" s="109"/>
      <c r="G59" s="110"/>
      <c r="H59" s="110"/>
    </row>
    <row r="60" spans="1:8" x14ac:dyDescent="0.25">
      <c r="A60" s="131"/>
      <c r="B60" s="132" t="s">
        <v>207</v>
      </c>
      <c r="C60" s="132" t="s">
        <v>208</v>
      </c>
      <c r="D60" s="134" t="s">
        <v>209</v>
      </c>
      <c r="E60" s="109"/>
      <c r="F60" s="110"/>
      <c r="G60" s="110"/>
      <c r="H60" s="110"/>
    </row>
    <row r="61" spans="1:8" x14ac:dyDescent="0.25">
      <c r="A61" s="131"/>
      <c r="B61" s="132" t="s">
        <v>210</v>
      </c>
      <c r="C61" s="132" t="s">
        <v>211</v>
      </c>
      <c r="D61" s="107" t="s">
        <v>212</v>
      </c>
      <c r="E61" s="110"/>
      <c r="F61" s="110"/>
      <c r="G61" s="110"/>
      <c r="H61" s="110"/>
    </row>
    <row r="62" spans="1:8" x14ac:dyDescent="0.25">
      <c r="A62" s="131"/>
      <c r="B62" s="132" t="s">
        <v>213</v>
      </c>
      <c r="C62" s="132" t="s">
        <v>109</v>
      </c>
      <c r="D62" s="107" t="s">
        <v>214</v>
      </c>
      <c r="E62" s="109"/>
      <c r="F62" s="110"/>
      <c r="G62" s="110"/>
      <c r="H62" s="110"/>
    </row>
    <row r="63" spans="1:8" x14ac:dyDescent="0.25">
      <c r="A63" s="131"/>
      <c r="B63" s="132" t="s">
        <v>215</v>
      </c>
      <c r="C63" s="132" t="s">
        <v>165</v>
      </c>
      <c r="D63" s="97" t="s">
        <v>216</v>
      </c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7" t="s">
        <v>53</v>
      </c>
      <c r="B1" s="147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3" t="s">
        <v>77</v>
      </c>
      <c r="D3" s="143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3" t="s">
        <v>78</v>
      </c>
      <c r="D4" s="143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3" t="s">
        <v>79</v>
      </c>
      <c r="D5" s="143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>
        <v>46130</v>
      </c>
      <c r="D6" s="17"/>
      <c r="E6" s="17"/>
      <c r="G6" s="2"/>
      <c r="H6"/>
      <c r="I6" s="148" t="s">
        <v>76</v>
      </c>
      <c r="J6" s="148"/>
      <c r="K6" s="148"/>
      <c r="L6" s="148"/>
      <c r="M6" s="148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7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 t="s">
        <v>85</v>
      </c>
      <c r="C10" s="107" t="s">
        <v>86</v>
      </c>
      <c r="D10" s="108" t="s">
        <v>87</v>
      </c>
      <c r="E10" s="57">
        <v>21</v>
      </c>
      <c r="F10" s="57">
        <v>6</v>
      </c>
      <c r="G10" s="57">
        <v>53</v>
      </c>
      <c r="H10" s="57"/>
      <c r="I10" s="57"/>
      <c r="J10" s="57"/>
      <c r="K10" s="57"/>
      <c r="L10" s="57"/>
      <c r="M10" s="109">
        <v>1</v>
      </c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 t="s">
        <v>135</v>
      </c>
      <c r="C11" s="107" t="s">
        <v>136</v>
      </c>
      <c r="D11" s="108" t="s">
        <v>137</v>
      </c>
      <c r="E11" s="57">
        <v>17</v>
      </c>
      <c r="F11" s="57">
        <v>7</v>
      </c>
      <c r="G11" s="57">
        <v>158</v>
      </c>
      <c r="H11" s="57"/>
      <c r="I11" s="57"/>
      <c r="J11" s="57"/>
      <c r="K11" s="57"/>
      <c r="L11" s="57"/>
      <c r="M11" s="109">
        <v>1</v>
      </c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 t="s">
        <v>182</v>
      </c>
      <c r="C12" s="97" t="s">
        <v>183</v>
      </c>
      <c r="D12" s="98" t="s">
        <v>184</v>
      </c>
      <c r="E12" s="57">
        <v>13</v>
      </c>
      <c r="F12" s="57">
        <v>6</v>
      </c>
      <c r="G12" s="57">
        <v>114</v>
      </c>
      <c r="H12" s="57"/>
      <c r="I12" s="57"/>
      <c r="J12" s="57"/>
      <c r="K12" s="57"/>
      <c r="L12" s="57"/>
      <c r="M12" s="109">
        <v>1</v>
      </c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 t="s">
        <v>178</v>
      </c>
      <c r="C13" s="107" t="s">
        <v>165</v>
      </c>
      <c r="D13" s="108" t="s">
        <v>179</v>
      </c>
      <c r="E13" s="57">
        <v>13</v>
      </c>
      <c r="F13" s="57">
        <v>6</v>
      </c>
      <c r="G13" s="57">
        <v>52</v>
      </c>
      <c r="H13" s="57"/>
      <c r="I13" s="57"/>
      <c r="J13" s="57"/>
      <c r="K13" s="57"/>
      <c r="L13" s="57"/>
      <c r="M13" s="109">
        <v>1</v>
      </c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 t="s">
        <v>111</v>
      </c>
      <c r="C14" s="107" t="s">
        <v>112</v>
      </c>
      <c r="D14" s="108" t="s">
        <v>113</v>
      </c>
      <c r="E14" s="57">
        <v>12</v>
      </c>
      <c r="F14" s="57">
        <v>6</v>
      </c>
      <c r="G14" s="57">
        <v>57</v>
      </c>
      <c r="H14" s="57"/>
      <c r="I14" s="57"/>
      <c r="J14" s="57"/>
      <c r="K14" s="57"/>
      <c r="L14" s="57"/>
      <c r="M14" s="109">
        <v>1</v>
      </c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 t="s">
        <v>116</v>
      </c>
      <c r="C15" s="107" t="s">
        <v>101</v>
      </c>
      <c r="D15" s="108" t="s">
        <v>117</v>
      </c>
      <c r="E15" s="57">
        <v>12</v>
      </c>
      <c r="F15" s="57">
        <v>6</v>
      </c>
      <c r="G15" s="57">
        <v>7</v>
      </c>
      <c r="H15" s="57"/>
      <c r="I15" s="57"/>
      <c r="J15" s="57"/>
      <c r="K15" s="57"/>
      <c r="L15" s="57"/>
      <c r="M15" s="110">
        <v>1</v>
      </c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 t="s">
        <v>149</v>
      </c>
      <c r="C16" s="107" t="s">
        <v>150</v>
      </c>
      <c r="D16" s="108" t="s">
        <v>151</v>
      </c>
      <c r="E16" s="57">
        <v>12</v>
      </c>
      <c r="F16" s="57">
        <v>5</v>
      </c>
      <c r="G16" s="57">
        <v>54</v>
      </c>
      <c r="H16" s="57"/>
      <c r="I16" s="57"/>
      <c r="J16" s="57"/>
      <c r="K16" s="57"/>
      <c r="L16" s="57"/>
      <c r="M16" s="109">
        <v>1</v>
      </c>
      <c r="N16" s="109"/>
      <c r="O16" s="109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 t="s">
        <v>219</v>
      </c>
      <c r="C1" s="93"/>
      <c r="G1" s="2"/>
    </row>
    <row r="2" spans="1:18" x14ac:dyDescent="0.35">
      <c r="A2" s="87">
        <v>10</v>
      </c>
      <c r="B2" s="46" t="s">
        <v>8</v>
      </c>
      <c r="C2" s="48" t="s">
        <v>7</v>
      </c>
      <c r="D2" s="49">
        <v>24</v>
      </c>
      <c r="H2" s="88"/>
    </row>
    <row r="3" spans="1:18" x14ac:dyDescent="0.35">
      <c r="C3" s="48" t="s">
        <v>15</v>
      </c>
      <c r="D3" s="49">
        <v>7</v>
      </c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>
        <f>IF(FCRPool1Firstname&lt;&gt;"",1,"")</f>
        <v>1</v>
      </c>
      <c r="B6" s="77" t="s">
        <v>85</v>
      </c>
      <c r="C6" s="77" t="s">
        <v>86</v>
      </c>
      <c r="D6" s="78" t="s">
        <v>87</v>
      </c>
      <c r="E6" s="79">
        <v>34</v>
      </c>
    </row>
    <row r="7" spans="1:18" x14ac:dyDescent="0.35">
      <c r="A7" s="51">
        <f>IF(A6&lt;&gt;"",A6+1,"")</f>
        <v>2</v>
      </c>
      <c r="B7" s="77" t="s">
        <v>135</v>
      </c>
      <c r="C7" s="77" t="s">
        <v>136</v>
      </c>
      <c r="D7" s="78" t="s">
        <v>137</v>
      </c>
      <c r="E7" s="79">
        <v>34</v>
      </c>
    </row>
    <row r="8" spans="1:18" x14ac:dyDescent="0.35">
      <c r="A8" s="51">
        <f t="shared" ref="A8:A30" si="0">IF(A7&lt;&gt;"",A7+1,"")</f>
        <v>3</v>
      </c>
      <c r="B8" s="77" t="s">
        <v>182</v>
      </c>
      <c r="C8" s="77" t="s">
        <v>183</v>
      </c>
      <c r="D8" s="78" t="s">
        <v>184</v>
      </c>
      <c r="E8" s="79">
        <v>34</v>
      </c>
    </row>
    <row r="9" spans="1:18" x14ac:dyDescent="0.35">
      <c r="A9" s="51">
        <f t="shared" si="0"/>
        <v>4</v>
      </c>
      <c r="B9" s="77" t="s">
        <v>178</v>
      </c>
      <c r="C9" s="77" t="s">
        <v>165</v>
      </c>
      <c r="D9" s="78" t="s">
        <v>179</v>
      </c>
      <c r="E9" s="79">
        <v>34</v>
      </c>
    </row>
    <row r="10" spans="1:18" x14ac:dyDescent="0.35">
      <c r="A10" s="51">
        <f t="shared" si="0"/>
        <v>5</v>
      </c>
      <c r="B10" s="77" t="s">
        <v>111</v>
      </c>
      <c r="C10" s="77" t="s">
        <v>112</v>
      </c>
      <c r="D10" s="78" t="s">
        <v>113</v>
      </c>
      <c r="E10" s="79">
        <v>34</v>
      </c>
    </row>
    <row r="11" spans="1:18" x14ac:dyDescent="0.35">
      <c r="A11" s="51">
        <f t="shared" si="0"/>
        <v>6</v>
      </c>
      <c r="B11" s="77" t="s">
        <v>116</v>
      </c>
      <c r="C11" s="77" t="s">
        <v>101</v>
      </c>
      <c r="D11" s="78" t="s">
        <v>117</v>
      </c>
      <c r="E11" s="79">
        <v>34</v>
      </c>
      <c r="Q11" s="88"/>
      <c r="R11" s="88"/>
    </row>
    <row r="12" spans="1:18" x14ac:dyDescent="0.35">
      <c r="A12" s="51">
        <f t="shared" si="0"/>
        <v>7</v>
      </c>
      <c r="B12" s="77" t="s">
        <v>149</v>
      </c>
      <c r="C12" s="77" t="s">
        <v>150</v>
      </c>
      <c r="D12" s="78" t="s">
        <v>151</v>
      </c>
      <c r="E12" s="79">
        <v>34</v>
      </c>
      <c r="Q12" s="88"/>
    </row>
    <row r="13" spans="1:18" x14ac:dyDescent="0.35">
      <c r="A13" s="51">
        <f t="shared" si="0"/>
        <v>8</v>
      </c>
      <c r="B13" s="80"/>
      <c r="C13" s="80"/>
      <c r="D13" s="81"/>
      <c r="E13" s="82"/>
    </row>
    <row r="14" spans="1:18" x14ac:dyDescent="0.35">
      <c r="A14" s="51">
        <f t="shared" si="0"/>
        <v>9</v>
      </c>
      <c r="B14" s="77"/>
      <c r="C14" s="77"/>
      <c r="D14" s="78"/>
      <c r="E14" s="79"/>
      <c r="Q14" s="88"/>
      <c r="R14" s="88"/>
    </row>
    <row r="15" spans="1:18" x14ac:dyDescent="0.35">
      <c r="A15" s="51">
        <f t="shared" si="0"/>
        <v>10</v>
      </c>
      <c r="B15" s="80"/>
      <c r="C15" s="80"/>
      <c r="D15" s="81"/>
      <c r="E15" s="82"/>
      <c r="Q15" s="88"/>
      <c r="R15" s="88"/>
    </row>
    <row r="16" spans="1:18" x14ac:dyDescent="0.35">
      <c r="A16" s="51">
        <f t="shared" si="0"/>
        <v>11</v>
      </c>
      <c r="B16" s="83"/>
      <c r="C16" s="83"/>
      <c r="D16" s="84"/>
      <c r="E16" s="84"/>
      <c r="Q16" s="88"/>
      <c r="R16" s="88"/>
    </row>
    <row r="17" spans="1:19" x14ac:dyDescent="0.35">
      <c r="A17" s="51">
        <f t="shared" si="0"/>
        <v>12</v>
      </c>
      <c r="B17" s="85"/>
      <c r="C17" s="85"/>
      <c r="D17" s="86"/>
      <c r="E17" s="86"/>
      <c r="Q17" s="88"/>
      <c r="R17" s="88"/>
    </row>
    <row r="18" spans="1:19" x14ac:dyDescent="0.35">
      <c r="A18" s="51">
        <f t="shared" si="0"/>
        <v>13</v>
      </c>
      <c r="B18" s="85"/>
      <c r="C18" s="85"/>
      <c r="D18" s="86"/>
      <c r="E18" s="86"/>
    </row>
    <row r="19" spans="1:19" x14ac:dyDescent="0.35">
      <c r="A19" s="51">
        <f t="shared" si="0"/>
        <v>14</v>
      </c>
      <c r="B19" s="85"/>
      <c r="C19" s="85"/>
      <c r="D19" s="86"/>
      <c r="E19" s="86"/>
    </row>
    <row r="20" spans="1:19" x14ac:dyDescent="0.35">
      <c r="A20" s="51">
        <f t="shared" si="0"/>
        <v>15</v>
      </c>
      <c r="B20" s="85"/>
      <c r="C20" s="85"/>
      <c r="D20" s="86"/>
      <c r="E20" s="86"/>
    </row>
    <row r="21" spans="1:19" x14ac:dyDescent="0.35">
      <c r="A21" s="51">
        <f t="shared" si="0"/>
        <v>16</v>
      </c>
      <c r="B21" s="85"/>
      <c r="C21" s="85"/>
      <c r="D21" s="86"/>
      <c r="E21" s="86"/>
      <c r="Q21" s="88"/>
    </row>
    <row r="22" spans="1:19" x14ac:dyDescent="0.35">
      <c r="A22" s="51">
        <f t="shared" si="0"/>
        <v>17</v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>
        <f t="shared" si="0"/>
        <v>18</v>
      </c>
      <c r="B23" s="85"/>
      <c r="C23" s="85"/>
      <c r="D23" s="86"/>
      <c r="E23" s="86"/>
      <c r="Q23" s="88"/>
      <c r="R23" s="88"/>
    </row>
    <row r="24" spans="1:19" x14ac:dyDescent="0.35">
      <c r="A24" s="51">
        <f t="shared" si="0"/>
        <v>19</v>
      </c>
      <c r="B24" s="85"/>
      <c r="C24" s="85"/>
      <c r="D24" s="86"/>
      <c r="E24" s="86"/>
    </row>
    <row r="25" spans="1:19" x14ac:dyDescent="0.35">
      <c r="A25" s="51">
        <f t="shared" si="0"/>
        <v>20</v>
      </c>
      <c r="B25" s="85"/>
      <c r="C25" s="85"/>
      <c r="D25" s="86"/>
      <c r="E25" s="86"/>
    </row>
    <row r="26" spans="1:19" x14ac:dyDescent="0.35">
      <c r="A26" s="51">
        <f t="shared" si="0"/>
        <v>21</v>
      </c>
      <c r="B26" s="85"/>
      <c r="C26" s="85"/>
      <c r="D26" s="86"/>
      <c r="E26" s="86"/>
    </row>
    <row r="27" spans="1:19" x14ac:dyDescent="0.35">
      <c r="A27" s="51">
        <f t="shared" si="0"/>
        <v>22</v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>
        <f t="shared" si="0"/>
        <v>23</v>
      </c>
      <c r="B28" s="85"/>
      <c r="C28" s="85"/>
      <c r="D28" s="86"/>
      <c r="E28" s="86"/>
    </row>
    <row r="29" spans="1:19" x14ac:dyDescent="0.35">
      <c r="A29" s="51">
        <f t="shared" si="0"/>
        <v>24</v>
      </c>
      <c r="B29" s="85"/>
      <c r="C29" s="85"/>
      <c r="D29" s="86"/>
      <c r="E29" s="86"/>
    </row>
    <row r="30" spans="1:19" x14ac:dyDescent="0.35">
      <c r="A30" s="51">
        <f t="shared" si="0"/>
        <v>25</v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9">
        <f>+Entries!A2</f>
        <v>0</v>
      </c>
      <c r="B3" s="149"/>
      <c r="C3" s="149"/>
      <c r="D3" s="93"/>
    </row>
    <row r="4" spans="1:6" x14ac:dyDescent="0.3">
      <c r="A4" s="150"/>
      <c r="B4" s="150"/>
      <c r="C4" s="38"/>
    </row>
    <row r="5" spans="1:6" x14ac:dyDescent="0.3">
      <c r="A5" s="151" t="e">
        <f>+#REF!</f>
        <v>#REF!</v>
      </c>
      <c r="B5" s="149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28</v>
      </c>
      <c r="B7" s="152" t="s">
        <v>34</v>
      </c>
      <c r="C7" s="152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7">
        <f>+Entries!A2</f>
        <v>0</v>
      </c>
      <c r="B3" s="137"/>
      <c r="C3" s="137"/>
      <c r="E3" s="38"/>
      <c r="F3" s="38"/>
      <c r="J3" s="149"/>
      <c r="K3" s="149"/>
      <c r="L3" s="149"/>
      <c r="M3" s="37"/>
      <c r="N3" s="38"/>
      <c r="O3" s="38"/>
    </row>
    <row r="4" spans="1:15" x14ac:dyDescent="0.3">
      <c r="A4" s="150"/>
      <c r="B4" s="150"/>
      <c r="J4" s="150"/>
      <c r="K4" s="150"/>
      <c r="L4" s="38"/>
      <c r="M4" s="37"/>
      <c r="N4" s="37"/>
      <c r="O4" s="37"/>
    </row>
    <row r="5" spans="1:15" x14ac:dyDescent="0.3">
      <c r="A5" s="151" t="e">
        <f>+#REF!</f>
        <v>#REF!</v>
      </c>
      <c r="B5" s="149"/>
      <c r="C5" s="39" t="s">
        <v>28</v>
      </c>
      <c r="J5" s="149"/>
      <c r="K5" s="149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28</v>
      </c>
      <c r="B7" s="152" t="s">
        <v>34</v>
      </c>
      <c r="C7" s="152"/>
      <c r="J7" s="44"/>
      <c r="K7" s="152"/>
      <c r="L7" s="152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3">
        <f>+Entries!A2</f>
        <v>0</v>
      </c>
      <c r="B3" s="153"/>
      <c r="C3" s="153"/>
    </row>
    <row r="4" spans="1:20" x14ac:dyDescent="0.25">
      <c r="A4" s="154"/>
      <c r="B4" s="154"/>
      <c r="C4" s="12"/>
    </row>
    <row r="5" spans="1:20" x14ac:dyDescent="0.25">
      <c r="A5" s="155"/>
      <c r="B5" s="153"/>
      <c r="C5" s="35"/>
    </row>
    <row r="6" spans="1:20" x14ac:dyDescent="0.25">
      <c r="A6" s="59"/>
      <c r="B6" s="35"/>
      <c r="C6" s="12"/>
    </row>
    <row r="7" spans="1:20" x14ac:dyDescent="0.25">
      <c r="A7" s="59"/>
      <c r="B7" s="156"/>
      <c r="C7" s="156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138</vt:i4>
      </vt:variant>
    </vt:vector>
  </HeadingPairs>
  <TitlesOfParts>
    <vt:vector size="149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FCRCheckInFirstName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2026-01-27T06:49:43Z</cp:lastPrinted>
  <dcterms:created xsi:type="dcterms:W3CDTF">2014-07-12T17:55:34Z</dcterms:created>
  <dcterms:modified xsi:type="dcterms:W3CDTF">2026-04-16T14:37:14Z</dcterms:modified>
</cp:coreProperties>
</file>