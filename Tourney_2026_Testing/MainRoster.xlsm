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FE6597A-13ED-45D0-B780-DDC55AB4E25B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R53" i="1"/>
  <c r="R52" i="1"/>
  <c r="R51" i="1"/>
  <c r="R47" i="1"/>
  <c r="Q44" i="1"/>
  <c r="R42" i="1"/>
  <c r="R41" i="1"/>
  <c r="Q40" i="1"/>
  <c r="Q39" i="1"/>
  <c r="Q36" i="1"/>
  <c r="Q26" i="1"/>
  <c r="R24" i="1"/>
  <c r="R21" i="1"/>
  <c r="R20" i="1"/>
  <c r="Q19" i="1"/>
  <c r="T10" i="1"/>
  <c r="M10" i="1"/>
  <c r="L10" i="1"/>
  <c r="K10" i="1"/>
  <c r="J10" i="1"/>
  <c r="I10" i="1"/>
  <c r="H10" i="1"/>
  <c r="G10" i="1"/>
  <c r="C10" i="1"/>
  <c r="B10" i="1"/>
  <c r="A7" i="9" s="1"/>
  <c r="S41" i="1" a="1"/>
  <c r="S42" i="1" a="1"/>
  <c r="S24" i="1" a="1"/>
  <c r="S27" i="1" a="1"/>
  <c r="S69" i="1" a="1"/>
  <c r="S66" i="1" a="1"/>
  <c r="S34" i="1" a="1"/>
  <c r="S49" i="1" a="1"/>
  <c r="S61" i="1" a="1"/>
  <c r="S12" i="1" a="1"/>
  <c r="S20" i="1" a="1"/>
  <c r="S63" i="1" a="1"/>
  <c r="S15" i="1" a="1"/>
  <c r="S28" i="1" a="1"/>
  <c r="S51" i="1" a="1"/>
  <c r="S46" i="1" a="1"/>
  <c r="S14" i="1" a="1"/>
  <c r="S37" i="1" a="1"/>
  <c r="S31" i="1" a="1"/>
  <c r="S18" i="1" a="1"/>
  <c r="S13" i="1" a="1"/>
  <c r="S38" i="1" a="1"/>
  <c r="S39" i="1" a="1"/>
  <c r="S60" i="1" a="1"/>
  <c r="S65" i="1" a="1"/>
  <c r="S58" i="1" a="1"/>
  <c r="S55" i="1" a="1"/>
  <c r="S17" i="1" a="1"/>
  <c r="S23" i="1" a="1"/>
  <c r="S35" i="1" a="1"/>
  <c r="S64" i="1" a="1"/>
  <c r="S48" i="1" a="1"/>
  <c r="S62" i="1" a="1"/>
  <c r="S45" i="1" a="1"/>
  <c r="S26" i="1" a="1"/>
  <c r="S25" i="1" a="1"/>
  <c r="S43" i="1" a="1"/>
  <c r="S36" i="1" a="1"/>
  <c r="S29" i="1" a="1"/>
  <c r="S16" i="1" a="1"/>
  <c r="S56" i="1" a="1"/>
  <c r="S21" i="1" a="1"/>
  <c r="S54" i="1" a="1"/>
  <c r="S32" i="1" a="1"/>
  <c r="S59" i="1" a="1"/>
  <c r="S53" i="1" a="1"/>
  <c r="S19" i="1" a="1"/>
  <c r="S68" i="1" a="1"/>
  <c r="S67" i="1" a="1"/>
  <c r="S57" i="1" a="1"/>
  <c r="S40" i="1" a="1"/>
  <c r="S71" i="1" a="1"/>
  <c r="S52" i="1" a="1"/>
  <c r="S44" i="1" a="1"/>
  <c r="S22" i="1" a="1"/>
  <c r="S50" i="1" a="1"/>
  <c r="S33" i="1" a="1"/>
  <c r="S70" i="1" a="1"/>
  <c r="S30" i="1" a="1"/>
  <c r="S47" i="1" a="1"/>
  <c r="S25" i="1" l="1"/>
  <c r="S53" i="1"/>
  <c r="Q53" i="1" s="1"/>
  <c r="S12" i="1"/>
  <c r="S47" i="1"/>
  <c r="Q47" i="1" s="1"/>
  <c r="S61" i="1"/>
  <c r="Q61" i="1" s="1"/>
  <c r="S45" i="1"/>
  <c r="S39" i="1"/>
  <c r="R39" i="1" s="1"/>
  <c r="S34" i="1"/>
  <c r="S17" i="1"/>
  <c r="S52" i="1"/>
  <c r="Q52" i="1" s="1"/>
  <c r="S32" i="1"/>
  <c r="S60" i="1"/>
  <c r="S40" i="1"/>
  <c r="R40" i="1" s="1"/>
  <c r="S13" i="1"/>
  <c r="S48" i="1"/>
  <c r="S62" i="1"/>
  <c r="Q62" i="1" s="1"/>
  <c r="S14" i="1"/>
  <c r="S42" i="1"/>
  <c r="Q42" i="1" s="1"/>
  <c r="S56" i="1"/>
  <c r="S29" i="1"/>
  <c r="S36" i="1"/>
  <c r="R36" i="1" s="1"/>
  <c r="S43" i="1"/>
  <c r="S50" i="1"/>
  <c r="S57" i="1"/>
  <c r="S64" i="1"/>
  <c r="Q64" i="1" s="1"/>
  <c r="S31" i="1"/>
  <c r="S46" i="1"/>
  <c r="S19" i="1"/>
  <c r="R19" i="1" s="1"/>
  <c r="S33" i="1"/>
  <c r="S54" i="1"/>
  <c r="S41" i="1"/>
  <c r="Q41" i="1" s="1"/>
  <c r="S35" i="1"/>
  <c r="S49" i="1"/>
  <c r="S22" i="1"/>
  <c r="S24" i="1"/>
  <c r="Q24" i="1" s="1"/>
  <c r="S59" i="1"/>
  <c r="S26" i="1"/>
  <c r="R26" i="1" s="1"/>
  <c r="S27" i="1"/>
  <c r="S55" i="1"/>
  <c r="S28" i="1"/>
  <c r="S63" i="1"/>
  <c r="Q63" i="1" s="1"/>
  <c r="S15" i="1"/>
  <c r="S38" i="1"/>
  <c r="S18" i="1"/>
  <c r="S20" i="1"/>
  <c r="Q20" i="1" s="1"/>
  <c r="S21" i="1"/>
  <c r="Q21" i="1" s="1"/>
  <c r="S16" i="1"/>
  <c r="S23" i="1"/>
  <c r="S30" i="1"/>
  <c r="S37" i="1"/>
  <c r="S44" i="1"/>
  <c r="R44" i="1" s="1"/>
  <c r="S51" i="1"/>
  <c r="Q51" i="1" s="1"/>
  <c r="S58" i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46" i="1" l="1"/>
  <c r="Q46" i="1"/>
  <c r="R31" i="1"/>
  <c r="Q31" i="1"/>
  <c r="R58" i="1"/>
  <c r="Q58" i="1"/>
  <c r="Q57" i="1"/>
  <c r="R57" i="1"/>
  <c r="R50" i="1"/>
  <c r="Q50" i="1"/>
  <c r="Q37" i="1"/>
  <c r="R37" i="1"/>
  <c r="Q43" i="1"/>
  <c r="R43" i="1"/>
  <c r="Q30" i="1"/>
  <c r="R30" i="1"/>
  <c r="Q23" i="1"/>
  <c r="R23" i="1"/>
  <c r="Q29" i="1"/>
  <c r="R29" i="1"/>
  <c r="R16" i="1"/>
  <c r="Q16" i="1"/>
  <c r="Q56" i="1"/>
  <c r="R56" i="1"/>
  <c r="R14" i="1"/>
  <c r="Q14" i="1"/>
  <c r="Q18" i="1"/>
  <c r="R18" i="1"/>
  <c r="R38" i="1"/>
  <c r="Q38" i="1"/>
  <c r="R48" i="1"/>
  <c r="Q48" i="1"/>
  <c r="R15" i="1"/>
  <c r="Q15" i="1"/>
  <c r="R13" i="1"/>
  <c r="Q13" i="1"/>
  <c r="Q28" i="1"/>
  <c r="R28" i="1"/>
  <c r="R60" i="1"/>
  <c r="Q60" i="1"/>
  <c r="Q55" i="1"/>
  <c r="R55" i="1"/>
  <c r="R32" i="1"/>
  <c r="Q32" i="1"/>
  <c r="Q27" i="1"/>
  <c r="R27" i="1"/>
  <c r="Q17" i="1"/>
  <c r="R17" i="1"/>
  <c r="R59" i="1"/>
  <c r="Q59" i="1"/>
  <c r="Q34" i="1"/>
  <c r="R34" i="1"/>
  <c r="R22" i="1"/>
  <c r="Q22" i="1"/>
  <c r="R45" i="1"/>
  <c r="Q45" i="1"/>
  <c r="R49" i="1"/>
  <c r="Q49" i="1"/>
  <c r="Q35" i="1"/>
  <c r="R35" i="1"/>
  <c r="Q12" i="1"/>
  <c r="R12" i="1"/>
  <c r="Q54" i="1"/>
  <c r="R54" i="1"/>
  <c r="R33" i="1"/>
  <c r="Q33" i="1"/>
  <c r="Q25" i="1"/>
  <c r="R25" i="1"/>
  <c r="S10" i="1"/>
  <c r="N65" i="1"/>
  <c r="N10" i="1" s="1"/>
  <c r="R10" i="1" l="1"/>
  <c r="Q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<sst xmlns="http://schemas.openxmlformats.org/spreadsheetml/2006/main" count="517" uniqueCount="239">
  <si>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</si>
  <si>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</si>
  <si>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</si>
  <si>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</si>
  <si>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</si>
  <si>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</si>
  <si>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</si>
  <si>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</si>
  <si>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</si>
  <si>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</si>
  <si>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</si>
  <si>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</si>
  <si>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</si>
  <si>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</si>
  <si>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</si>
  <si>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</si>
  <si>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</si>
  <si>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</si>
  <si>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</si>
  <si>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</si>
  <si>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</si>
  <si>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</si>
  <si>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</si>
  <si>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</si>
  <si>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</si>
  <si>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</si>
  <si>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</si>
  <si>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</si>
  <si>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</si>
  <si>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</si>
  <si>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</si>
  <si>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</si>
  <si>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</si>
  <si>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</si>
  <si>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</si>
  <si>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</si>
  <si>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</si>
  <si>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</si>
  <si>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</si>
  <si>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</si>
  <si>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</si>
  <si>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</si>
  <si>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</si>
  <si>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</si>
  <si>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</si>
  <si>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</si>
  <si>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</si>
  <si>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</si>
  <si>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</si>
  <si>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</si>
  <si>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</si>
  <si>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</si>
  <si>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</si>
  <si>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</si>
  <si>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</si>
  <si>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</si>
  <si>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</si>
  <si>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</si>
  <si>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</si>
  <si>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</si>
  <si>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</si>
  <si>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</si>
  <si>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</si>
  <si>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</si>
  <si>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</si>
  <si>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</si>
  <si>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</si>
  <si>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</si>
  <si>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</si>
  <si>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</si>
  <si>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</si>
  <si>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</si>
  <si>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</si>
  <si>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</si>
  <si>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</si>
  <si>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</si>
  <si>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</si>
  <si>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</si>
  <si>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</si>
  <si>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</si>
  <si>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</si>
  <si>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</si>
  <si>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</si>
  <si>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</si>
  <si>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</si>
  <si>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</si>
  <si>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</si>
  <si>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</si>
  <si>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</si>
  <si>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</si>
  <si>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</si>
  <si>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</si>
  <si>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</si>
  <si>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</si>
  <si>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</si>
  <si>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</si>
  <si>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</si>
  <si>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</si>
  <si>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</si>
  <si>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</si>
  <si>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</si>
  <si>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</si>
  <si>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</si>
  <si>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</si>
  <si>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</si>
  <si>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</si>
  <si>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</si>
  <si>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</si>
  <si>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</si>
  <si>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</si>
  <si>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</si>
  <si>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</si>
  <si>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</si>
  <si>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</si>
  <si>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</si>
  <si>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</si>
  <si>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</si>
  <si>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</si>
  <si>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</si>
  <si>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</si>
  <si>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</si>
  <si>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</si>
  <si>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</si>
  <si>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</si>
  <si>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</si>
  <si>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</si>
  <si>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</si>
  <si>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</si>
  <si>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</si>
  <si>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</si>
  <si>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</si>
  <si>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</si>
  <si>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</si>
  <si>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</si>
  <si>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</si>
  <si>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</si>
  <si>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</si>
  <si>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</si>
  <si>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</si>
  <si>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</si>
  <si>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</si>
  <si>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</si>
  <si>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</si>
  <si>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</si>
  <si>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</si>
  <si>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</si>
  <si>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</si>
  <si>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</si>
  <si>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</si>
  <si>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</si>
  <si>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</si>
  <si>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</si>
  <si>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</si>
  <si>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</si>
  <si>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</si>
  <si>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</si>
  <si>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</si>
  <si>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</si>
  <si>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</si>
  <si>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</si>
  <si>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</si>
  <si>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</si>
  <si>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</si>
  <si>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</si>
  <si>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</si>
  <si>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</si>
  <si>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</si>
  <si>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</si>
  <si>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</si>
  <si>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</si>
  <si>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</si>
  <si>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</si>
  <si>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</si>
  <si>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</si>
  <si>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</si>
  <si>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</si>
  <si>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</si>
  <si>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</si>
  <si>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</si>
  <si>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</si>
  <si>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</si>
  <si>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</si>
  <si>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</si>
  <si>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</si>
  <si>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</si>
  <si>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</si>
  <si>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</si>
  <si>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</si>
  <si>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</si>
  <si>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</si>
  <si>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</si>
  <si>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</si>
  <si>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</si>
  <si>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</si>
  <si>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</si>
  <si>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</si>
  <si>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</si>
  <si>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</si>
  <si>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</si>
  <si>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</si>
  <si>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</si>
  <si>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</si>
  <si>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</si>
  <si>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</si>
  <si>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</si>
  <si>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</si>
  <si>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</si>
  <si>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</si>
  <si>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</si>
  <si>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</si>
  <si>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</si>
  <si>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</si>
  <si>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</si>
  <si>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</si>
  <si>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</si>
  <si>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</si>
  <si>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</si>
  <si>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</si>
  <si>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</si>
  <si>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</si>
  <si>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</si>
  <si>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</si>
  <si>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</si>
  <si>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</si>
  <si>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</si>
  <si>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</si>
  <si>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</si>
  <si>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</si>
  <si>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</si>
  <si>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Laurence, Andrew</t>
  </si>
  <si>
    <t>Alameda, CA</t>
  </si>
  <si>
    <t>CA-2929</t>
  </si>
  <si>
    <t>Morris, Wayne</t>
  </si>
  <si>
    <t>CA-6409</t>
  </si>
  <si>
    <t>EQ Pool</t>
  </si>
  <si>
    <t>1:6 Graduated</t>
  </si>
  <si>
    <t>Napa Wine Country Open</t>
  </si>
  <si>
    <t>The Moose Lodge</t>
  </si>
  <si>
    <t>Napa, Ca 9458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</si>
</sst>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7" activePane="bottomLeft" state="frozen"/>
      <selection pane="bottomLeft" activeCell="D3" sqref="D3:E3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236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237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238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0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/>
      <c r="D12" s="145" t="s">
        <v>91</v>
      </c>
      <c r="E12" s="145"/>
      <c r="F12" s="111" t="s">
        <v>92</v>
      </c>
      <c r="G12" s="94"/>
      <c r="H12" s="105"/>
      <c r="I12" s="105"/>
      <c r="J12" s="105"/>
      <c r="K12" s="105"/>
      <c r="L12" s="166"/>
      <c r="M12" s="67">
        <v>1</v>
      </c>
      <c r="N12" s="108">
        <v>70</v>
      </c>
      <c r="O12" s="54" t="s">
        <v>223</v>
      </c>
      <c r="P12" s="7"/>
      <c r="Q12" s="144" t="str">
        <f t="shared" ref="Q12:Q43" si="1">IF(OR(O12="c",O12="C"),+S12,"")</f>
        <v/>
      </c>
      <c r="R12" s="115">
        <f t="shared" ref="R12:R43" si="2">IF(OR(O12="$",M12=1),+S12,"")</f>
        <v>70</v>
      </c>
      <c r="S12" s="54" cm="1">
        <f t="array" ref="S12">B12*MainEntryFee()+G12*MPool1Fee()+H12*MPool2Fee()+I12*MPool3Fee()+J12*MPool4Fee()</f>
        <v>70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/>
      <c r="D13" s="145" t="s">
        <v>93</v>
      </c>
      <c r="E13" s="145" t="s">
        <v>94</v>
      </c>
      <c r="F13" s="114" t="s">
        <v>95</v>
      </c>
      <c r="G13" s="94"/>
      <c r="H13" s="105"/>
      <c r="I13" s="105">
        <v>1</v>
      </c>
      <c r="J13" s="105"/>
      <c r="K13" s="105"/>
      <c r="L13" s="166"/>
      <c r="M13" s="67"/>
      <c r="N13" s="108">
        <v>0</v>
      </c>
      <c r="O13" s="54" t="s">
        <v>224</v>
      </c>
      <c r="P13" s="7">
        <v>930</v>
      </c>
      <c r="Q13" s="144">
        <f t="shared" si="1"/>
        <v>90</v>
      </c>
      <c r="R13" s="115" t="str">
        <f t="shared" si="2"/>
        <v/>
      </c>
      <c r="S13" s="54" cm="1">
        <f t="array" ref="S13">B13*MainEntryFee()+G13*MPool1Fee()+H13*MPool2Fee()+I13*MPool3Fee()+J13*MPool4Fee()</f>
        <v>90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/>
      <c r="D14" s="145" t="s">
        <v>96</v>
      </c>
      <c r="E14" s="145" t="s">
        <v>97</v>
      </c>
      <c r="F14" s="114" t="s">
        <v>98</v>
      </c>
      <c r="G14" s="106">
        <v>1</v>
      </c>
      <c r="H14" s="106"/>
      <c r="I14" s="106"/>
      <c r="J14" s="106"/>
      <c r="K14" s="106"/>
      <c r="L14" s="143"/>
      <c r="M14" s="108"/>
      <c r="N14" s="108">
        <v>0</v>
      </c>
      <c r="O14" s="54" t="s">
        <v>224</v>
      </c>
      <c r="P14" s="7">
        <v>398</v>
      </c>
      <c r="Q14" s="144">
        <f t="shared" si="1"/>
        <v>80</v>
      </c>
      <c r="R14" s="115" t="str">
        <f t="shared" si="2"/>
        <v/>
      </c>
      <c r="S14" s="54" cm="1">
        <f t="array" ref="S14">B14*MainEntryFee()+G14*MPool1Fee()+H14*MPool2Fee()+I14*MPool3Fee()+J14*MPool4Fee()</f>
        <v>80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/>
      <c r="D15" s="145" t="s">
        <v>99</v>
      </c>
      <c r="E15" s="145" t="s">
        <v>100</v>
      </c>
      <c r="F15" s="111" t="s">
        <v>101</v>
      </c>
      <c r="G15" s="94">
        <v>1</v>
      </c>
      <c r="H15" s="105">
        <v>1</v>
      </c>
      <c r="I15" s="105">
        <v>1</v>
      </c>
      <c r="J15" s="105">
        <v>1</v>
      </c>
      <c r="K15" s="105"/>
      <c r="L15" s="166"/>
      <c r="M15" s="167"/>
      <c r="N15" s="108">
        <v>0</v>
      </c>
      <c r="O15" s="54" t="s">
        <v>224</v>
      </c>
      <c r="P15" s="7">
        <v>1723</v>
      </c>
      <c r="Q15" s="144">
        <f t="shared" si="1"/>
        <v>160</v>
      </c>
      <c r="R15" s="115" t="str">
        <f t="shared" si="2"/>
        <v/>
      </c>
      <c r="S15" s="54" cm="1">
        <f t="array" ref="S15">B15*MainEntryFee()+G15*MPool1Fee()+H15*MPool2Fee()+I15*MPool3Fee()+J15*MPool4Fee()</f>
        <v>160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/>
      <c r="D16" s="145" t="s">
        <v>102</v>
      </c>
      <c r="E16" s="145" t="s">
        <v>103</v>
      </c>
      <c r="F16" s="111" t="s">
        <v>104</v>
      </c>
      <c r="G16" s="94">
        <v>1</v>
      </c>
      <c r="H16" s="105">
        <v>1</v>
      </c>
      <c r="I16" s="105">
        <v>1</v>
      </c>
      <c r="J16" s="105">
        <v>1</v>
      </c>
      <c r="K16" s="105">
        <v>1</v>
      </c>
      <c r="L16" s="143"/>
      <c r="M16" s="67"/>
      <c r="N16" s="108">
        <v>0</v>
      </c>
      <c r="O16" s="54" t="s">
        <v>224</v>
      </c>
      <c r="P16" s="7">
        <v>1587</v>
      </c>
      <c r="Q16" s="144">
        <f t="shared" si="1"/>
        <v>160</v>
      </c>
      <c r="R16" s="115" t="str">
        <f t="shared" si="2"/>
        <v/>
      </c>
      <c r="S16" s="54" cm="1">
        <f t="array" ref="S16">B16*MainEntryFee()+G16*MPool1Fee()+H16*MPool2Fee()+I16*MPool3Fee()+J16*MPool4Fee()</f>
        <v>160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/>
      <c r="D17" s="145" t="s">
        <v>105</v>
      </c>
      <c r="E17" s="145" t="s">
        <v>106</v>
      </c>
      <c r="F17" s="114" t="s">
        <v>107</v>
      </c>
      <c r="G17" s="106"/>
      <c r="H17" s="106"/>
      <c r="I17" s="106"/>
      <c r="J17" s="106"/>
      <c r="K17" s="106"/>
      <c r="L17" s="143"/>
      <c r="M17" s="108"/>
      <c r="N17" s="108">
        <v>0</v>
      </c>
      <c r="O17" s="54" t="s">
        <v>223</v>
      </c>
      <c r="P17" s="7" t="s">
        <v>225</v>
      </c>
      <c r="Q17" s="144" t="str">
        <f t="shared" si="1"/>
        <v/>
      </c>
      <c r="R17" s="115">
        <f t="shared" si="2"/>
        <v>70</v>
      </c>
      <c r="S17" s="54" cm="1">
        <f t="array" ref="S17">B17*MainEntryFee()+G17*MPool1Fee()+H17*MPool2Fee()+I17*MPool3Fee()+J17*MPool4Fee()</f>
        <v>70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/>
      <c r="D18" s="145" t="s">
        <v>108</v>
      </c>
      <c r="E18" s="145" t="s">
        <v>109</v>
      </c>
      <c r="F18" s="114" t="s">
        <v>110</v>
      </c>
      <c r="G18" s="106">
        <v>1</v>
      </c>
      <c r="H18" s="106"/>
      <c r="I18" s="106"/>
      <c r="J18" s="106"/>
      <c r="K18" s="106"/>
      <c r="L18" s="166"/>
      <c r="M18" s="108"/>
      <c r="N18" s="108">
        <v>0</v>
      </c>
      <c r="O18" s="54" t="s">
        <v>223</v>
      </c>
      <c r="P18" s="7" t="s">
        <v>226</v>
      </c>
      <c r="Q18" s="144" t="str">
        <f t="shared" si="1"/>
        <v/>
      </c>
      <c r="R18" s="115">
        <f t="shared" si="2"/>
        <v>80</v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/>
      <c r="D19" s="145" t="s">
        <v>111</v>
      </c>
      <c r="E19" s="145" t="s">
        <v>112</v>
      </c>
      <c r="F19" s="114" t="s">
        <v>113</v>
      </c>
      <c r="G19" s="94">
        <v>1</v>
      </c>
      <c r="H19" s="105"/>
      <c r="I19" s="105"/>
      <c r="J19" s="105"/>
      <c r="K19" s="105"/>
      <c r="L19" s="143"/>
      <c r="M19" s="67"/>
      <c r="N19" s="108">
        <v>0</v>
      </c>
      <c r="O19" s="54" t="s">
        <v>223</v>
      </c>
      <c r="P19" s="7" t="s">
        <v>225</v>
      </c>
      <c r="Q19" s="144" t="str">
        <f t="shared" si="1"/>
        <v/>
      </c>
      <c r="R19" s="115">
        <f t="shared" si="2"/>
        <v>80</v>
      </c>
      <c r="S19" s="54" cm="1">
        <f t="array" ref="S19">B19*MainEntryFee()+G19*MPool1Fee()+H19*MPool2Fee()+I19*MPool3Fee()+J19*MPool4Fee()</f>
        <v>80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/>
      <c r="D20" s="145" t="s">
        <v>114</v>
      </c>
      <c r="E20" s="145" t="s">
        <v>115</v>
      </c>
      <c r="F20" s="111" t="s">
        <v>116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224</v>
      </c>
      <c r="P20" s="7">
        <v>3536</v>
      </c>
      <c r="Q20" s="144">
        <f t="shared" si="1"/>
        <v>160</v>
      </c>
      <c r="R20" s="115" t="str">
        <f t="shared" si="2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/>
      <c r="D21" s="145" t="s">
        <v>117</v>
      </c>
      <c r="E21" s="145" t="s">
        <v>112</v>
      </c>
      <c r="F21" s="111" t="s">
        <v>118</v>
      </c>
      <c r="G21" s="94">
        <v>1</v>
      </c>
      <c r="H21" s="105"/>
      <c r="I21" s="105"/>
      <c r="J21" s="105"/>
      <c r="K21" s="105"/>
      <c r="L21" s="143"/>
      <c r="M21" s="67"/>
      <c r="N21" s="108">
        <v>0</v>
      </c>
      <c r="O21" s="54" t="s">
        <v>224</v>
      </c>
      <c r="P21" s="7">
        <v>206</v>
      </c>
      <c r="Q21" s="144">
        <f t="shared" si="1"/>
        <v>80</v>
      </c>
      <c r="R21" s="115" t="str">
        <f t="shared" si="2"/>
        <v/>
      </c>
      <c r="S21" s="54" cm="1">
        <f t="array" ref="S21">B21*MainEntryFee()+G21*MPool1Fee()+H21*MPool2Fee()+I21*MPool3Fee()+J21*MPool4Fee()</f>
        <v>80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/>
      <c r="D22" s="145" t="s">
        <v>119</v>
      </c>
      <c r="E22" s="145" t="s">
        <v>120</v>
      </c>
      <c r="F22" s="111" t="s">
        <v>121</v>
      </c>
      <c r="G22" s="94"/>
      <c r="H22" s="105"/>
      <c r="I22" s="105"/>
      <c r="J22" s="105"/>
      <c r="K22" s="105"/>
      <c r="L22" s="143"/>
      <c r="M22" s="67"/>
      <c r="N22" s="108">
        <v>0</v>
      </c>
      <c r="O22" s="54" t="s">
        <v>224</v>
      </c>
      <c r="P22" s="7">
        <v>1094</v>
      </c>
      <c r="Q22" s="144">
        <f t="shared" si="1"/>
        <v>70</v>
      </c>
      <c r="R22" s="115" t="str">
        <f t="shared" si="2"/>
        <v/>
      </c>
      <c r="S22" s="54" cm="1">
        <f t="array" ref="S22">B22*MainEntryFee()+G22*MPool1Fee()+H22*MPool2Fee()+I22*MPool3Fee()+J22*MPool4Fee()</f>
        <v>70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/>
      <c r="D23" s="145" t="s">
        <v>122</v>
      </c>
      <c r="E23" s="145" t="s">
        <v>123</v>
      </c>
      <c r="F23" s="111" t="s">
        <v>124</v>
      </c>
      <c r="G23" s="94">
        <v>1</v>
      </c>
      <c r="H23" s="105">
        <v>1</v>
      </c>
      <c r="I23" s="105"/>
      <c r="J23" s="105"/>
      <c r="K23" s="105"/>
      <c r="L23" s="143"/>
      <c r="M23" s="67"/>
      <c r="N23" s="108">
        <v>0</v>
      </c>
      <c r="O23" s="54" t="s">
        <v>223</v>
      </c>
      <c r="P23" s="7" t="s">
        <v>227</v>
      </c>
      <c r="Q23" s="144" t="str">
        <f t="shared" si="1"/>
        <v/>
      </c>
      <c r="R23" s="115">
        <f t="shared" si="2"/>
        <v>90</v>
      </c>
      <c r="S23" s="54" cm="1">
        <f t="array" ref="S23">B23*MainEntryFee()+G23*MPool1Fee()+H23*MPool2Fee()+I23*MPool3Fee()+J23*MPool4Fee()</f>
        <v>90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/>
      <c r="D24" s="145" t="s">
        <v>125</v>
      </c>
      <c r="E24" s="145" t="s">
        <v>94</v>
      </c>
      <c r="F24" s="114" t="s">
        <v>126</v>
      </c>
      <c r="G24" s="94">
        <v>1</v>
      </c>
      <c r="H24" s="105">
        <v>1</v>
      </c>
      <c r="I24" s="105">
        <v>1</v>
      </c>
      <c r="J24" s="105"/>
      <c r="K24" s="105"/>
      <c r="L24" s="143"/>
      <c r="M24" s="67"/>
      <c r="N24" s="108">
        <v>0</v>
      </c>
      <c r="O24" s="54" t="s">
        <v>224</v>
      </c>
      <c r="P24" s="7">
        <v>1360</v>
      </c>
      <c r="Q24" s="144">
        <f t="shared" si="1"/>
        <v>110</v>
      </c>
      <c r="R24" s="115" t="str">
        <f t="shared" si="2"/>
        <v/>
      </c>
      <c r="S24" s="54" cm="1">
        <f t="array" ref="S24">B24*MainEntryFee()+G24*MPool1Fee()+H24*MPool2Fee()+I24*MPool3Fee()+J24*MPool4Fee()</f>
        <v>110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/>
      <c r="D25" s="145" t="s">
        <v>127</v>
      </c>
      <c r="E25" s="145" t="s">
        <v>112</v>
      </c>
      <c r="F25" s="114" t="s">
        <v>128</v>
      </c>
      <c r="G25" s="106">
        <v>1</v>
      </c>
      <c r="H25" s="106"/>
      <c r="I25" s="106">
        <v>1</v>
      </c>
      <c r="J25" s="106"/>
      <c r="K25" s="106"/>
      <c r="L25" s="143"/>
      <c r="M25" s="108">
        <v>1</v>
      </c>
      <c r="N25" s="108">
        <v>100</v>
      </c>
      <c r="O25" s="54" t="s">
        <v>223</v>
      </c>
      <c r="P25" s="7"/>
      <c r="Q25" s="144" t="str">
        <f t="shared" si="1"/>
        <v/>
      </c>
      <c r="R25" s="115">
        <f t="shared" si="2"/>
        <v>100</v>
      </c>
      <c r="S25" s="54" cm="1">
        <f t="array" ref="S25">B25*MainEntryFee()+G25*MPool1Fee()+H25*MPool2Fee()+I25*MPool3Fee()+J25*MPool4Fee()</f>
        <v>100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129</v>
      </c>
      <c r="E26" s="145" t="s">
        <v>130</v>
      </c>
      <c r="F26" s="111" t="s">
        <v>131</v>
      </c>
      <c r="G26" s="94">
        <v>1</v>
      </c>
      <c r="H26" s="105">
        <v>1</v>
      </c>
      <c r="I26" s="105">
        <v>1</v>
      </c>
      <c r="J26" s="105">
        <v>1</v>
      </c>
      <c r="K26" s="105">
        <v>1</v>
      </c>
      <c r="L26" s="143"/>
      <c r="M26" s="67">
        <v>1</v>
      </c>
      <c r="N26" s="108">
        <v>160</v>
      </c>
      <c r="O26" s="54" t="s">
        <v>223</v>
      </c>
      <c r="P26" s="7"/>
      <c r="Q26" s="144" t="str">
        <f t="shared" si="1"/>
        <v/>
      </c>
      <c r="R26" s="115">
        <f t="shared" si="2"/>
        <v>160</v>
      </c>
      <c r="S26" s="54" cm="1">
        <f t="array" ref="S26">B26*MainEntryFee()+G26*MPool1Fee()+H26*MPool2Fee()+I26*MPool3Fee()+J26*MPool4Fee()</f>
        <v>160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132</v>
      </c>
      <c r="E27" s="145" t="s">
        <v>120</v>
      </c>
      <c r="F27" s="111" t="s">
        <v>133</v>
      </c>
      <c r="G27" s="105">
        <v>1</v>
      </c>
      <c r="H27" s="105">
        <v>1</v>
      </c>
      <c r="I27" s="105">
        <v>1</v>
      </c>
      <c r="J27" s="105">
        <v>1</v>
      </c>
      <c r="K27" s="105">
        <v>1</v>
      </c>
      <c r="L27" s="143"/>
      <c r="M27" s="67"/>
      <c r="N27" s="108">
        <v>0</v>
      </c>
      <c r="O27" s="54" t="s">
        <v>223</v>
      </c>
      <c r="P27" s="7"/>
      <c r="Q27" s="144" t="str">
        <f t="shared" si="1"/>
        <v/>
      </c>
      <c r="R27" s="115">
        <f t="shared" si="2"/>
        <v>160</v>
      </c>
      <c r="S27" s="54" cm="1">
        <f t="array" ref="S27">B27*MainEntryFee()+G27*MPool1Fee()+H27*MPool2Fee()+I27*MPool3Fee()+J27*MPool4Fee()</f>
        <v>160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134</v>
      </c>
      <c r="E28" s="145" t="s">
        <v>135</v>
      </c>
      <c r="F28" s="114" t="s">
        <v>136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223</v>
      </c>
      <c r="P28" s="7" t="s">
        <v>225</v>
      </c>
      <c r="Q28" s="144" t="str">
        <f t="shared" si="1"/>
        <v/>
      </c>
      <c r="R28" s="115">
        <f t="shared" si="2"/>
        <v>80</v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137</v>
      </c>
      <c r="E29" s="145" t="s">
        <v>138</v>
      </c>
      <c r="F29" s="114" t="s">
        <v>139</v>
      </c>
      <c r="G29" s="106">
        <v>1</v>
      </c>
      <c r="H29" s="106">
        <v>1</v>
      </c>
      <c r="I29" s="106">
        <v>1</v>
      </c>
      <c r="J29" s="106">
        <v>1</v>
      </c>
      <c r="K29" s="106">
        <v>1</v>
      </c>
      <c r="L29" s="143"/>
      <c r="M29" s="108">
        <v>1</v>
      </c>
      <c r="N29" s="108">
        <v>160</v>
      </c>
      <c r="O29" s="54" t="s">
        <v>223</v>
      </c>
      <c r="P29" s="7"/>
      <c r="Q29" s="144" t="str">
        <f t="shared" si="1"/>
        <v/>
      </c>
      <c r="R29" s="115">
        <f t="shared" si="2"/>
        <v>160</v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140</v>
      </c>
      <c r="E30" s="145" t="s">
        <v>141</v>
      </c>
      <c r="F30" s="114" t="s">
        <v>142</v>
      </c>
      <c r="G30" s="106">
        <v>1</v>
      </c>
      <c r="H30" s="106">
        <v>1</v>
      </c>
      <c r="I30" s="106">
        <v>1</v>
      </c>
      <c r="J30" s="106"/>
      <c r="K30" s="106">
        <v>1</v>
      </c>
      <c r="L30" s="143"/>
      <c r="M30" s="108"/>
      <c r="N30" s="108">
        <v>0</v>
      </c>
      <c r="O30" s="54" t="s">
        <v>223</v>
      </c>
      <c r="P30" s="7" t="s">
        <v>226</v>
      </c>
      <c r="Q30" s="144" t="str">
        <f t="shared" si="1"/>
        <v/>
      </c>
      <c r="R30" s="115">
        <f t="shared" si="2"/>
        <v>110</v>
      </c>
      <c r="S30" s="54" cm="1">
        <f t="array" ref="S30">B30*MainEntryFee()+G30*MPool1Fee()+H30*MPool2Fee()+I30*MPool3Fee()+J30*MPool4Fee()</f>
        <v>110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143</v>
      </c>
      <c r="E31" s="145" t="s">
        <v>144</v>
      </c>
      <c r="F31" s="114" t="s">
        <v>145</v>
      </c>
      <c r="G31" s="106">
        <v>1</v>
      </c>
      <c r="H31" s="106"/>
      <c r="I31" s="106"/>
      <c r="J31" s="106"/>
      <c r="K31" s="106"/>
      <c r="L31" s="166"/>
      <c r="M31" s="108"/>
      <c r="N31" s="108">
        <v>0</v>
      </c>
      <c r="O31" s="54" t="s">
        <v>224</v>
      </c>
      <c r="P31" s="7">
        <v>2575</v>
      </c>
      <c r="Q31" s="144">
        <f t="shared" si="1"/>
        <v>80</v>
      </c>
      <c r="R31" s="115" t="str">
        <f t="shared" si="2"/>
        <v/>
      </c>
      <c r="S31" s="54" cm="1">
        <f t="array" ref="S31">B31*MainEntryFee()+G31*MPool1Fee()+H31*MPool2Fee()+I31*MPool3Fee()+J31*MPool4Fee()</f>
        <v>80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146</v>
      </c>
      <c r="E32" s="145" t="s">
        <v>147</v>
      </c>
      <c r="F32" s="111" t="s">
        <v>148</v>
      </c>
      <c r="G32" s="94">
        <v>1</v>
      </c>
      <c r="H32" s="105">
        <v>1</v>
      </c>
      <c r="I32" s="105">
        <v>1</v>
      </c>
      <c r="J32" s="105"/>
      <c r="K32" s="105"/>
      <c r="L32" s="143"/>
      <c r="M32" s="67"/>
      <c r="N32" s="108">
        <v>0</v>
      </c>
      <c r="O32" s="54" t="s">
        <v>224</v>
      </c>
      <c r="P32" s="7">
        <v>7333</v>
      </c>
      <c r="Q32" s="144">
        <f t="shared" si="1"/>
        <v>110</v>
      </c>
      <c r="R32" s="115" t="str">
        <f t="shared" si="2"/>
        <v/>
      </c>
      <c r="S32" s="54" cm="1">
        <f t="array" ref="S32">B32*MainEntryFee()+G32*MPool1Fee()+H32*MPool2Fee()+I32*MPool3Fee()+J32*MPool4Fee()</f>
        <v>110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149</v>
      </c>
      <c r="E33" s="145" t="s">
        <v>144</v>
      </c>
      <c r="F33" s="114" t="s">
        <v>150</v>
      </c>
      <c r="G33" s="106">
        <v>1</v>
      </c>
      <c r="H33" s="106"/>
      <c r="I33" s="106"/>
      <c r="J33" s="106"/>
      <c r="K33" s="106"/>
      <c r="L33" s="143"/>
      <c r="M33" s="108"/>
      <c r="N33" s="108">
        <v>0</v>
      </c>
      <c r="O33" s="54" t="s">
        <v>224</v>
      </c>
      <c r="P33" s="7">
        <v>648</v>
      </c>
      <c r="Q33" s="144">
        <f t="shared" si="1"/>
        <v>80</v>
      </c>
      <c r="R33" s="115" t="str">
        <f t="shared" si="2"/>
        <v/>
      </c>
      <c r="S33" s="54" cm="1">
        <f t="array" ref="S33">B33*MainEntryFee()+G33*MPool1Fee()+H33*MPool2Fee()+I33*MPool3Fee()+J33*MPool4Fee()</f>
        <v>80</v>
      </c>
      <c r="T33" s="144">
        <v>1</v>
      </c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229</v>
      </c>
      <c r="E34" s="145" t="s">
        <v>230</v>
      </c>
      <c r="F34" s="114" t="s">
        <v>231</v>
      </c>
      <c r="G34" s="106"/>
      <c r="H34" s="106"/>
      <c r="I34" s="106"/>
      <c r="J34" s="106"/>
      <c r="K34" s="106">
        <v>1</v>
      </c>
      <c r="L34" s="143"/>
      <c r="M34" s="108"/>
      <c r="N34" s="108">
        <v>0</v>
      </c>
      <c r="O34" s="54" t="s">
        <v>223</v>
      </c>
      <c r="P34" s="7"/>
      <c r="Q34" s="144" t="str">
        <f t="shared" si="1"/>
        <v/>
      </c>
      <c r="R34" s="115">
        <f t="shared" si="2"/>
        <v>70</v>
      </c>
      <c r="S34" s="54" cm="1">
        <f t="array" ref="S34">B34*MainEntryFee()+G34*MPool1Fee()+H34*MPool2Fee()+I34*MPool3Fee()+J34*MPool4Fee()</f>
        <v>70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151</v>
      </c>
      <c r="E35" s="145" t="s">
        <v>152</v>
      </c>
      <c r="F35" s="111" t="s">
        <v>153</v>
      </c>
      <c r="G35" s="106"/>
      <c r="H35" s="106"/>
      <c r="I35" s="106"/>
      <c r="J35" s="106"/>
      <c r="K35" s="106"/>
      <c r="L35" s="143">
        <v>1</v>
      </c>
      <c r="M35" s="108">
        <v>1</v>
      </c>
      <c r="N35" s="108">
        <v>70</v>
      </c>
      <c r="O35" s="54" t="s">
        <v>223</v>
      </c>
      <c r="P35" s="7"/>
      <c r="Q35" s="144" t="str">
        <f t="shared" si="1"/>
        <v/>
      </c>
      <c r="R35" s="115">
        <f t="shared" si="2"/>
        <v>70</v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154</v>
      </c>
      <c r="E36" s="145" t="s">
        <v>155</v>
      </c>
      <c r="F36" s="114" t="s">
        <v>156</v>
      </c>
      <c r="G36" s="106">
        <v>1</v>
      </c>
      <c r="H36" s="106"/>
      <c r="I36" s="106"/>
      <c r="J36" s="106"/>
      <c r="K36" s="106">
        <v>1</v>
      </c>
      <c r="L36" s="143"/>
      <c r="M36" s="108">
        <v>1</v>
      </c>
      <c r="N36" s="108">
        <v>80</v>
      </c>
      <c r="O36" s="54" t="s">
        <v>223</v>
      </c>
      <c r="P36" s="7"/>
      <c r="Q36" s="144" t="str">
        <f t="shared" si="1"/>
        <v/>
      </c>
      <c r="R36" s="115">
        <f t="shared" si="2"/>
        <v>80</v>
      </c>
      <c r="S36" s="54" cm="1">
        <f t="array" ref="S36">B36*MainEntryFee()+G36*MPool1Fee()+H36*MPool2Fee()+I36*MPool3Fee()+J36*MPool4Fee()</f>
        <v>80</v>
      </c>
      <c r="T36" s="144">
        <v>1</v>
      </c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157</v>
      </c>
      <c r="E37" s="145" t="s">
        <v>158</v>
      </c>
      <c r="F37" s="114" t="s">
        <v>159</v>
      </c>
      <c r="G37" s="106">
        <v>1</v>
      </c>
      <c r="H37" s="106"/>
      <c r="I37" s="106">
        <v>1</v>
      </c>
      <c r="J37" s="106"/>
      <c r="K37" s="106"/>
      <c r="L37" s="143"/>
      <c r="M37" s="108">
        <v>1</v>
      </c>
      <c r="N37" s="108">
        <v>100</v>
      </c>
      <c r="O37" s="54" t="s">
        <v>223</v>
      </c>
      <c r="P37" s="7"/>
      <c r="Q37" s="144" t="str">
        <f t="shared" si="1"/>
        <v/>
      </c>
      <c r="R37" s="115">
        <f t="shared" si="2"/>
        <v>100</v>
      </c>
      <c r="S37" s="54" cm="1">
        <f t="array" ref="S37">B37*MainEntryFee()+G37*MPool1Fee()+H37*MPool2Fee()+I37*MPool3Fee()+J37*MPool4Fee()</f>
        <v>100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160</v>
      </c>
      <c r="E38" s="145" t="s">
        <v>161</v>
      </c>
      <c r="F38" s="111" t="s">
        <v>162</v>
      </c>
      <c r="G38" s="94"/>
      <c r="H38" s="105"/>
      <c r="I38" s="105"/>
      <c r="J38" s="105"/>
      <c r="K38" s="105"/>
      <c r="L38" s="143"/>
      <c r="M38" s="67"/>
      <c r="N38" s="108">
        <v>0</v>
      </c>
      <c r="O38" s="54" t="s">
        <v>224</v>
      </c>
      <c r="P38" s="7">
        <v>1800</v>
      </c>
      <c r="Q38" s="144">
        <f t="shared" si="1"/>
        <v>70</v>
      </c>
      <c r="R38" s="115" t="str">
        <f t="shared" si="2"/>
        <v/>
      </c>
      <c r="S38" s="54" cm="1">
        <f t="array" ref="S38">B38*MainEntryFee()+G38*MPool1Fee()+H38*MPool2Fee()+I38*MPool3Fee()+J38*MPool4Fee()</f>
        <v>70</v>
      </c>
      <c r="T38" s="144">
        <v>1</v>
      </c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163</v>
      </c>
      <c r="E39" s="145" t="s">
        <v>120</v>
      </c>
      <c r="F39" s="114" t="s">
        <v>164</v>
      </c>
      <c r="G39" s="94">
        <v>1</v>
      </c>
      <c r="H39" s="105">
        <v>1</v>
      </c>
      <c r="I39" s="105">
        <v>1</v>
      </c>
      <c r="J39" s="105">
        <v>1</v>
      </c>
      <c r="K39" s="105"/>
      <c r="L39" s="143"/>
      <c r="M39" s="67"/>
      <c r="N39" s="108">
        <v>0</v>
      </c>
      <c r="O39" s="54" t="s">
        <v>223</v>
      </c>
      <c r="P39" s="7" t="s">
        <v>228</v>
      </c>
      <c r="Q39" s="144" t="str">
        <f t="shared" si="1"/>
        <v/>
      </c>
      <c r="R39" s="115">
        <f t="shared" si="2"/>
        <v>160</v>
      </c>
      <c r="S39" s="54" cm="1">
        <f t="array" ref="S39">B39*MainEntryFee()+G39*MPool1Fee()+H39*MPool2Fee()+I39*MPool3Fee()+J39*MPool4Fee()</f>
        <v>160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165</v>
      </c>
      <c r="E40" s="145" t="s">
        <v>166</v>
      </c>
      <c r="F40" s="111" t="s">
        <v>167</v>
      </c>
      <c r="G40" s="106">
        <v>1</v>
      </c>
      <c r="H40" s="106"/>
      <c r="I40" s="106"/>
      <c r="J40" s="106"/>
      <c r="K40" s="106"/>
      <c r="L40" s="143"/>
      <c r="M40" s="108"/>
      <c r="N40" s="108">
        <v>0</v>
      </c>
      <c r="O40" s="54" t="s">
        <v>223</v>
      </c>
      <c r="P40" s="7" t="s">
        <v>225</v>
      </c>
      <c r="Q40" s="144" t="str">
        <f t="shared" si="1"/>
        <v/>
      </c>
      <c r="R40" s="115">
        <f t="shared" si="2"/>
        <v>80</v>
      </c>
      <c r="S40" s="54" cm="1">
        <f t="array" ref="S40">B40*MainEntryFee()+G40*MPool1Fee()+H40*MPool2Fee()+I40*MPool3Fee()+J40*MPool4Fee()</f>
        <v>80</v>
      </c>
      <c r="T40" s="144">
        <v>1</v>
      </c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168</v>
      </c>
      <c r="E41" s="145" t="s">
        <v>120</v>
      </c>
      <c r="F41" s="104" t="s">
        <v>169</v>
      </c>
      <c r="G41" s="106">
        <v>1</v>
      </c>
      <c r="H41" s="106">
        <v>1</v>
      </c>
      <c r="I41" s="106">
        <v>1</v>
      </c>
      <c r="J41" s="106">
        <v>1</v>
      </c>
      <c r="K41" s="106"/>
      <c r="L41" s="166"/>
      <c r="M41" s="108"/>
      <c r="N41" s="108">
        <v>0</v>
      </c>
      <c r="O41" s="54" t="s">
        <v>224</v>
      </c>
      <c r="P41" s="7">
        <v>2553</v>
      </c>
      <c r="Q41" s="144">
        <f t="shared" si="1"/>
        <v>160</v>
      </c>
      <c r="R41" s="115" t="str">
        <f t="shared" si="2"/>
        <v/>
      </c>
      <c r="S41" s="54" cm="1">
        <f t="array" ref="S41">B41*MainEntryFee()+G41*MPool1Fee()+H41*MPool2Fee()+I41*MPool3Fee()+J41*MPool4Fee()</f>
        <v>160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170</v>
      </c>
      <c r="E42" s="145" t="s">
        <v>138</v>
      </c>
      <c r="F42" s="114" t="s">
        <v>171</v>
      </c>
      <c r="G42" s="106">
        <v>1</v>
      </c>
      <c r="H42" s="106"/>
      <c r="I42" s="106"/>
      <c r="J42" s="106"/>
      <c r="K42" s="106"/>
      <c r="L42" s="143"/>
      <c r="M42" s="108"/>
      <c r="N42" s="108">
        <v>0</v>
      </c>
      <c r="O42" s="54" t="s">
        <v>224</v>
      </c>
      <c r="P42" s="7">
        <v>133</v>
      </c>
      <c r="Q42" s="144">
        <f t="shared" si="1"/>
        <v>80</v>
      </c>
      <c r="R42" s="115" t="str">
        <f t="shared" si="2"/>
        <v/>
      </c>
      <c r="S42" s="54" cm="1">
        <f t="array" ref="S42">B42*MainEntryFee()+G42*MPool1Fee()+H42*MPool2Fee()+I42*MPool3Fee()+J42*MPool4Fee()</f>
        <v>80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232</v>
      </c>
      <c r="E43" s="145" t="s">
        <v>172</v>
      </c>
      <c r="F43" s="114" t="s">
        <v>233</v>
      </c>
      <c r="G43" s="106">
        <v>1</v>
      </c>
      <c r="H43" s="106">
        <v>1</v>
      </c>
      <c r="I43" s="106">
        <v>1</v>
      </c>
      <c r="J43" s="106"/>
      <c r="K43" s="106">
        <v>1</v>
      </c>
      <c r="L43" s="143"/>
      <c r="M43" s="108">
        <v>1</v>
      </c>
      <c r="N43" s="108">
        <v>110</v>
      </c>
      <c r="O43" s="54" t="s">
        <v>223</v>
      </c>
      <c r="P43" s="7"/>
      <c r="Q43" s="144" t="str">
        <f t="shared" si="1"/>
        <v/>
      </c>
      <c r="R43" s="115">
        <f t="shared" si="2"/>
        <v>110</v>
      </c>
      <c r="S43" s="54" cm="1">
        <f t="array" ref="S43">B43*MainEntryFee()+G43*MPool1Fee()+H43*MPool2Fee()+I43*MPool3Fee()+J43*MPool4Fee()</f>
        <v>110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173</v>
      </c>
      <c r="E44" s="145" t="s">
        <v>174</v>
      </c>
      <c r="F44" s="111" t="s">
        <v>175</v>
      </c>
      <c r="G44" s="105">
        <v>1</v>
      </c>
      <c r="H44" s="105"/>
      <c r="I44" s="105">
        <v>1</v>
      </c>
      <c r="J44" s="105"/>
      <c r="K44" s="105"/>
      <c r="L44" s="143">
        <v>1</v>
      </c>
      <c r="M44" s="67">
        <v>1</v>
      </c>
      <c r="N44" s="108">
        <v>100</v>
      </c>
      <c r="O44" s="54" t="s">
        <v>223</v>
      </c>
      <c r="P44" s="7"/>
      <c r="Q44" s="144" t="str">
        <f t="shared" ref="Q44:Q75" si="3">IF(OR(O44="c",O44="C"),+S44,"")</f>
        <v/>
      </c>
      <c r="R44" s="115">
        <f t="shared" ref="R44:R71" si="4">IF(OR(O44="$",M44=1),+S44,"")</f>
        <v>100</v>
      </c>
      <c r="S44" s="54" cm="1">
        <f t="array" ref="S44">B44*MainEntryFee()+G44*MPool1Fee()+H44*MPool2Fee()+I44*MPool3Fee()+J44*MPool4Fee()</f>
        <v>100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176</v>
      </c>
      <c r="E45" s="145" t="s">
        <v>177</v>
      </c>
      <c r="F45" s="114" t="s">
        <v>178</v>
      </c>
      <c r="G45" s="106">
        <v>1</v>
      </c>
      <c r="H45" s="106">
        <v>1</v>
      </c>
      <c r="I45" s="106">
        <v>1</v>
      </c>
      <c r="J45" s="106"/>
      <c r="K45" s="106"/>
      <c r="L45" s="166"/>
      <c r="M45" s="108"/>
      <c r="N45" s="108">
        <v>0</v>
      </c>
      <c r="O45" s="54" t="s">
        <v>224</v>
      </c>
      <c r="P45" s="7">
        <v>5361</v>
      </c>
      <c r="Q45" s="144">
        <f t="shared" si="3"/>
        <v>110</v>
      </c>
      <c r="R45" s="115" t="str">
        <f t="shared" si="4"/>
        <v/>
      </c>
      <c r="S45" s="54" cm="1">
        <f t="array" ref="S45">B45*MainEntryFee()+G45*MPool1Fee()+H45*MPool2Fee()+I45*MPool3Fee()+J45*MPool4Fee()</f>
        <v>110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179</v>
      </c>
      <c r="E46" s="145" t="s">
        <v>180</v>
      </c>
      <c r="F46" s="111" t="s">
        <v>181</v>
      </c>
      <c r="G46" s="94"/>
      <c r="H46" s="105"/>
      <c r="I46" s="105"/>
      <c r="J46" s="105"/>
      <c r="K46" s="105"/>
      <c r="L46" s="143">
        <v>1</v>
      </c>
      <c r="M46" s="67"/>
      <c r="N46" s="108">
        <v>0</v>
      </c>
      <c r="O46" s="54" t="s">
        <v>224</v>
      </c>
      <c r="P46" s="7">
        <v>5007</v>
      </c>
      <c r="Q46" s="144">
        <f t="shared" si="3"/>
        <v>70</v>
      </c>
      <c r="R46" s="115" t="str">
        <f t="shared" si="4"/>
        <v/>
      </c>
      <c r="S46" s="54" cm="1">
        <f t="array" ref="S46">B46*MainEntryFee()+G46*MPool1Fee()+H46*MPool2Fee()+I46*MPool3Fee()+J46*MPool4Fee()</f>
        <v>70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182</v>
      </c>
      <c r="E47" s="145" t="s">
        <v>120</v>
      </c>
      <c r="F47" s="114" t="s">
        <v>183</v>
      </c>
      <c r="G47" s="94">
        <v>1</v>
      </c>
      <c r="H47" s="105">
        <v>1</v>
      </c>
      <c r="I47" s="105">
        <v>1</v>
      </c>
      <c r="J47" s="105">
        <v>1</v>
      </c>
      <c r="K47" s="105">
        <v>1</v>
      </c>
      <c r="L47" s="143"/>
      <c r="M47" s="67"/>
      <c r="N47" s="108">
        <v>0</v>
      </c>
      <c r="O47" s="54" t="s">
        <v>224</v>
      </c>
      <c r="P47" s="7">
        <v>5008</v>
      </c>
      <c r="Q47" s="144">
        <f t="shared" si="3"/>
        <v>160</v>
      </c>
      <c r="R47" s="115" t="str">
        <f t="shared" si="4"/>
        <v/>
      </c>
      <c r="S47" s="54" cm="1">
        <f t="array" ref="S47">B47*MainEntryFee()+G47*MPool1Fee()+H47*MPool2Fee()+I47*MPool3Fee()+J47*MPool4Fee()</f>
        <v>160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184</v>
      </c>
      <c r="E48" s="145" t="s">
        <v>172</v>
      </c>
      <c r="F48" s="111" t="s">
        <v>185</v>
      </c>
      <c r="G48" s="94">
        <v>1</v>
      </c>
      <c r="H48" s="105"/>
      <c r="I48" s="105"/>
      <c r="J48" s="105"/>
      <c r="K48" s="105"/>
      <c r="L48" s="143"/>
      <c r="M48" s="67"/>
      <c r="N48" s="108">
        <v>0</v>
      </c>
      <c r="O48" s="54" t="s">
        <v>224</v>
      </c>
      <c r="P48" s="7">
        <v>375</v>
      </c>
      <c r="Q48" s="144">
        <f t="shared" si="3"/>
        <v>80</v>
      </c>
      <c r="R48" s="115" t="str">
        <f t="shared" si="4"/>
        <v/>
      </c>
      <c r="S48" s="54" cm="1">
        <f t="array" ref="S48">B48*MainEntryFee()+G48*MPool1Fee()+H48*MPool2Fee()+I48*MPool3Fee()+J48*MPool4Fee()</f>
        <v>80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186</v>
      </c>
      <c r="E49" s="145" t="s">
        <v>120</v>
      </c>
      <c r="F49" s="114" t="s">
        <v>187</v>
      </c>
      <c r="G49" s="106">
        <v>1</v>
      </c>
      <c r="H49" s="106"/>
      <c r="I49" s="106">
        <v>1</v>
      </c>
      <c r="J49" s="106"/>
      <c r="K49" s="106"/>
      <c r="L49" s="143"/>
      <c r="M49" s="108"/>
      <c r="N49" s="108">
        <v>0</v>
      </c>
      <c r="O49" s="54" t="s">
        <v>224</v>
      </c>
      <c r="P49" s="7">
        <v>1399</v>
      </c>
      <c r="Q49" s="144">
        <f t="shared" si="3"/>
        <v>100</v>
      </c>
      <c r="R49" s="115" t="str">
        <f t="shared" si="4"/>
        <v/>
      </c>
      <c r="S49" s="54" cm="1">
        <f t="array" ref="S49">B49*MainEntryFee()+G49*MPool1Fee()+H49*MPool2Fee()+I49*MPool3Fee()+J49*MPool4Fee()</f>
        <v>100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188</v>
      </c>
      <c r="E50" s="145" t="s">
        <v>189</v>
      </c>
      <c r="F50" s="114" t="s">
        <v>190</v>
      </c>
      <c r="G50" s="106">
        <v>1</v>
      </c>
      <c r="H50" s="106">
        <v>1</v>
      </c>
      <c r="I50" s="106">
        <v>1</v>
      </c>
      <c r="J50" s="106">
        <v>1</v>
      </c>
      <c r="K50" s="106"/>
      <c r="L50" s="143"/>
      <c r="M50" s="108"/>
      <c r="N50" s="108">
        <v>0</v>
      </c>
      <c r="O50" s="54" t="s">
        <v>224</v>
      </c>
      <c r="P50" s="7">
        <v>1399</v>
      </c>
      <c r="Q50" s="144">
        <f t="shared" si="3"/>
        <v>160</v>
      </c>
      <c r="R50" s="115" t="str">
        <f t="shared" si="4"/>
        <v/>
      </c>
      <c r="S50" s="54" cm="1">
        <f t="array" ref="S50">B50*MainEntryFee()+G50*MPool1Fee()+H50*MPool2Fee()+I50*MPool3Fee()+J50*MPool4Fee()</f>
        <v>160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191</v>
      </c>
      <c r="E51" s="145" t="s">
        <v>192</v>
      </c>
      <c r="F51" s="111" t="s">
        <v>193</v>
      </c>
      <c r="G51" s="94">
        <v>1</v>
      </c>
      <c r="H51" s="105">
        <v>1</v>
      </c>
      <c r="I51" s="105">
        <v>1</v>
      </c>
      <c r="J51" s="105">
        <v>1</v>
      </c>
      <c r="K51" s="105">
        <v>1</v>
      </c>
      <c r="L51" s="143"/>
      <c r="M51" s="67"/>
      <c r="N51" s="108">
        <v>0</v>
      </c>
      <c r="O51" s="54" t="s">
        <v>224</v>
      </c>
      <c r="P51" s="7">
        <v>616</v>
      </c>
      <c r="Q51" s="144">
        <f t="shared" si="3"/>
        <v>160</v>
      </c>
      <c r="R51" s="115" t="str">
        <f t="shared" si="4"/>
        <v/>
      </c>
      <c r="S51" s="54" cm="1">
        <f t="array" ref="S51">B51*MainEntryFee()+G51*MPool1Fee()+H51*MPool2Fee()+I51*MPool3Fee()+J51*MPool4Fee()</f>
        <v>160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194</v>
      </c>
      <c r="E52" s="145" t="s">
        <v>195</v>
      </c>
      <c r="F52" s="114" t="s">
        <v>196</v>
      </c>
      <c r="G52" s="94">
        <v>1</v>
      </c>
      <c r="H52" s="105">
        <v>1</v>
      </c>
      <c r="I52" s="105">
        <v>1</v>
      </c>
      <c r="J52" s="105">
        <v>1</v>
      </c>
      <c r="K52" s="105">
        <v>1</v>
      </c>
      <c r="L52" s="166"/>
      <c r="M52" s="67"/>
      <c r="N52" s="108">
        <v>0</v>
      </c>
      <c r="O52" s="54" t="s">
        <v>224</v>
      </c>
      <c r="P52" s="7">
        <v>1886</v>
      </c>
      <c r="Q52" s="144">
        <f t="shared" si="3"/>
        <v>160</v>
      </c>
      <c r="R52" s="115" t="str">
        <f t="shared" si="4"/>
        <v/>
      </c>
      <c r="S52" s="54" cm="1">
        <f t="array" ref="S52">B52*MainEntryFee()+G52*MPool1Fee()+H52*MPool2Fee()+I52*MPool3Fee()+J52*MPool4Fee()</f>
        <v>160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197</v>
      </c>
      <c r="E53" s="145" t="s">
        <v>195</v>
      </c>
      <c r="F53" s="114" t="s">
        <v>198</v>
      </c>
      <c r="G53" s="106">
        <v>1</v>
      </c>
      <c r="H53" s="106">
        <v>1</v>
      </c>
      <c r="I53" s="106">
        <v>1</v>
      </c>
      <c r="J53" s="106">
        <v>1</v>
      </c>
      <c r="K53" s="106">
        <v>1</v>
      </c>
      <c r="L53" s="166"/>
      <c r="M53" s="108"/>
      <c r="N53" s="108">
        <v>0</v>
      </c>
      <c r="O53" s="54" t="s">
        <v>224</v>
      </c>
      <c r="P53" s="7">
        <v>1886</v>
      </c>
      <c r="Q53" s="144">
        <f t="shared" si="3"/>
        <v>160</v>
      </c>
      <c r="R53" s="115" t="str">
        <f t="shared" si="4"/>
        <v/>
      </c>
      <c r="S53" s="54" cm="1">
        <f t="array" ref="S53">B53*MainEntryFee()+G53*MPool1Fee()+H53*MPool2Fee()+I53*MPool3Fee()+J53*MPool4Fee()</f>
        <v>160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199</v>
      </c>
      <c r="E54" s="146" t="s">
        <v>166</v>
      </c>
      <c r="F54" s="114" t="s">
        <v>200</v>
      </c>
      <c r="G54" s="106">
        <v>1</v>
      </c>
      <c r="H54" s="106">
        <v>1</v>
      </c>
      <c r="I54" s="106">
        <v>1</v>
      </c>
      <c r="J54" s="106"/>
      <c r="K54" s="106"/>
      <c r="L54" s="166"/>
      <c r="M54" s="108">
        <v>1</v>
      </c>
      <c r="N54" s="108">
        <v>110</v>
      </c>
      <c r="O54" s="54" t="s">
        <v>223</v>
      </c>
      <c r="P54" s="7"/>
      <c r="Q54" s="144" t="str">
        <f t="shared" si="3"/>
        <v/>
      </c>
      <c r="R54" s="115">
        <f t="shared" si="4"/>
        <v>110</v>
      </c>
      <c r="S54" s="54" cm="1">
        <f t="array" ref="S54">B54*MainEntryFee()+G54*MPool1Fee()+H54*MPool2Fee()+I54*MPool3Fee()+J54*MPool4Fee()</f>
        <v>110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201</v>
      </c>
      <c r="E55" s="145" t="s">
        <v>120</v>
      </c>
      <c r="F55" s="114" t="s">
        <v>202</v>
      </c>
      <c r="G55" s="106">
        <v>1</v>
      </c>
      <c r="H55" s="106">
        <v>1</v>
      </c>
      <c r="I55" s="106">
        <v>1</v>
      </c>
      <c r="J55" s="106"/>
      <c r="K55" s="106"/>
      <c r="L55" s="166"/>
      <c r="M55" s="108"/>
      <c r="N55" s="108">
        <v>0</v>
      </c>
      <c r="O55" s="54" t="s">
        <v>223</v>
      </c>
      <c r="P55" s="7"/>
      <c r="Q55" s="144" t="str">
        <f t="shared" si="3"/>
        <v/>
      </c>
      <c r="R55" s="115">
        <f t="shared" si="4"/>
        <v>110</v>
      </c>
      <c r="S55" s="54" cm="1">
        <f t="array" ref="S55">B55*MainEntryFee()+G55*MPool1Fee()+H55*MPool2Fee()+I55*MPool3Fee()+J55*MPool4Fee()</f>
        <v>110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203</v>
      </c>
      <c r="E56" s="145" t="s">
        <v>120</v>
      </c>
      <c r="F56" s="111"/>
      <c r="G56" s="105"/>
      <c r="H56" s="105"/>
      <c r="I56" s="105"/>
      <c r="J56" s="105"/>
      <c r="K56" s="105"/>
      <c r="L56" s="143"/>
      <c r="M56" s="67"/>
      <c r="N56" s="108">
        <v>0</v>
      </c>
      <c r="O56" s="54" t="s">
        <v>223</v>
      </c>
      <c r="P56" s="7"/>
      <c r="Q56" s="144" t="str">
        <f t="shared" si="3"/>
        <v/>
      </c>
      <c r="R56" s="115">
        <f t="shared" si="4"/>
        <v>70</v>
      </c>
      <c r="S56" s="54" cm="1">
        <f t="array" ref="S56">B56*MainEntryFee()+G56*MPool1Fee()+H56*MPool2Fee()+I56*MPool3Fee()+J56*MPool4Fee()</f>
        <v>70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204</v>
      </c>
      <c r="E57" s="145" t="s">
        <v>120</v>
      </c>
      <c r="F57" s="114" t="s">
        <v>205</v>
      </c>
      <c r="G57" s="94">
        <v>1</v>
      </c>
      <c r="H57" s="105">
        <v>1</v>
      </c>
      <c r="I57" s="105"/>
      <c r="J57" s="105"/>
      <c r="K57" s="105"/>
      <c r="L57" s="143"/>
      <c r="M57" s="67"/>
      <c r="N57" s="108">
        <v>0</v>
      </c>
      <c r="O57" s="54" t="s">
        <v>223</v>
      </c>
      <c r="P57" s="7"/>
      <c r="Q57" s="144" t="str">
        <f t="shared" si="3"/>
        <v/>
      </c>
      <c r="R57" s="115">
        <f t="shared" si="4"/>
        <v>90</v>
      </c>
      <c r="S57" s="54" cm="1">
        <f t="array" ref="S57">B57*MainEntryFee()+G57*MPool1Fee()+H57*MPool2Fee()+I57*MPool3Fee()+J57*MPool4Fee()</f>
        <v>90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206</v>
      </c>
      <c r="E58" s="145" t="s">
        <v>120</v>
      </c>
      <c r="F58" s="114" t="s">
        <v>207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/>
      <c r="N58" s="108">
        <v>0</v>
      </c>
      <c r="O58" s="54" t="s">
        <v>224</v>
      </c>
      <c r="P58" s="7">
        <v>1149</v>
      </c>
      <c r="Q58" s="144">
        <f t="shared" si="3"/>
        <v>110</v>
      </c>
      <c r="R58" s="115" t="str">
        <f t="shared" si="4"/>
        <v/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208</v>
      </c>
      <c r="E59" s="145" t="s">
        <v>120</v>
      </c>
      <c r="F59" s="114" t="s">
        <v>209</v>
      </c>
      <c r="G59" s="106">
        <v>1</v>
      </c>
      <c r="H59" s="106"/>
      <c r="I59" s="106"/>
      <c r="J59" s="106"/>
      <c r="K59" s="106"/>
      <c r="L59" s="143">
        <v>1</v>
      </c>
      <c r="M59" s="108"/>
      <c r="N59" s="108">
        <v>0</v>
      </c>
      <c r="O59" s="54" t="s">
        <v>224</v>
      </c>
      <c r="P59" s="7">
        <v>1149</v>
      </c>
      <c r="Q59" s="144">
        <f t="shared" si="3"/>
        <v>80</v>
      </c>
      <c r="R59" s="115" t="str">
        <f t="shared" si="4"/>
        <v/>
      </c>
      <c r="S59" s="54" cm="1">
        <f t="array" ref="S59">B59*MainEntryFee()+G59*MPool1Fee()+H59*MPool2Fee()+I59*MPool3Fee()+J59*MPool4Fee()</f>
        <v>80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210</v>
      </c>
      <c r="E60" s="145" t="s">
        <v>211</v>
      </c>
      <c r="F60" s="114" t="s">
        <v>212</v>
      </c>
      <c r="G60" s="106">
        <v>1</v>
      </c>
      <c r="H60" s="106"/>
      <c r="I60" s="106"/>
      <c r="J60" s="106"/>
      <c r="K60" s="106"/>
      <c r="L60" s="143"/>
      <c r="M60" s="108"/>
      <c r="N60" s="108">
        <v>0</v>
      </c>
      <c r="O60" s="54" t="s">
        <v>224</v>
      </c>
      <c r="P60" s="7">
        <v>2487</v>
      </c>
      <c r="Q60" s="144">
        <f t="shared" si="3"/>
        <v>80</v>
      </c>
      <c r="R60" s="115" t="str">
        <f t="shared" si="4"/>
        <v/>
      </c>
      <c r="S60" s="54" cm="1">
        <f t="array" ref="S60">B60*MainEntryFee()+G60*MPool1Fee()+H60*MPool2Fee()+I60*MPool3Fee()+J60*MPool4Fee()</f>
        <v>80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213</v>
      </c>
      <c r="E61" s="145" t="s">
        <v>214</v>
      </c>
      <c r="F61" s="114" t="s">
        <v>215</v>
      </c>
      <c r="G61" s="106"/>
      <c r="H61" s="106"/>
      <c r="I61" s="106"/>
      <c r="J61" s="106"/>
      <c r="K61" s="106"/>
      <c r="L61" s="143"/>
      <c r="M61" s="108"/>
      <c r="N61" s="108">
        <v>0</v>
      </c>
      <c r="O61" s="54" t="s">
        <v>224</v>
      </c>
      <c r="P61" s="7">
        <v>8803</v>
      </c>
      <c r="Q61" s="144">
        <f t="shared" si="3"/>
        <v>70</v>
      </c>
      <c r="R61" s="115" t="str">
        <f t="shared" si="4"/>
        <v/>
      </c>
      <c r="S61" s="54" cm="1">
        <f t="array" ref="S61">B61*MainEntryFee()+G61*MPool1Fee()+H61*MPool2Fee()+I61*MPool3Fee()+J61*MPool4Fee()</f>
        <v>70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216</v>
      </c>
      <c r="E62" s="145" t="s">
        <v>217</v>
      </c>
      <c r="F62" s="114" t="s">
        <v>218</v>
      </c>
      <c r="G62" s="106">
        <v>1</v>
      </c>
      <c r="H62" s="106">
        <v>1</v>
      </c>
      <c r="I62" s="106">
        <v>1</v>
      </c>
      <c r="J62" s="106">
        <v>1</v>
      </c>
      <c r="K62" s="106"/>
      <c r="L62" s="143"/>
      <c r="M62" s="108"/>
      <c r="N62" s="108">
        <v>0</v>
      </c>
      <c r="O62" s="54" t="s">
        <v>224</v>
      </c>
      <c r="P62" s="7">
        <v>7357</v>
      </c>
      <c r="Q62" s="144">
        <f t="shared" si="3"/>
        <v>160</v>
      </c>
      <c r="R62" s="115" t="str">
        <f t="shared" si="4"/>
        <v/>
      </c>
      <c r="S62" s="54" cm="1">
        <f t="array" ref="S62">B62*MainEntryFee()+G62*MPool1Fee()+H62*MPool2Fee()+I62*MPool3Fee()+J62*MPool4Fee()</f>
        <v>160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219</v>
      </c>
      <c r="E63" s="145" t="s">
        <v>120</v>
      </c>
      <c r="F63" s="15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224</v>
      </c>
      <c r="P63" s="7">
        <v>4040</v>
      </c>
      <c r="Q63" s="144">
        <f t="shared" si="3"/>
        <v>100</v>
      </c>
      <c r="R63" s="115" t="str">
        <f t="shared" si="4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172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224</v>
      </c>
      <c r="P64" s="7">
        <v>9990</v>
      </c>
      <c r="Q64" s="144">
        <f t="shared" si="3"/>
        <v>110</v>
      </c>
      <c r="R64" s="115" t="str">
        <f t="shared" si="4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236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237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238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170</v>
      </c>
      <c r="C10" s="105" t="s">
        <v>138</v>
      </c>
      <c r="D10" s="94" t="s">
        <v>171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06"/>
      <c r="L10" s="107"/>
      <c r="M10" s="94">
        <v>1</v>
      </c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197</v>
      </c>
      <c r="C11" s="115" t="s">
        <v>195</v>
      </c>
      <c r="D11" s="115" t="s">
        <v>198</v>
      </c>
      <c r="E11" s="115">
        <v>24</v>
      </c>
      <c r="F11" s="115">
        <v>11</v>
      </c>
      <c r="G11" s="115">
        <v>136</v>
      </c>
      <c r="H11" s="135"/>
      <c r="I11" s="135"/>
      <c r="J11" s="135"/>
      <c r="K11" s="105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 t="s">
        <v>140</v>
      </c>
      <c r="C12" s="115" t="s">
        <v>141</v>
      </c>
      <c r="D12" s="115" t="s">
        <v>142</v>
      </c>
      <c r="E12" s="115">
        <v>23</v>
      </c>
      <c r="F12" s="115">
        <v>10</v>
      </c>
      <c r="G12" s="115">
        <v>135</v>
      </c>
      <c r="H12" s="115"/>
      <c r="I12" s="105"/>
      <c r="J12" s="105"/>
      <c r="K12" s="105"/>
      <c r="L12" s="107"/>
      <c r="M12" s="115">
        <v>1</v>
      </c>
      <c r="N12" s="115">
        <v>1</v>
      </c>
      <c r="O12" s="106">
        <v>1</v>
      </c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132</v>
      </c>
      <c r="C13" s="94" t="s">
        <v>120</v>
      </c>
      <c r="D13" s="94" t="s">
        <v>133</v>
      </c>
      <c r="E13" s="115">
        <v>22</v>
      </c>
      <c r="F13" s="115">
        <v>10</v>
      </c>
      <c r="G13" s="115">
        <v>104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06" t="s">
        <v>130</v>
      </c>
      <c r="D14" s="106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06">
        <v>1</v>
      </c>
      <c r="N14" s="106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208</v>
      </c>
      <c r="C15" s="115" t="s">
        <v>120</v>
      </c>
      <c r="D15" s="115" t="s">
        <v>209</v>
      </c>
      <c r="E15" s="115">
        <v>21</v>
      </c>
      <c r="F15" s="115">
        <v>10</v>
      </c>
      <c r="G15" s="115">
        <v>95</v>
      </c>
      <c r="H15" s="115"/>
      <c r="I15" s="106"/>
      <c r="J15" s="106"/>
      <c r="K15" s="115"/>
      <c r="L15" s="11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191</v>
      </c>
      <c r="C16" s="115" t="s">
        <v>192</v>
      </c>
      <c r="D16" s="115" t="s">
        <v>193</v>
      </c>
      <c r="E16" s="110">
        <v>20</v>
      </c>
      <c r="F16" s="110">
        <v>10</v>
      </c>
      <c r="G16" s="112">
        <v>99</v>
      </c>
      <c r="H16" s="112"/>
      <c r="I16" s="106"/>
      <c r="J16" s="106"/>
      <c r="K16" s="115"/>
      <c r="L16" s="115"/>
      <c r="M16" s="115">
        <v>1</v>
      </c>
      <c r="N16" s="115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201</v>
      </c>
      <c r="C17" s="115" t="s">
        <v>120</v>
      </c>
      <c r="D17" s="115" t="s">
        <v>202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173</v>
      </c>
      <c r="C18" s="112" t="s">
        <v>174</v>
      </c>
      <c r="D18" s="106" t="s">
        <v>175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213</v>
      </c>
      <c r="C19" s="115" t="s">
        <v>214</v>
      </c>
      <c r="D19" s="115" t="s">
        <v>215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 t="s">
        <v>216</v>
      </c>
      <c r="C20" s="115" t="s">
        <v>217</v>
      </c>
      <c r="D20" s="115" t="s">
        <v>218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168</v>
      </c>
      <c r="C21" s="115" t="s">
        <v>120</v>
      </c>
      <c r="D21" s="115" t="s">
        <v>169</v>
      </c>
      <c r="E21" s="115">
        <v>19</v>
      </c>
      <c r="F21" s="105">
        <v>9</v>
      </c>
      <c r="G21" s="105">
        <v>14</v>
      </c>
      <c r="H21" s="115"/>
      <c r="I21" s="106"/>
      <c r="J21" s="106"/>
      <c r="K21" s="94"/>
      <c r="L21" s="9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0" t="s">
        <v>115</v>
      </c>
      <c r="D22" s="110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15"/>
      <c r="L22" s="115"/>
      <c r="M22" s="112">
        <v>1</v>
      </c>
      <c r="N22" s="112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151</v>
      </c>
      <c r="C23" s="115" t="s">
        <v>152</v>
      </c>
      <c r="D23" s="115" t="s">
        <v>153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170</v>
      </c>
      <c r="C6" s="140" t="s">
        <v>138</v>
      </c>
      <c r="D6" s="141" t="s">
        <v>171</v>
      </c>
      <c r="E6" s="70">
        <v>35</v>
      </c>
    </row>
    <row r="7" spans="1:18" x14ac:dyDescent="0.35">
      <c r="A7" s="48">
        <f>IF(B7&lt;&gt;"",A6+1,"")</f>
        <v>2</v>
      </c>
      <c r="B7" s="139" t="s">
        <v>197</v>
      </c>
      <c r="C7" s="139" t="s">
        <v>195</v>
      </c>
      <c r="D7" s="142" t="s">
        <v>198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208</v>
      </c>
      <c r="C11" s="139" t="s">
        <v>120</v>
      </c>
      <c r="D11" s="142" t="s">
        <v>209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191</v>
      </c>
      <c r="C12" s="68" t="s">
        <v>192</v>
      </c>
      <c r="D12" s="69" t="s">
        <v>193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201</v>
      </c>
      <c r="C13" s="71" t="s">
        <v>120</v>
      </c>
      <c r="D13" s="72" t="s">
        <v>202</v>
      </c>
      <c r="E13" s="73">
        <v>35</v>
      </c>
    </row>
    <row r="14" spans="1:18" x14ac:dyDescent="0.35">
      <c r="A14" s="48">
        <f t="shared" si="0"/>
        <v>9</v>
      </c>
      <c r="B14" s="68" t="s">
        <v>173</v>
      </c>
      <c r="C14" s="68" t="s">
        <v>174</v>
      </c>
      <c r="D14" s="69" t="s">
        <v>175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216</v>
      </c>
      <c r="C15" s="71" t="s">
        <v>217</v>
      </c>
      <c r="D15" s="72" t="s">
        <v>218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168</v>
      </c>
      <c r="C16" s="74" t="s">
        <v>120</v>
      </c>
      <c r="D16" s="75" t="s">
        <v>169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235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197</v>
      </c>
      <c r="C6" s="157" t="s">
        <v>195</v>
      </c>
      <c r="D6" s="158" t="s">
        <v>198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235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197</v>
      </c>
      <c r="C6" s="157" t="s">
        <v>195</v>
      </c>
      <c r="D6" s="158" t="s">
        <v>198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235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197</v>
      </c>
      <c r="C6" s="157" t="s">
        <v>195</v>
      </c>
      <c r="D6" s="158" t="s">
        <v>198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2026-04-17T13:39:36Z</dcterms:modified>
</cp:coreProperties>
</file>