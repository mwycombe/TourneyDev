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22712CC6-E9D1-4F5E-8320-69B55E57050D}" xr6:coauthVersionLast="47" xr6:coauthVersionMax="47" xr10:uidLastSave="{00000000-0000-0000-0000-000000000000}"/>
  <bookViews>
    <workbookView xWindow="-28920" yWindow="-135" windowWidth="29040" windowHeight="1572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Entries!$G$11:A$11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Results!$A$10:$Q$23</definedName>
    <definedName name="_xlnm.Print_Titles" localSheetId="0">Entries!$11:$11</definedName>
    <definedName name="_xlnm.Print_Titles" localSheetId="1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2" i="13" l="1"/>
  <c r="T32" i="13"/>
  <c r="S32" i="13"/>
  <c r="U31" i="13"/>
  <c r="T31" i="13"/>
  <c r="S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U18" i="13"/>
  <c r="T18" i="13"/>
  <c r="S18" i="13"/>
  <c r="U17" i="13"/>
  <c r="T17" i="13"/>
  <c r="S17" i="13"/>
  <c r="U16" i="13"/>
  <c r="T16" i="13"/>
  <c r="S16" i="13"/>
  <c r="U15" i="13"/>
  <c r="T15" i="13"/>
  <c r="S15" i="13"/>
  <c r="U14" i="13"/>
  <c r="T14" i="13"/>
  <c r="S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O41" i="11"/>
  <c r="M41" i="11"/>
  <c r="I41" i="11"/>
  <c r="A41" i="11"/>
  <c r="O40" i="11"/>
  <c r="M40" i="11"/>
  <c r="I40" i="11"/>
  <c r="A40" i="11"/>
  <c r="O39" i="11"/>
  <c r="M39" i="11"/>
  <c r="I39" i="11"/>
  <c r="A39" i="11"/>
  <c r="O38" i="11"/>
  <c r="M38" i="11"/>
  <c r="I38" i="11"/>
  <c r="A38" i="11"/>
  <c r="O37" i="11"/>
  <c r="M37" i="11"/>
  <c r="I37" i="11"/>
  <c r="A37" i="11"/>
  <c r="O36" i="11"/>
  <c r="M36" i="11"/>
  <c r="I36" i="11"/>
  <c r="A36" i="11"/>
  <c r="O35" i="11"/>
  <c r="M35" i="11"/>
  <c r="I35" i="11"/>
  <c r="A35" i="11"/>
  <c r="O34" i="11"/>
  <c r="M34" i="11"/>
  <c r="I34" i="11"/>
  <c r="A34" i="11"/>
  <c r="O33" i="11"/>
  <c r="M33" i="11"/>
  <c r="I33" i="11"/>
  <c r="A33" i="11"/>
  <c r="O32" i="11"/>
  <c r="M32" i="11"/>
  <c r="I32" i="11"/>
  <c r="A32" i="11"/>
  <c r="O31" i="11"/>
  <c r="M31" i="11"/>
  <c r="I31" i="11"/>
  <c r="A31" i="11"/>
  <c r="O30" i="11"/>
  <c r="M30" i="11"/>
  <c r="I30" i="11"/>
  <c r="A30" i="11"/>
  <c r="O29" i="11"/>
  <c r="M29" i="11"/>
  <c r="I29" i="11"/>
  <c r="A29" i="11"/>
  <c r="O28" i="11"/>
  <c r="M28" i="11"/>
  <c r="I28" i="11"/>
  <c r="A28" i="11"/>
  <c r="O27" i="11"/>
  <c r="M27" i="11"/>
  <c r="I27" i="11"/>
  <c r="A27" i="11"/>
  <c r="O26" i="11"/>
  <c r="M26" i="11"/>
  <c r="I26" i="11"/>
  <c r="A26" i="11"/>
  <c r="O25" i="11"/>
  <c r="M25" i="11"/>
  <c r="I25" i="11"/>
  <c r="A25" i="11"/>
  <c r="O24" i="11"/>
  <c r="M24" i="11"/>
  <c r="I24" i="11"/>
  <c r="A24" i="11"/>
  <c r="O23" i="11"/>
  <c r="M23" i="11"/>
  <c r="I23" i="11"/>
  <c r="A23" i="11"/>
  <c r="O22" i="11"/>
  <c r="M22" i="11"/>
  <c r="I22" i="11"/>
  <c r="A22" i="11"/>
  <c r="O21" i="11"/>
  <c r="M21" i="11"/>
  <c r="I21" i="11"/>
  <c r="A21" i="11"/>
  <c r="O20" i="11"/>
  <c r="M20" i="11"/>
  <c r="I20" i="11"/>
  <c r="A20" i="11"/>
  <c r="O19" i="11"/>
  <c r="M19" i="11"/>
  <c r="I19" i="11"/>
  <c r="A19" i="11"/>
  <c r="O18" i="11"/>
  <c r="M18" i="11"/>
  <c r="I18" i="11"/>
  <c r="A18" i="11"/>
  <c r="O17" i="11"/>
  <c r="M17" i="11"/>
  <c r="I17" i="11"/>
  <c r="A17" i="11"/>
  <c r="O16" i="11"/>
  <c r="M16" i="11"/>
  <c r="I16" i="11"/>
  <c r="A16" i="11"/>
  <c r="O15" i="11"/>
  <c r="M15" i="11"/>
  <c r="I15" i="11"/>
  <c r="A15" i="11"/>
  <c r="O14" i="11"/>
  <c r="M14" i="11"/>
  <c r="I14" i="11"/>
  <c r="A14" i="11"/>
  <c r="O13" i="11"/>
  <c r="M13" i="11"/>
  <c r="I13" i="11"/>
  <c r="A13" i="11"/>
  <c r="O12" i="11"/>
  <c r="M12" i="11"/>
  <c r="I12" i="11"/>
  <c r="A12" i="11"/>
  <c r="O11" i="11"/>
  <c r="M11" i="11"/>
  <c r="I11" i="11"/>
  <c r="A11" i="11"/>
  <c r="O10" i="11"/>
  <c r="M10" i="11"/>
  <c r="I10" i="11"/>
  <c r="A3" i="1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8" i="9"/>
  <c r="A5" i="9"/>
  <c r="A3" i="9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8" i="10"/>
  <c r="A3" i="10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6" i="7"/>
  <c r="A7" i="7" s="1"/>
  <c r="A8" i="7" s="1"/>
  <c r="A9" i="7" s="1"/>
  <c r="A10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6" i="6"/>
  <c r="A7" i="6" s="1"/>
  <c r="A8" i="6" s="1"/>
  <c r="A9" i="6" s="1"/>
  <c r="A10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E222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V19" i="3"/>
  <c r="U19" i="3"/>
  <c r="T19" i="3"/>
  <c r="A19" i="3"/>
  <c r="V18" i="3"/>
  <c r="U18" i="3"/>
  <c r="T18" i="3"/>
  <c r="A18" i="3"/>
  <c r="V17" i="3"/>
  <c r="U17" i="3"/>
  <c r="T17" i="3"/>
  <c r="A17" i="3"/>
  <c r="V16" i="3"/>
  <c r="U16" i="3"/>
  <c r="T16" i="3"/>
  <c r="A16" i="3"/>
  <c r="V15" i="3"/>
  <c r="U15" i="3"/>
  <c r="T15" i="3"/>
  <c r="A15" i="3"/>
  <c r="V14" i="3"/>
  <c r="U14" i="3"/>
  <c r="T14" i="3"/>
  <c r="A14" i="3"/>
  <c r="V13" i="3"/>
  <c r="U13" i="3"/>
  <c r="T13" i="3"/>
  <c r="A13" i="3"/>
  <c r="V12" i="3"/>
  <c r="U12" i="3"/>
  <c r="T12" i="3"/>
  <c r="A12" i="3"/>
  <c r="V11" i="3"/>
  <c r="U11" i="3"/>
  <c r="T11" i="3"/>
  <c r="A11" i="3"/>
  <c r="P8" i="3"/>
  <c r="O8" i="3"/>
  <c r="N8" i="3"/>
  <c r="M8" i="3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R63" i="1"/>
  <c r="R62" i="1"/>
  <c r="R61" i="1"/>
  <c r="R53" i="1"/>
  <c r="R52" i="1"/>
  <c r="R51" i="1"/>
  <c r="R47" i="1"/>
  <c r="Q44" i="1"/>
  <c r="R42" i="1"/>
  <c r="R41" i="1"/>
  <c r="Q40" i="1"/>
  <c r="Q39" i="1"/>
  <c r="Q36" i="1"/>
  <c r="Q26" i="1"/>
  <c r="R24" i="1"/>
  <c r="R21" i="1"/>
  <c r="R20" i="1"/>
  <c r="Q19" i="1"/>
  <c r="T10" i="1"/>
  <c r="M10" i="1"/>
  <c r="L10" i="1"/>
  <c r="K10" i="1"/>
  <c r="J10" i="1"/>
  <c r="I10" i="1"/>
  <c r="H10" i="1"/>
  <c r="G10" i="1"/>
  <c r="C10" i="1"/>
  <c r="B10" i="1"/>
  <c r="A7" i="9" s="1"/>
  <c r="S41" i="1" a="1"/>
  <c r="S42" i="1" a="1"/>
  <c r="S24" i="1" a="1"/>
  <c r="S27" i="1" a="1"/>
  <c r="S69" i="1" a="1"/>
  <c r="S66" i="1" a="1"/>
  <c r="S34" i="1" a="1"/>
  <c r="S49" i="1" a="1"/>
  <c r="S61" i="1" a="1"/>
  <c r="S12" i="1" a="1"/>
  <c r="S20" i="1" a="1"/>
  <c r="S63" i="1" a="1"/>
  <c r="S15" i="1" a="1"/>
  <c r="S28" i="1" a="1"/>
  <c r="S51" i="1" a="1"/>
  <c r="S46" i="1" a="1"/>
  <c r="S14" i="1" a="1"/>
  <c r="S37" i="1" a="1"/>
  <c r="S31" i="1" a="1"/>
  <c r="S18" i="1" a="1"/>
  <c r="S13" i="1" a="1"/>
  <c r="S38" i="1" a="1"/>
  <c r="S39" i="1" a="1"/>
  <c r="S60" i="1" a="1"/>
  <c r="S65" i="1" a="1"/>
  <c r="S58" i="1" a="1"/>
  <c r="S55" i="1" a="1"/>
  <c r="S17" i="1" a="1"/>
  <c r="S23" i="1" a="1"/>
  <c r="S35" i="1" a="1"/>
  <c r="S64" i="1" a="1"/>
  <c r="S48" i="1" a="1"/>
  <c r="S62" i="1" a="1"/>
  <c r="S45" i="1" a="1"/>
  <c r="S26" i="1" a="1"/>
  <c r="S25" i="1" a="1"/>
  <c r="S43" i="1" a="1"/>
  <c r="S36" i="1" a="1"/>
  <c r="S29" i="1" a="1"/>
  <c r="S16" i="1" a="1"/>
  <c r="S56" i="1" a="1"/>
  <c r="S21" i="1" a="1"/>
  <c r="S54" i="1" a="1"/>
  <c r="S32" i="1" a="1"/>
  <c r="S59" i="1" a="1"/>
  <c r="S53" i="1" a="1"/>
  <c r="S19" i="1" a="1"/>
  <c r="S68" i="1" a="1"/>
  <c r="S67" i="1" a="1"/>
  <c r="S57" i="1" a="1"/>
  <c r="S40" i="1" a="1"/>
  <c r="S71" i="1" a="1"/>
  <c r="S52" i="1" a="1"/>
  <c r="S44" i="1" a="1"/>
  <c r="S22" i="1" a="1"/>
  <c r="S50" i="1" a="1"/>
  <c r="S33" i="1" a="1"/>
  <c r="S70" i="1" a="1"/>
  <c r="S30" i="1" a="1"/>
  <c r="S47" i="1" a="1"/>
  <c r="S25" i="1" l="1"/>
  <c r="S53" i="1"/>
  <c r="Q53" i="1" s="1"/>
  <c r="S12" i="1"/>
  <c r="S47" i="1"/>
  <c r="Q47" i="1" s="1"/>
  <c r="S61" i="1"/>
  <c r="Q61" i="1" s="1"/>
  <c r="S45" i="1"/>
  <c r="S39" i="1"/>
  <c r="R39" i="1" s="1"/>
  <c r="S34" i="1"/>
  <c r="S17" i="1"/>
  <c r="S52" i="1"/>
  <c r="Q52" i="1" s="1"/>
  <c r="S32" i="1"/>
  <c r="S60" i="1"/>
  <c r="S40" i="1"/>
  <c r="R40" i="1" s="1"/>
  <c r="S13" i="1"/>
  <c r="S48" i="1"/>
  <c r="S62" i="1"/>
  <c r="Q62" i="1" s="1"/>
  <c r="S14" i="1"/>
  <c r="S42" i="1"/>
  <c r="Q42" i="1" s="1"/>
  <c r="S56" i="1"/>
  <c r="S29" i="1"/>
  <c r="S36" i="1"/>
  <c r="R36" i="1" s="1"/>
  <c r="S43" i="1"/>
  <c r="S50" i="1"/>
  <c r="S57" i="1"/>
  <c r="S64" i="1"/>
  <c r="Q64" i="1" s="1"/>
  <c r="S31" i="1"/>
  <c r="S46" i="1"/>
  <c r="S19" i="1"/>
  <c r="R19" i="1" s="1"/>
  <c r="S33" i="1"/>
  <c r="S54" i="1"/>
  <c r="S41" i="1"/>
  <c r="Q41" i="1" s="1"/>
  <c r="S35" i="1"/>
  <c r="S49" i="1"/>
  <c r="S22" i="1"/>
  <c r="S24" i="1"/>
  <c r="Q24" i="1" s="1"/>
  <c r="S59" i="1"/>
  <c r="S26" i="1"/>
  <c r="R26" i="1" s="1"/>
  <c r="S27" i="1"/>
  <c r="S55" i="1"/>
  <c r="S28" i="1"/>
  <c r="S63" i="1"/>
  <c r="Q63" i="1" s="1"/>
  <c r="S15" i="1"/>
  <c r="S38" i="1"/>
  <c r="S18" i="1"/>
  <c r="S20" i="1"/>
  <c r="Q20" i="1" s="1"/>
  <c r="S21" i="1"/>
  <c r="Q21" i="1" s="1"/>
  <c r="S16" i="1"/>
  <c r="S23" i="1"/>
  <c r="S30" i="1"/>
  <c r="S37" i="1"/>
  <c r="S44" i="1"/>
  <c r="R44" i="1" s="1"/>
  <c r="S51" i="1"/>
  <c r="Q51" i="1" s="1"/>
  <c r="S58" i="1"/>
  <c r="S66" i="1"/>
  <c r="N66" i="1" s="1"/>
  <c r="S70" i="1"/>
  <c r="N70" i="1" s="1"/>
  <c r="S71" i="1"/>
  <c r="N71" i="1" s="1"/>
  <c r="S67" i="1"/>
  <c r="N67" i="1" s="1"/>
  <c r="S65" i="1"/>
  <c r="S68" i="1"/>
  <c r="N68" i="1" s="1"/>
  <c r="S69" i="1"/>
  <c r="N69" i="1" s="1"/>
  <c r="A7" i="10"/>
  <c r="R46" i="1" l="1"/>
  <c r="Q46" i="1"/>
  <c r="R31" i="1"/>
  <c r="Q31" i="1"/>
  <c r="R58" i="1"/>
  <c r="Q58" i="1"/>
  <c r="Q57" i="1"/>
  <c r="R57" i="1"/>
  <c r="R50" i="1"/>
  <c r="Q50" i="1"/>
  <c r="Q37" i="1"/>
  <c r="R37" i="1"/>
  <c r="Q43" i="1"/>
  <c r="R43" i="1"/>
  <c r="Q30" i="1"/>
  <c r="R30" i="1"/>
  <c r="Q23" i="1"/>
  <c r="R23" i="1"/>
  <c r="Q29" i="1"/>
  <c r="R29" i="1"/>
  <c r="R16" i="1"/>
  <c r="Q16" i="1"/>
  <c r="Q56" i="1"/>
  <c r="R56" i="1"/>
  <c r="R14" i="1"/>
  <c r="Q14" i="1"/>
  <c r="Q18" i="1"/>
  <c r="R18" i="1"/>
  <c r="R38" i="1"/>
  <c r="Q38" i="1"/>
  <c r="R48" i="1"/>
  <c r="Q48" i="1"/>
  <c r="R15" i="1"/>
  <c r="Q15" i="1"/>
  <c r="R13" i="1"/>
  <c r="Q13" i="1"/>
  <c r="Q28" i="1"/>
  <c r="R28" i="1"/>
  <c r="R60" i="1"/>
  <c r="Q60" i="1"/>
  <c r="Q55" i="1"/>
  <c r="R55" i="1"/>
  <c r="R32" i="1"/>
  <c r="Q32" i="1"/>
  <c r="Q27" i="1"/>
  <c r="R27" i="1"/>
  <c r="Q17" i="1"/>
  <c r="R17" i="1"/>
  <c r="R59" i="1"/>
  <c r="Q59" i="1"/>
  <c r="Q34" i="1"/>
  <c r="R34" i="1"/>
  <c r="R22" i="1"/>
  <c r="Q22" i="1"/>
  <c r="R45" i="1"/>
  <c r="Q45" i="1"/>
  <c r="R49" i="1"/>
  <c r="Q49" i="1"/>
  <c r="Q35" i="1"/>
  <c r="R35" i="1"/>
  <c r="Q12" i="1"/>
  <c r="R12" i="1"/>
  <c r="Q54" i="1"/>
  <c r="R54" i="1"/>
  <c r="R33" i="1"/>
  <c r="Q33" i="1"/>
  <c r="Q25" i="1"/>
  <c r="R25" i="1"/>
  <c r="S10" i="1"/>
  <c r="N65" i="1"/>
  <c r="N10" i="1" s="1"/>
  <c r="R10" i="1" l="1"/>
  <c r="Q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<sst xmlns="http://schemas.openxmlformats.org/spreadsheetml/2006/main" count="517" uniqueCount="239">
  <si>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</si>
  <si>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</si>
  <si>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</si>
  <si>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</si>
  <si>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</si>
  <si>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</si>
  <si>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</si>
  <si>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</si>
  <si>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</si>
  <si>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</si>
  <si>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</si>
  <si>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</si>
  <si>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</si>
  <si>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</si>
  <si>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</si>
  <si>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</si>
  <si>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</si>
  <si>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</si>
  <si>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</si>
  <si>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</si>
  <si>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</si>
  <si>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</si>
  <si>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</si>
  <si>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</si>
  <si>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</si>
  <si>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</si>
  <si>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</si>
  <si>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</si>
  <si>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</si>
  <si>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</si>
  <si>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</si>
  <si>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</si>
  <si>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</si>
  <si>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</si>
  <si>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</si>
  <si>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</si>
  <si>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</si>
  <si>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</si>
  <si>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</si>
  <si>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</si>
  <si>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</si>
  <si>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</si>
  <si>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</si>
  <si>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</si>
  <si>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</si>
  <si>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</si>
  <si>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</si>
  <si>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</si>
  <si>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</si>
  <si>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</si>
  <si>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</si>
  <si>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</si>
  <si>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</si>
  <si>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</si>
  <si>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</si>
  <si>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</si>
  <si>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</si>
  <si>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</si>
  <si>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</si>
  <si>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</si>
  <si>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</si>
  <si>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</si>
  <si>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</si>
  <si>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</si>
  <si>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</si>
  <si>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</si>
  <si>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</si>
  <si>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</si>
  <si>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</si>
  <si>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</si>
  <si>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</si>
  <si>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</si>
  <si>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</si>
  <si>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</si>
  <si>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</si>
  <si>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</si>
  <si>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</si>
  <si>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</si>
  <si>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</si>
  <si>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</si>
  <si>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</si>
  <si>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</si>
  <si>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</si>
  <si>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</si>
  <si>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</si>
  <si>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</si>
  <si>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</si>
  <si>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</si>
  <si>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</si>
  <si>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</si>
  <si>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</si>
  <si>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</si>
  <si>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</si>
  <si>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</si>
  <si>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</si>
  <si>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</si>
  <si>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</si>
  <si>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</si>
  <si>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</si>
  <si>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</si>
  <si>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</si>
  <si>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</si>
  <si>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</si>
  <si>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</si>
  <si>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</si>
  <si>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</si>
  <si>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</si>
  <si>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</si>
  <si>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</si>
  <si>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</si>
  <si>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</si>
  <si>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</si>
  <si>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</si>
  <si>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</si>
  <si>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</si>
  <si>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</si>
  <si>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</si>
  <si>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</si>
  <si>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</si>
  <si>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</si>
  <si>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</si>
  <si>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</si>
  <si>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</si>
  <si>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</si>
  <si>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</si>
  <si>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</si>
  <si>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</si>
  <si>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</si>
  <si>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</si>
  <si>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</si>
  <si>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</si>
  <si>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</si>
  <si>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</si>
  <si>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</si>
  <si>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</si>
  <si>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</si>
  <si>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</si>
  <si>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</si>
  <si>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</si>
  <si>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</si>
  <si>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</si>
  <si>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</si>
  <si>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</si>
  <si>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</si>
  <si>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</si>
  <si>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</si>
  <si>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</si>
  <si>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</si>
  <si>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</si>
  <si>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</si>
  <si>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</si>
  <si>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</si>
  <si>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</si>
  <si>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</si>
  <si>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</si>
  <si>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</si>
  <si>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</si>
  <si>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</si>
  <si>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</si>
  <si>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</si>
  <si>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</si>
  <si>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</si>
  <si>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</si>
  <si>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</si>
  <si>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</si>
  <si>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</si>
  <si>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</si>
  <si>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</si>
  <si>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</si>
  <si>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</si>
  <si>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</si>
  <si>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</si>
  <si>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Fremont, CA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</si>
  <si>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</si>
  <si>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</si>
  <si>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</si>
  <si>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</si>
  <si>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</si>
  <si>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</si>
  <si>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</si>
  <si>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</si>
  <si>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</si>
  <si>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</si>
  <si>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</si>
  <si>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</si>
  <si>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</si>
  <si>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</si>
  <si>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</si>
  <si>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</si>
  <si>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</si>
  <si>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</si>
  <si>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</si>
  <si>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</si>
  <si>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</si>
  <si>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</si>
  <si>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</si>
  <si>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</si>
  <si>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</si>
  <si>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</si>
  <si>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</si>
  <si>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</si>
  <si>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</si>
  <si>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</si>
  <si>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</si>
  <si>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</si>
  <si>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</si>
  <si>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</si>
  <si>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</si>
  <si>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</si>
  <si>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</si>
  <si>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</si>
  <si>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</si>
  <si>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</si>
  <si>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</si>
  <si>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</si>
  <si>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</si>
  <si>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</si>
  <si>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</si>
  <si>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</si>
  <si>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</si>
  <si>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</si>
  <si>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</si>
  <si>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</si>
  <si>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$</t>
  </si>
  <si>
    <t>C</t>
  </si>
  <si>
    <t>Venmo</t>
  </si>
  <si>
    <t>Zelle</t>
  </si>
  <si>
    <t>Check Id</t>
  </si>
  <si>
    <t>Apple</t>
  </si>
  <si>
    <t>Laurence, Andrew</t>
  </si>
  <si>
    <t>Alameda, CA</t>
  </si>
  <si>
    <t>CA-2929</t>
  </si>
  <si>
    <t>Morris, Wayne</t>
  </si>
  <si>
    <t>CA-6409</t>
  </si>
  <si>
    <t>EQ Pool</t>
  </si>
  <si>
    <t>1:6 Graduated</t>
  </si>
  <si>
    <t>Napa Wine Country Open</t>
  </si>
  <si>
    <t>The Moose Lodge</t>
  </si>
  <si>
    <t>Napa, Ca 9458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</si>
</sst>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2" activePane="bottomLeft" state="frozen"/>
      <selection pane="bottomLeft" activeCell="C21" sqref="C21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0" t="s">
        <v>54</v>
      </c>
      <c r="B1" s="170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3" t="s">
        <v>73</v>
      </c>
      <c r="E2" s="173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1" t="s">
        <v>60</v>
      </c>
      <c r="C3" s="171"/>
      <c r="D3" s="172" t="s">
        <v>236</v>
      </c>
      <c r="E3" s="172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1" t="s">
        <v>61</v>
      </c>
      <c r="C4" s="171"/>
      <c r="D4" s="172" t="s">
        <v>237</v>
      </c>
      <c r="E4" s="172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1" t="s">
        <v>62</v>
      </c>
      <c r="C5" s="171"/>
      <c r="D5" s="172" t="s">
        <v>238</v>
      </c>
      <c r="E5" s="172"/>
      <c r="F5" s="15"/>
      <c r="G5" s="17"/>
      <c r="L5" s="21"/>
      <c r="M5" s="22"/>
      <c r="N5" s="151"/>
      <c r="O5" s="168" t="s">
        <v>89</v>
      </c>
      <c r="P5" s="168"/>
      <c r="Q5" s="168"/>
      <c r="R5" s="168"/>
      <c r="S5" s="168"/>
      <c r="T5" s="168"/>
      <c r="U5" s="168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1" t="s">
        <v>63</v>
      </c>
      <c r="C6" s="171"/>
      <c r="D6" s="136">
        <v>46130</v>
      </c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9"/>
      <c r="L9" s="169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53</v>
      </c>
      <c r="C10" s="51">
        <f>COUNTIF(C12:C322,"&lt;&gt;"&amp;"")</f>
        <v>14</v>
      </c>
      <c r="G10" s="51">
        <f t="shared" ref="G10:M10" si="0">COUNTIF(G12:G322,"&lt;&gt;"&amp;"")</f>
        <v>43</v>
      </c>
      <c r="H10" s="51">
        <f t="shared" si="0"/>
        <v>25</v>
      </c>
      <c r="I10" s="51">
        <f t="shared" si="0"/>
        <v>29</v>
      </c>
      <c r="J10" s="51">
        <f t="shared" si="0"/>
        <v>14</v>
      </c>
      <c r="K10" s="51">
        <f t="shared" si="0"/>
        <v>13</v>
      </c>
      <c r="L10" s="51">
        <f t="shared" si="0"/>
        <v>4</v>
      </c>
      <c r="M10" s="51">
        <f t="shared" si="0"/>
        <v>10</v>
      </c>
      <c r="N10" s="149">
        <f>SUM(N12:N211)</f>
        <v>1060</v>
      </c>
      <c r="Q10" s="84">
        <f>SUM(Q12:Q211)</f>
        <v>3360</v>
      </c>
      <c r="R10" s="149">
        <f>SUM(R12:R211)</f>
        <v>2310</v>
      </c>
      <c r="S10" s="149">
        <f>SUM(S12:S211)</f>
        <v>5670</v>
      </c>
      <c r="T10" s="51">
        <f>COUNTIF(T12:T411,"&lt;&gt;"&amp;"")</f>
        <v>7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>
        <v>1</v>
      </c>
      <c r="C12" s="105"/>
      <c r="D12" s="145" t="s">
        <v>91</v>
      </c>
      <c r="E12" s="145"/>
      <c r="F12" s="111" t="s">
        <v>92</v>
      </c>
      <c r="G12" s="94"/>
      <c r="H12" s="105"/>
      <c r="I12" s="105"/>
      <c r="J12" s="105"/>
      <c r="K12" s="105"/>
      <c r="L12" s="166"/>
      <c r="M12" s="67">
        <v>1</v>
      </c>
      <c r="N12" s="108">
        <v>70</v>
      </c>
      <c r="O12" s="54" t="s">
        <v>223</v>
      </c>
      <c r="P12" s="7"/>
      <c r="Q12" s="144" t="str">
        <f t="shared" ref="Q12:Q43" si="1">IF(OR(O12="c",O12="C"),+S12,"")</f>
        <v/>
      </c>
      <c r="R12" s="115">
        <f t="shared" ref="R12:R43" si="2">IF(OR(O12="$",M12=1),+S12,"")</f>
        <v>70</v>
      </c>
      <c r="S12" s="54" cm="1">
        <f t="array" ref="S12">B12*MainEntryFee()+G12*MPool1Fee()+H12*MPool2Fee()+I12*MPool3Fee()+J12*MPool4Fee()</f>
        <v>70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>
        <v>1</v>
      </c>
      <c r="C13" s="105"/>
      <c r="D13" s="145" t="s">
        <v>93</v>
      </c>
      <c r="E13" s="145" t="s">
        <v>94</v>
      </c>
      <c r="F13" s="114" t="s">
        <v>95</v>
      </c>
      <c r="G13" s="94"/>
      <c r="H13" s="105"/>
      <c r="I13" s="105">
        <v>1</v>
      </c>
      <c r="J13" s="105"/>
      <c r="K13" s="105"/>
      <c r="L13" s="166"/>
      <c r="M13" s="67"/>
      <c r="N13" s="108">
        <v>0</v>
      </c>
      <c r="O13" s="54" t="s">
        <v>224</v>
      </c>
      <c r="P13" s="7">
        <v>930</v>
      </c>
      <c r="Q13" s="144">
        <f t="shared" si="1"/>
        <v>90</v>
      </c>
      <c r="R13" s="115" t="str">
        <f t="shared" si="2"/>
        <v/>
      </c>
      <c r="S13" s="54" cm="1">
        <f t="array" ref="S13">B13*MainEntryFee()+G13*MPool1Fee()+H13*MPool2Fee()+I13*MPool3Fee()+J13*MPool4Fee()</f>
        <v>90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>
        <v>1</v>
      </c>
      <c r="C14" s="105"/>
      <c r="D14" s="145" t="s">
        <v>96</v>
      </c>
      <c r="E14" s="145" t="s">
        <v>97</v>
      </c>
      <c r="F14" s="114" t="s">
        <v>98</v>
      </c>
      <c r="G14" s="106">
        <v>1</v>
      </c>
      <c r="H14" s="106"/>
      <c r="I14" s="106"/>
      <c r="J14" s="106"/>
      <c r="K14" s="106"/>
      <c r="L14" s="143"/>
      <c r="M14" s="108"/>
      <c r="N14" s="108">
        <v>0</v>
      </c>
      <c r="O14" s="54" t="s">
        <v>224</v>
      </c>
      <c r="P14" s="7">
        <v>398</v>
      </c>
      <c r="Q14" s="144">
        <f t="shared" si="1"/>
        <v>80</v>
      </c>
      <c r="R14" s="115" t="str">
        <f t="shared" si="2"/>
        <v/>
      </c>
      <c r="S14" s="54" cm="1">
        <f t="array" ref="S14">B14*MainEntryFee()+G14*MPool1Fee()+H14*MPool2Fee()+I14*MPool3Fee()+J14*MPool4Fee()</f>
        <v>80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>
        <v>1</v>
      </c>
      <c r="C15" s="105"/>
      <c r="D15" s="145" t="s">
        <v>99</v>
      </c>
      <c r="E15" s="145" t="s">
        <v>100</v>
      </c>
      <c r="F15" s="111" t="s">
        <v>101</v>
      </c>
      <c r="G15" s="94">
        <v>1</v>
      </c>
      <c r="H15" s="105">
        <v>1</v>
      </c>
      <c r="I15" s="105">
        <v>1</v>
      </c>
      <c r="J15" s="105">
        <v>1</v>
      </c>
      <c r="K15" s="105"/>
      <c r="L15" s="166"/>
      <c r="M15" s="167"/>
      <c r="N15" s="108">
        <v>0</v>
      </c>
      <c r="O15" s="54" t="s">
        <v>224</v>
      </c>
      <c r="P15" s="7">
        <v>1723</v>
      </c>
      <c r="Q15" s="144">
        <f t="shared" si="1"/>
        <v>160</v>
      </c>
      <c r="R15" s="115" t="str">
        <f t="shared" si="2"/>
        <v/>
      </c>
      <c r="S15" s="54" cm="1">
        <f t="array" ref="S15">B15*MainEntryFee()+G15*MPool1Fee()+H15*MPool2Fee()+I15*MPool3Fee()+J15*MPool4Fee()</f>
        <v>160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>
        <v>1</v>
      </c>
      <c r="C16" s="105"/>
      <c r="D16" s="145" t="s">
        <v>102</v>
      </c>
      <c r="E16" s="145" t="s">
        <v>103</v>
      </c>
      <c r="F16" s="111" t="s">
        <v>104</v>
      </c>
      <c r="G16" s="94">
        <v>1</v>
      </c>
      <c r="H16" s="105">
        <v>1</v>
      </c>
      <c r="I16" s="105">
        <v>1</v>
      </c>
      <c r="J16" s="105">
        <v>1</v>
      </c>
      <c r="K16" s="105">
        <v>1</v>
      </c>
      <c r="L16" s="143"/>
      <c r="M16" s="67"/>
      <c r="N16" s="108">
        <v>0</v>
      </c>
      <c r="O16" s="54" t="s">
        <v>224</v>
      </c>
      <c r="P16" s="7">
        <v>1587</v>
      </c>
      <c r="Q16" s="144">
        <f t="shared" si="1"/>
        <v>160</v>
      </c>
      <c r="R16" s="115" t="str">
        <f t="shared" si="2"/>
        <v/>
      </c>
      <c r="S16" s="54" cm="1">
        <f t="array" ref="S16">B16*MainEntryFee()+G16*MPool1Fee()+H16*MPool2Fee()+I16*MPool3Fee()+J16*MPool4Fee()</f>
        <v>160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>
        <v>1</v>
      </c>
      <c r="C17" s="105"/>
      <c r="D17" s="145" t="s">
        <v>105</v>
      </c>
      <c r="E17" s="145" t="s">
        <v>106</v>
      </c>
      <c r="F17" s="114" t="s">
        <v>107</v>
      </c>
      <c r="G17" s="106"/>
      <c r="H17" s="106"/>
      <c r="I17" s="106"/>
      <c r="J17" s="106"/>
      <c r="K17" s="106"/>
      <c r="L17" s="143"/>
      <c r="M17" s="108"/>
      <c r="N17" s="108">
        <v>0</v>
      </c>
      <c r="O17" s="54" t="s">
        <v>223</v>
      </c>
      <c r="P17" s="7" t="s">
        <v>225</v>
      </c>
      <c r="Q17" s="144" t="str">
        <f t="shared" si="1"/>
        <v/>
      </c>
      <c r="R17" s="115">
        <f t="shared" si="2"/>
        <v>70</v>
      </c>
      <c r="S17" s="54" cm="1">
        <f t="array" ref="S17">B17*MainEntryFee()+G17*MPool1Fee()+H17*MPool2Fee()+I17*MPool3Fee()+J17*MPool4Fee()</f>
        <v>70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>
        <v>1</v>
      </c>
      <c r="C18" s="105"/>
      <c r="D18" s="145" t="s">
        <v>108</v>
      </c>
      <c r="E18" s="145" t="s">
        <v>109</v>
      </c>
      <c r="F18" s="114" t="s">
        <v>110</v>
      </c>
      <c r="G18" s="106">
        <v>1</v>
      </c>
      <c r="H18" s="106"/>
      <c r="I18" s="106"/>
      <c r="J18" s="106"/>
      <c r="K18" s="106"/>
      <c r="L18" s="166"/>
      <c r="M18" s="108"/>
      <c r="N18" s="108">
        <v>0</v>
      </c>
      <c r="O18" s="54" t="s">
        <v>223</v>
      </c>
      <c r="P18" s="7" t="s">
        <v>226</v>
      </c>
      <c r="Q18" s="144" t="str">
        <f t="shared" si="1"/>
        <v/>
      </c>
      <c r="R18" s="115">
        <f t="shared" si="2"/>
        <v>80</v>
      </c>
      <c r="S18" s="54" cm="1">
        <f t="array" ref="S18">B18*MainEntryFee()+G18*MPool1Fee()+H18*MPool2Fee()+I18*MPool3Fee()+J18*MPool4Fee()</f>
        <v>80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>
        <v>1</v>
      </c>
      <c r="C19" s="105"/>
      <c r="D19" s="145" t="s">
        <v>111</v>
      </c>
      <c r="E19" s="145" t="s">
        <v>112</v>
      </c>
      <c r="F19" s="114" t="s">
        <v>113</v>
      </c>
      <c r="G19" s="94">
        <v>1</v>
      </c>
      <c r="H19" s="105"/>
      <c r="I19" s="105"/>
      <c r="J19" s="105"/>
      <c r="K19" s="105"/>
      <c r="L19" s="143"/>
      <c r="M19" s="67"/>
      <c r="N19" s="108">
        <v>0</v>
      </c>
      <c r="O19" s="54" t="s">
        <v>223</v>
      </c>
      <c r="P19" s="7" t="s">
        <v>225</v>
      </c>
      <c r="Q19" s="144" t="str">
        <f t="shared" si="1"/>
        <v/>
      </c>
      <c r="R19" s="115">
        <f t="shared" si="2"/>
        <v>80</v>
      </c>
      <c r="S19" s="54" cm="1">
        <f t="array" ref="S19">B19*MainEntryFee()+G19*MPool1Fee()+H19*MPool2Fee()+I19*MPool3Fee()+J19*MPool4Fee()</f>
        <v>80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>
        <v>1</v>
      </c>
      <c r="C20" s="105">
        <v>1</v>
      </c>
      <c r="D20" s="145" t="s">
        <v>114</v>
      </c>
      <c r="E20" s="145" t="s">
        <v>115</v>
      </c>
      <c r="F20" s="111" t="s">
        <v>116</v>
      </c>
      <c r="G20" s="94">
        <v>1</v>
      </c>
      <c r="H20" s="105">
        <v>1</v>
      </c>
      <c r="I20" s="105">
        <v>1</v>
      </c>
      <c r="J20" s="105">
        <v>1</v>
      </c>
      <c r="K20" s="105">
        <v>1</v>
      </c>
      <c r="L20" s="143"/>
      <c r="M20" s="67"/>
      <c r="N20" s="108">
        <v>0</v>
      </c>
      <c r="O20" s="54" t="s">
        <v>224</v>
      </c>
      <c r="P20" s="7">
        <v>3536</v>
      </c>
      <c r="Q20" s="144">
        <f t="shared" si="1"/>
        <v>160</v>
      </c>
      <c r="R20" s="115" t="str">
        <f t="shared" si="2"/>
        <v/>
      </c>
      <c r="S20" s="54" cm="1">
        <f t="array" ref="S20">B20*MainEntryFee()+G20*MPool1Fee()+H20*MPool2Fee()+I20*MPool3Fee()+J20*MPool4Fee()</f>
        <v>160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>
        <v>1</v>
      </c>
      <c r="C21" s="105"/>
      <c r="D21" s="145" t="s">
        <v>117</v>
      </c>
      <c r="E21" s="145" t="s">
        <v>112</v>
      </c>
      <c r="F21" s="111" t="s">
        <v>118</v>
      </c>
      <c r="G21" s="94">
        <v>1</v>
      </c>
      <c r="H21" s="105"/>
      <c r="I21" s="105"/>
      <c r="J21" s="105"/>
      <c r="K21" s="105"/>
      <c r="L21" s="143"/>
      <c r="M21" s="67"/>
      <c r="N21" s="108">
        <v>0</v>
      </c>
      <c r="O21" s="54" t="s">
        <v>224</v>
      </c>
      <c r="P21" s="7">
        <v>206</v>
      </c>
      <c r="Q21" s="144">
        <f t="shared" si="1"/>
        <v>80</v>
      </c>
      <c r="R21" s="115" t="str">
        <f t="shared" si="2"/>
        <v/>
      </c>
      <c r="S21" s="54" cm="1">
        <f t="array" ref="S21">B21*MainEntryFee()+G21*MPool1Fee()+H21*MPool2Fee()+I21*MPool3Fee()+J21*MPool4Fee()</f>
        <v>80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>
        <v>1</v>
      </c>
      <c r="C22" s="105"/>
      <c r="D22" s="145" t="s">
        <v>119</v>
      </c>
      <c r="E22" s="145" t="s">
        <v>120</v>
      </c>
      <c r="F22" s="111" t="s">
        <v>121</v>
      </c>
      <c r="G22" s="94"/>
      <c r="H22" s="105"/>
      <c r="I22" s="105"/>
      <c r="J22" s="105"/>
      <c r="K22" s="105"/>
      <c r="L22" s="143"/>
      <c r="M22" s="67"/>
      <c r="N22" s="108">
        <v>0</v>
      </c>
      <c r="O22" s="54" t="s">
        <v>224</v>
      </c>
      <c r="P22" s="7">
        <v>1094</v>
      </c>
      <c r="Q22" s="144">
        <f t="shared" si="1"/>
        <v>70</v>
      </c>
      <c r="R22" s="115" t="str">
        <f t="shared" si="2"/>
        <v/>
      </c>
      <c r="S22" s="54" cm="1">
        <f t="array" ref="S22">B22*MainEntryFee()+G22*MPool1Fee()+H22*MPool2Fee()+I22*MPool3Fee()+J22*MPool4Fee()</f>
        <v>70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>
        <v>1</v>
      </c>
      <c r="C23" s="105"/>
      <c r="D23" s="145" t="s">
        <v>122</v>
      </c>
      <c r="E23" s="145" t="s">
        <v>123</v>
      </c>
      <c r="F23" s="111" t="s">
        <v>124</v>
      </c>
      <c r="G23" s="94">
        <v>1</v>
      </c>
      <c r="H23" s="105">
        <v>1</v>
      </c>
      <c r="I23" s="105"/>
      <c r="J23" s="105"/>
      <c r="K23" s="105"/>
      <c r="L23" s="143"/>
      <c r="M23" s="67"/>
      <c r="N23" s="108">
        <v>0</v>
      </c>
      <c r="O23" s="54" t="s">
        <v>223</v>
      </c>
      <c r="P23" s="7" t="s">
        <v>227</v>
      </c>
      <c r="Q23" s="144" t="str">
        <f t="shared" si="1"/>
        <v/>
      </c>
      <c r="R23" s="115">
        <f t="shared" si="2"/>
        <v>90</v>
      </c>
      <c r="S23" s="54" cm="1">
        <f t="array" ref="S23">B23*MainEntryFee()+G23*MPool1Fee()+H23*MPool2Fee()+I23*MPool3Fee()+J23*MPool4Fee()</f>
        <v>90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>
        <v>1</v>
      </c>
      <c r="C24" s="105"/>
      <c r="D24" s="145" t="s">
        <v>125</v>
      </c>
      <c r="E24" s="145" t="s">
        <v>94</v>
      </c>
      <c r="F24" s="114" t="s">
        <v>126</v>
      </c>
      <c r="G24" s="94">
        <v>1</v>
      </c>
      <c r="H24" s="105">
        <v>1</v>
      </c>
      <c r="I24" s="105">
        <v>1</v>
      </c>
      <c r="J24" s="105"/>
      <c r="K24" s="105"/>
      <c r="L24" s="143"/>
      <c r="M24" s="67"/>
      <c r="N24" s="108">
        <v>0</v>
      </c>
      <c r="O24" s="54" t="s">
        <v>224</v>
      </c>
      <c r="P24" s="7">
        <v>1360</v>
      </c>
      <c r="Q24" s="144">
        <f t="shared" si="1"/>
        <v>110</v>
      </c>
      <c r="R24" s="115" t="str">
        <f t="shared" si="2"/>
        <v/>
      </c>
      <c r="S24" s="54" cm="1">
        <f t="array" ref="S24">B24*MainEntryFee()+G24*MPool1Fee()+H24*MPool2Fee()+I24*MPool3Fee()+J24*MPool4Fee()</f>
        <v>110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>
        <v>1</v>
      </c>
      <c r="C25" s="105"/>
      <c r="D25" s="145" t="s">
        <v>127</v>
      </c>
      <c r="E25" s="145" t="s">
        <v>112</v>
      </c>
      <c r="F25" s="114" t="s">
        <v>128</v>
      </c>
      <c r="G25" s="106">
        <v>1</v>
      </c>
      <c r="H25" s="106"/>
      <c r="I25" s="106">
        <v>1</v>
      </c>
      <c r="J25" s="106"/>
      <c r="K25" s="106"/>
      <c r="L25" s="143"/>
      <c r="M25" s="108">
        <v>1</v>
      </c>
      <c r="N25" s="108">
        <v>100</v>
      </c>
      <c r="O25" s="54" t="s">
        <v>223</v>
      </c>
      <c r="P25" s="7"/>
      <c r="Q25" s="144" t="str">
        <f t="shared" si="1"/>
        <v/>
      </c>
      <c r="R25" s="115">
        <f t="shared" si="2"/>
        <v>100</v>
      </c>
      <c r="S25" s="54" cm="1">
        <f t="array" ref="S25">B25*MainEntryFee()+G25*MPool1Fee()+H25*MPool2Fee()+I25*MPool3Fee()+J25*MPool4Fee()</f>
        <v>100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>
        <v>1</v>
      </c>
      <c r="C26" s="105">
        <v>1</v>
      </c>
      <c r="D26" s="145" t="s">
        <v>129</v>
      </c>
      <c r="E26" s="145" t="s">
        <v>130</v>
      </c>
      <c r="F26" s="111" t="s">
        <v>131</v>
      </c>
      <c r="G26" s="94">
        <v>1</v>
      </c>
      <c r="H26" s="105">
        <v>1</v>
      </c>
      <c r="I26" s="105">
        <v>1</v>
      </c>
      <c r="J26" s="105">
        <v>1</v>
      </c>
      <c r="K26" s="105">
        <v>1</v>
      </c>
      <c r="L26" s="143"/>
      <c r="M26" s="67">
        <v>1</v>
      </c>
      <c r="N26" s="108">
        <v>160</v>
      </c>
      <c r="O26" s="54" t="s">
        <v>223</v>
      </c>
      <c r="P26" s="7"/>
      <c r="Q26" s="144" t="str">
        <f t="shared" si="1"/>
        <v/>
      </c>
      <c r="R26" s="115">
        <f t="shared" si="2"/>
        <v>160</v>
      </c>
      <c r="S26" s="54" cm="1">
        <f t="array" ref="S26">B26*MainEntryFee()+G26*MPool1Fee()+H26*MPool2Fee()+I26*MPool3Fee()+J26*MPool4Fee()</f>
        <v>160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>
        <v>1</v>
      </c>
      <c r="C27" s="105">
        <v>1</v>
      </c>
      <c r="D27" s="145" t="s">
        <v>132</v>
      </c>
      <c r="E27" s="145" t="s">
        <v>120</v>
      </c>
      <c r="F27" s="111" t="s">
        <v>133</v>
      </c>
      <c r="G27" s="105">
        <v>1</v>
      </c>
      <c r="H27" s="105">
        <v>1</v>
      </c>
      <c r="I27" s="105">
        <v>1</v>
      </c>
      <c r="J27" s="105">
        <v>1</v>
      </c>
      <c r="K27" s="105">
        <v>1</v>
      </c>
      <c r="L27" s="143"/>
      <c r="M27" s="67"/>
      <c r="N27" s="108">
        <v>0</v>
      </c>
      <c r="O27" s="54" t="s">
        <v>223</v>
      </c>
      <c r="P27" s="7"/>
      <c r="Q27" s="144" t="str">
        <f t="shared" si="1"/>
        <v/>
      </c>
      <c r="R27" s="115">
        <f t="shared" si="2"/>
        <v>160</v>
      </c>
      <c r="S27" s="54" cm="1">
        <f t="array" ref="S27">B27*MainEntryFee()+G27*MPool1Fee()+H27*MPool2Fee()+I27*MPool3Fee()+J27*MPool4Fee()</f>
        <v>160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>
        <v>1</v>
      </c>
      <c r="C28" s="105"/>
      <c r="D28" s="145" t="s">
        <v>134</v>
      </c>
      <c r="E28" s="145" t="s">
        <v>135</v>
      </c>
      <c r="F28" s="114" t="s">
        <v>136</v>
      </c>
      <c r="G28" s="106">
        <v>1</v>
      </c>
      <c r="H28" s="106"/>
      <c r="I28" s="106"/>
      <c r="J28" s="106"/>
      <c r="K28" s="106"/>
      <c r="L28" s="143"/>
      <c r="M28" s="108"/>
      <c r="N28" s="108">
        <v>0</v>
      </c>
      <c r="O28" s="54" t="s">
        <v>223</v>
      </c>
      <c r="P28" s="7" t="s">
        <v>225</v>
      </c>
      <c r="Q28" s="144" t="str">
        <f t="shared" si="1"/>
        <v/>
      </c>
      <c r="R28" s="115">
        <f t="shared" si="2"/>
        <v>80</v>
      </c>
      <c r="S28" s="54" cm="1">
        <f t="array" ref="S28">B28*MainEntryFee()+G28*MPool1Fee()+H28*MPool2Fee()+I28*MPool3Fee()+J28*MPool4Fee()</f>
        <v>80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>
        <v>1</v>
      </c>
      <c r="C29" s="105"/>
      <c r="D29" s="145" t="s">
        <v>137</v>
      </c>
      <c r="E29" s="145" t="s">
        <v>138</v>
      </c>
      <c r="F29" s="114" t="s">
        <v>139</v>
      </c>
      <c r="G29" s="106">
        <v>1</v>
      </c>
      <c r="H29" s="106">
        <v>1</v>
      </c>
      <c r="I29" s="106">
        <v>1</v>
      </c>
      <c r="J29" s="106">
        <v>1</v>
      </c>
      <c r="K29" s="106">
        <v>1</v>
      </c>
      <c r="L29" s="143"/>
      <c r="M29" s="108">
        <v>1</v>
      </c>
      <c r="N29" s="108">
        <v>160</v>
      </c>
      <c r="O29" s="54" t="s">
        <v>223</v>
      </c>
      <c r="P29" s="7"/>
      <c r="Q29" s="144" t="str">
        <f t="shared" si="1"/>
        <v/>
      </c>
      <c r="R29" s="115">
        <f t="shared" si="2"/>
        <v>160</v>
      </c>
      <c r="S29" s="54" cm="1">
        <f t="array" ref="S29">B29*MainEntryFee()+G29*MPool1Fee()+H29*MPool2Fee()+I29*MPool3Fee()+J29*MPool4Fee()</f>
        <v>160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>
        <v>1</v>
      </c>
      <c r="C30" s="105">
        <v>1</v>
      </c>
      <c r="D30" s="145" t="s">
        <v>140</v>
      </c>
      <c r="E30" s="145" t="s">
        <v>141</v>
      </c>
      <c r="F30" s="114" t="s">
        <v>142</v>
      </c>
      <c r="G30" s="106">
        <v>1</v>
      </c>
      <c r="H30" s="106">
        <v>1</v>
      </c>
      <c r="I30" s="106">
        <v>1</v>
      </c>
      <c r="J30" s="106"/>
      <c r="K30" s="106">
        <v>1</v>
      </c>
      <c r="L30" s="143"/>
      <c r="M30" s="108"/>
      <c r="N30" s="108">
        <v>0</v>
      </c>
      <c r="O30" s="54" t="s">
        <v>223</v>
      </c>
      <c r="P30" s="7" t="s">
        <v>226</v>
      </c>
      <c r="Q30" s="144" t="str">
        <f t="shared" si="1"/>
        <v/>
      </c>
      <c r="R30" s="115">
        <f t="shared" si="2"/>
        <v>110</v>
      </c>
      <c r="S30" s="54" cm="1">
        <f t="array" ref="S30">B30*MainEntryFee()+G30*MPool1Fee()+H30*MPool2Fee()+I30*MPool3Fee()+J30*MPool4Fee()</f>
        <v>110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>
        <v>1</v>
      </c>
      <c r="C31" s="105"/>
      <c r="D31" s="145" t="s">
        <v>143</v>
      </c>
      <c r="E31" s="145" t="s">
        <v>144</v>
      </c>
      <c r="F31" s="114" t="s">
        <v>145</v>
      </c>
      <c r="G31" s="106">
        <v>1</v>
      </c>
      <c r="H31" s="106"/>
      <c r="I31" s="106"/>
      <c r="J31" s="106"/>
      <c r="K31" s="106"/>
      <c r="L31" s="166"/>
      <c r="M31" s="108"/>
      <c r="N31" s="108">
        <v>0</v>
      </c>
      <c r="O31" s="54" t="s">
        <v>224</v>
      </c>
      <c r="P31" s="7">
        <v>2575</v>
      </c>
      <c r="Q31" s="144">
        <f t="shared" si="1"/>
        <v>80</v>
      </c>
      <c r="R31" s="115" t="str">
        <f t="shared" si="2"/>
        <v/>
      </c>
      <c r="S31" s="54" cm="1">
        <f t="array" ref="S31">B31*MainEntryFee()+G31*MPool1Fee()+H31*MPool2Fee()+I31*MPool3Fee()+J31*MPool4Fee()</f>
        <v>80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>
        <v>1</v>
      </c>
      <c r="C32" s="105"/>
      <c r="D32" s="145" t="s">
        <v>146</v>
      </c>
      <c r="E32" s="145" t="s">
        <v>147</v>
      </c>
      <c r="F32" s="111" t="s">
        <v>148</v>
      </c>
      <c r="G32" s="94">
        <v>1</v>
      </c>
      <c r="H32" s="105">
        <v>1</v>
      </c>
      <c r="I32" s="105">
        <v>1</v>
      </c>
      <c r="J32" s="105"/>
      <c r="K32" s="105"/>
      <c r="L32" s="143"/>
      <c r="M32" s="67"/>
      <c r="N32" s="108">
        <v>0</v>
      </c>
      <c r="O32" s="54" t="s">
        <v>224</v>
      </c>
      <c r="P32" s="7">
        <v>7333</v>
      </c>
      <c r="Q32" s="144">
        <f t="shared" si="1"/>
        <v>110</v>
      </c>
      <c r="R32" s="115" t="str">
        <f t="shared" si="2"/>
        <v/>
      </c>
      <c r="S32" s="54" cm="1">
        <f t="array" ref="S32">B32*MainEntryFee()+G32*MPool1Fee()+H32*MPool2Fee()+I32*MPool3Fee()+J32*MPool4Fee()</f>
        <v>110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>
        <v>1</v>
      </c>
      <c r="C33" s="105"/>
      <c r="D33" s="145" t="s">
        <v>149</v>
      </c>
      <c r="E33" s="145" t="s">
        <v>144</v>
      </c>
      <c r="F33" s="114" t="s">
        <v>150</v>
      </c>
      <c r="G33" s="106">
        <v>1</v>
      </c>
      <c r="H33" s="106"/>
      <c r="I33" s="106"/>
      <c r="J33" s="106"/>
      <c r="K33" s="106"/>
      <c r="L33" s="143"/>
      <c r="M33" s="108"/>
      <c r="N33" s="108">
        <v>0</v>
      </c>
      <c r="O33" s="54" t="s">
        <v>224</v>
      </c>
      <c r="P33" s="7">
        <v>648</v>
      </c>
      <c r="Q33" s="144">
        <f t="shared" si="1"/>
        <v>80</v>
      </c>
      <c r="R33" s="115" t="str">
        <f t="shared" si="2"/>
        <v/>
      </c>
      <c r="S33" s="54" cm="1">
        <f t="array" ref="S33">B33*MainEntryFee()+G33*MPool1Fee()+H33*MPool2Fee()+I33*MPool3Fee()+J33*MPool4Fee()</f>
        <v>80</v>
      </c>
      <c r="T33" s="144">
        <v>1</v>
      </c>
      <c r="W33" s="1"/>
      <c r="X33" s="1"/>
      <c r="Y33" s="1"/>
      <c r="Z33" s="126"/>
      <c r="AA33" s="127"/>
      <c r="AC33" s="21"/>
    </row>
    <row r="34" spans="1:29" x14ac:dyDescent="0.25">
      <c r="A34" s="7"/>
      <c r="B34" s="106">
        <v>1</v>
      </c>
      <c r="C34" s="105"/>
      <c r="D34" s="145" t="s">
        <v>229</v>
      </c>
      <c r="E34" s="145" t="s">
        <v>230</v>
      </c>
      <c r="F34" s="114" t="s">
        <v>231</v>
      </c>
      <c r="G34" s="106"/>
      <c r="H34" s="106"/>
      <c r="I34" s="106"/>
      <c r="J34" s="106"/>
      <c r="K34" s="106">
        <v>1</v>
      </c>
      <c r="L34" s="143"/>
      <c r="M34" s="108"/>
      <c r="N34" s="108">
        <v>0</v>
      </c>
      <c r="O34" s="54" t="s">
        <v>223</v>
      </c>
      <c r="P34" s="7"/>
      <c r="Q34" s="144" t="str">
        <f t="shared" si="1"/>
        <v/>
      </c>
      <c r="R34" s="115">
        <f t="shared" si="2"/>
        <v>70</v>
      </c>
      <c r="S34" s="54" cm="1">
        <f t="array" ref="S34">B34*MainEntryFee()+G34*MPool1Fee()+H34*MPool2Fee()+I34*MPool3Fee()+J34*MPool4Fee()</f>
        <v>70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>
        <v>1</v>
      </c>
      <c r="C35" s="105">
        <v>1</v>
      </c>
      <c r="D35" s="145" t="s">
        <v>151</v>
      </c>
      <c r="E35" s="145" t="s">
        <v>152</v>
      </c>
      <c r="F35" s="111" t="s">
        <v>153</v>
      </c>
      <c r="G35" s="106"/>
      <c r="H35" s="106"/>
      <c r="I35" s="106"/>
      <c r="J35" s="106"/>
      <c r="K35" s="106"/>
      <c r="L35" s="143">
        <v>1</v>
      </c>
      <c r="M35" s="108">
        <v>1</v>
      </c>
      <c r="N35" s="108">
        <v>70</v>
      </c>
      <c r="O35" s="54" t="s">
        <v>223</v>
      </c>
      <c r="P35" s="7"/>
      <c r="Q35" s="144" t="str">
        <f t="shared" si="1"/>
        <v/>
      </c>
      <c r="R35" s="115">
        <f t="shared" si="2"/>
        <v>70</v>
      </c>
      <c r="S35" s="54" cm="1">
        <f t="array" ref="S35">B35*MainEntryFee()+G35*MPool1Fee()+H35*MPool2Fee()+I35*MPool3Fee()+J35*MPool4Fee()</f>
        <v>70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>
        <v>1</v>
      </c>
      <c r="C36" s="105"/>
      <c r="D36" s="145" t="s">
        <v>154</v>
      </c>
      <c r="E36" s="145" t="s">
        <v>155</v>
      </c>
      <c r="F36" s="114" t="s">
        <v>156</v>
      </c>
      <c r="G36" s="106">
        <v>1</v>
      </c>
      <c r="H36" s="106"/>
      <c r="I36" s="106"/>
      <c r="J36" s="106"/>
      <c r="K36" s="106">
        <v>1</v>
      </c>
      <c r="L36" s="143"/>
      <c r="M36" s="108">
        <v>1</v>
      </c>
      <c r="N36" s="108">
        <v>80</v>
      </c>
      <c r="O36" s="54" t="s">
        <v>223</v>
      </c>
      <c r="P36" s="7"/>
      <c r="Q36" s="144" t="str">
        <f t="shared" si="1"/>
        <v/>
      </c>
      <c r="R36" s="115">
        <f t="shared" si="2"/>
        <v>80</v>
      </c>
      <c r="S36" s="54" cm="1">
        <f t="array" ref="S36">B36*MainEntryFee()+G36*MPool1Fee()+H36*MPool2Fee()+I36*MPool3Fee()+J36*MPool4Fee()</f>
        <v>80</v>
      </c>
      <c r="T36" s="144">
        <v>1</v>
      </c>
      <c r="W36" s="1"/>
      <c r="X36" s="1"/>
      <c r="Y36" s="1"/>
      <c r="Z36" s="126"/>
      <c r="AA36" s="83"/>
      <c r="AC36" s="21"/>
    </row>
    <row r="37" spans="1:29" x14ac:dyDescent="0.25">
      <c r="A37" s="7"/>
      <c r="B37" s="106">
        <v>1</v>
      </c>
      <c r="C37" s="105"/>
      <c r="D37" s="145" t="s">
        <v>157</v>
      </c>
      <c r="E37" s="145" t="s">
        <v>158</v>
      </c>
      <c r="F37" s="114" t="s">
        <v>159</v>
      </c>
      <c r="G37" s="106">
        <v>1</v>
      </c>
      <c r="H37" s="106"/>
      <c r="I37" s="106">
        <v>1</v>
      </c>
      <c r="J37" s="106"/>
      <c r="K37" s="106"/>
      <c r="L37" s="143"/>
      <c r="M37" s="108">
        <v>1</v>
      </c>
      <c r="N37" s="108">
        <v>100</v>
      </c>
      <c r="O37" s="54" t="s">
        <v>223</v>
      </c>
      <c r="P37" s="7"/>
      <c r="Q37" s="144" t="str">
        <f t="shared" si="1"/>
        <v/>
      </c>
      <c r="R37" s="115">
        <f t="shared" si="2"/>
        <v>100</v>
      </c>
      <c r="S37" s="54" cm="1">
        <f t="array" ref="S37">B37*MainEntryFee()+G37*MPool1Fee()+H37*MPool2Fee()+I37*MPool3Fee()+J37*MPool4Fee()</f>
        <v>100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>
        <v>1</v>
      </c>
      <c r="C38" s="105"/>
      <c r="D38" s="145" t="s">
        <v>160</v>
      </c>
      <c r="E38" s="145" t="s">
        <v>161</v>
      </c>
      <c r="F38" s="111" t="s">
        <v>162</v>
      </c>
      <c r="G38" s="94"/>
      <c r="H38" s="105"/>
      <c r="I38" s="105"/>
      <c r="J38" s="105"/>
      <c r="K38" s="105"/>
      <c r="L38" s="143"/>
      <c r="M38" s="67"/>
      <c r="N38" s="108">
        <v>0</v>
      </c>
      <c r="O38" s="54" t="s">
        <v>224</v>
      </c>
      <c r="P38" s="7">
        <v>1800</v>
      </c>
      <c r="Q38" s="144">
        <f t="shared" si="1"/>
        <v>70</v>
      </c>
      <c r="R38" s="115" t="str">
        <f t="shared" si="2"/>
        <v/>
      </c>
      <c r="S38" s="54" cm="1">
        <f t="array" ref="S38">B38*MainEntryFee()+G38*MPool1Fee()+H38*MPool2Fee()+I38*MPool3Fee()+J38*MPool4Fee()</f>
        <v>70</v>
      </c>
      <c r="T38" s="144">
        <v>1</v>
      </c>
      <c r="W38" s="1"/>
      <c r="X38" s="1"/>
      <c r="Y38" s="1"/>
      <c r="Z38" s="126"/>
      <c r="AA38" s="83"/>
      <c r="AC38" s="21"/>
    </row>
    <row r="39" spans="1:29" x14ac:dyDescent="0.25">
      <c r="A39" s="7"/>
      <c r="B39" s="94">
        <v>1</v>
      </c>
      <c r="C39" s="105"/>
      <c r="D39" s="145" t="s">
        <v>163</v>
      </c>
      <c r="E39" s="145" t="s">
        <v>120</v>
      </c>
      <c r="F39" s="114" t="s">
        <v>164</v>
      </c>
      <c r="G39" s="94">
        <v>1</v>
      </c>
      <c r="H39" s="105">
        <v>1</v>
      </c>
      <c r="I39" s="105">
        <v>1</v>
      </c>
      <c r="J39" s="105">
        <v>1</v>
      </c>
      <c r="K39" s="105"/>
      <c r="L39" s="143"/>
      <c r="M39" s="67"/>
      <c r="N39" s="108">
        <v>0</v>
      </c>
      <c r="O39" s="54" t="s">
        <v>223</v>
      </c>
      <c r="P39" s="7" t="s">
        <v>228</v>
      </c>
      <c r="Q39" s="144" t="str">
        <f t="shared" si="1"/>
        <v/>
      </c>
      <c r="R39" s="115">
        <f t="shared" si="2"/>
        <v>160</v>
      </c>
      <c r="S39" s="54" cm="1">
        <f t="array" ref="S39">B39*MainEntryFee()+G39*MPool1Fee()+H39*MPool2Fee()+I39*MPool3Fee()+J39*MPool4Fee()</f>
        <v>160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>
        <v>1</v>
      </c>
      <c r="C40" s="105"/>
      <c r="D40" s="145" t="s">
        <v>165</v>
      </c>
      <c r="E40" s="145" t="s">
        <v>166</v>
      </c>
      <c r="F40" s="111" t="s">
        <v>167</v>
      </c>
      <c r="G40" s="106">
        <v>1</v>
      </c>
      <c r="H40" s="106"/>
      <c r="I40" s="106"/>
      <c r="J40" s="106"/>
      <c r="K40" s="106"/>
      <c r="L40" s="143"/>
      <c r="M40" s="108"/>
      <c r="N40" s="108">
        <v>0</v>
      </c>
      <c r="O40" s="54" t="s">
        <v>223</v>
      </c>
      <c r="P40" s="7" t="s">
        <v>225</v>
      </c>
      <c r="Q40" s="144" t="str">
        <f t="shared" si="1"/>
        <v/>
      </c>
      <c r="R40" s="115">
        <f t="shared" si="2"/>
        <v>80</v>
      </c>
      <c r="S40" s="54" cm="1">
        <f t="array" ref="S40">B40*MainEntryFee()+G40*MPool1Fee()+H40*MPool2Fee()+I40*MPool3Fee()+J40*MPool4Fee()</f>
        <v>80</v>
      </c>
      <c r="T40" s="144">
        <v>1</v>
      </c>
      <c r="W40" s="1"/>
      <c r="X40" s="1"/>
      <c r="Y40" s="1"/>
      <c r="Z40" s="126"/>
      <c r="AA40" s="83"/>
      <c r="AC40" s="21"/>
    </row>
    <row r="41" spans="1:29" x14ac:dyDescent="0.25">
      <c r="A41" s="7"/>
      <c r="B41" s="106">
        <v>1</v>
      </c>
      <c r="C41" s="105">
        <v>1</v>
      </c>
      <c r="D41" s="145" t="s">
        <v>168</v>
      </c>
      <c r="E41" s="145" t="s">
        <v>120</v>
      </c>
      <c r="F41" s="104" t="s">
        <v>169</v>
      </c>
      <c r="G41" s="106">
        <v>1</v>
      </c>
      <c r="H41" s="106">
        <v>1</v>
      </c>
      <c r="I41" s="106">
        <v>1</v>
      </c>
      <c r="J41" s="106">
        <v>1</v>
      </c>
      <c r="K41" s="106"/>
      <c r="L41" s="166"/>
      <c r="M41" s="108"/>
      <c r="N41" s="108">
        <v>0</v>
      </c>
      <c r="O41" s="54" t="s">
        <v>224</v>
      </c>
      <c r="P41" s="7">
        <v>2553</v>
      </c>
      <c r="Q41" s="144">
        <f t="shared" si="1"/>
        <v>160</v>
      </c>
      <c r="R41" s="115" t="str">
        <f t="shared" si="2"/>
        <v/>
      </c>
      <c r="S41" s="54" cm="1">
        <f t="array" ref="S41">B41*MainEntryFee()+G41*MPool1Fee()+H41*MPool2Fee()+I41*MPool3Fee()+J41*MPool4Fee()</f>
        <v>160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>
        <v>1</v>
      </c>
      <c r="C42" s="105">
        <v>1</v>
      </c>
      <c r="D42" s="145" t="s">
        <v>170</v>
      </c>
      <c r="E42" s="145" t="s">
        <v>138</v>
      </c>
      <c r="F42" s="114" t="s">
        <v>171</v>
      </c>
      <c r="G42" s="106">
        <v>1</v>
      </c>
      <c r="H42" s="106"/>
      <c r="I42" s="106"/>
      <c r="J42" s="106"/>
      <c r="K42" s="106"/>
      <c r="L42" s="143"/>
      <c r="M42" s="108"/>
      <c r="N42" s="108">
        <v>0</v>
      </c>
      <c r="O42" s="54" t="s">
        <v>224</v>
      </c>
      <c r="P42" s="7">
        <v>133</v>
      </c>
      <c r="Q42" s="144">
        <f t="shared" si="1"/>
        <v>80</v>
      </c>
      <c r="R42" s="115" t="str">
        <f t="shared" si="2"/>
        <v/>
      </c>
      <c r="S42" s="54" cm="1">
        <f t="array" ref="S42">B42*MainEntryFee()+G42*MPool1Fee()+H42*MPool2Fee()+I42*MPool3Fee()+J42*MPool4Fee()</f>
        <v>80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>
        <v>1</v>
      </c>
      <c r="C43" s="105"/>
      <c r="D43" s="145" t="s">
        <v>232</v>
      </c>
      <c r="E43" s="145" t="s">
        <v>172</v>
      </c>
      <c r="F43" s="114" t="s">
        <v>233</v>
      </c>
      <c r="G43" s="106">
        <v>1</v>
      </c>
      <c r="H43" s="106">
        <v>1</v>
      </c>
      <c r="I43" s="106">
        <v>1</v>
      </c>
      <c r="J43" s="106"/>
      <c r="K43" s="106">
        <v>1</v>
      </c>
      <c r="L43" s="143"/>
      <c r="M43" s="108">
        <v>1</v>
      </c>
      <c r="N43" s="108">
        <v>110</v>
      </c>
      <c r="O43" s="54" t="s">
        <v>223</v>
      </c>
      <c r="P43" s="7"/>
      <c r="Q43" s="144" t="str">
        <f t="shared" si="1"/>
        <v/>
      </c>
      <c r="R43" s="115">
        <f t="shared" si="2"/>
        <v>110</v>
      </c>
      <c r="S43" s="54" cm="1">
        <f t="array" ref="S43">B43*MainEntryFee()+G43*MPool1Fee()+H43*MPool2Fee()+I43*MPool3Fee()+J43*MPool4Fee()</f>
        <v>110</v>
      </c>
      <c r="T43" s="144"/>
      <c r="W43" s="1"/>
      <c r="X43" s="1"/>
      <c r="Y43" s="1"/>
      <c r="Z43" s="126"/>
      <c r="AA43" s="83"/>
      <c r="AC43" s="21"/>
    </row>
    <row r="44" spans="1:29" x14ac:dyDescent="0.25">
      <c r="A44" s="7"/>
      <c r="B44" s="106">
        <v>1</v>
      </c>
      <c r="C44" s="105">
        <v>1</v>
      </c>
      <c r="D44" s="145" t="s">
        <v>173</v>
      </c>
      <c r="E44" s="145" t="s">
        <v>174</v>
      </c>
      <c r="F44" s="111" t="s">
        <v>175</v>
      </c>
      <c r="G44" s="105">
        <v>1</v>
      </c>
      <c r="H44" s="105"/>
      <c r="I44" s="105">
        <v>1</v>
      </c>
      <c r="J44" s="105"/>
      <c r="K44" s="105"/>
      <c r="L44" s="143">
        <v>1</v>
      </c>
      <c r="M44" s="67">
        <v>1</v>
      </c>
      <c r="N44" s="108">
        <v>100</v>
      </c>
      <c r="O44" s="54" t="s">
        <v>223</v>
      </c>
      <c r="P44" s="7"/>
      <c r="Q44" s="144" t="str">
        <f t="shared" ref="Q44:Q75" si="3">IF(OR(O44="c",O44="C"),+S44,"")</f>
        <v/>
      </c>
      <c r="R44" s="115">
        <f t="shared" ref="R44:R71" si="4">IF(OR(O44="$",M44=1),+S44,"")</f>
        <v>100</v>
      </c>
      <c r="S44" s="54" cm="1">
        <f t="array" ref="S44">B44*MainEntryFee()+G44*MPool1Fee()+H44*MPool2Fee()+I44*MPool3Fee()+J44*MPool4Fee()</f>
        <v>100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>
        <v>1</v>
      </c>
      <c r="C45" s="105"/>
      <c r="D45" s="145" t="s">
        <v>176</v>
      </c>
      <c r="E45" s="145" t="s">
        <v>177</v>
      </c>
      <c r="F45" s="114" t="s">
        <v>178</v>
      </c>
      <c r="G45" s="106">
        <v>1</v>
      </c>
      <c r="H45" s="106">
        <v>1</v>
      </c>
      <c r="I45" s="106">
        <v>1</v>
      </c>
      <c r="J45" s="106"/>
      <c r="K45" s="106"/>
      <c r="L45" s="166"/>
      <c r="M45" s="108"/>
      <c r="N45" s="108">
        <v>0</v>
      </c>
      <c r="O45" s="54" t="s">
        <v>224</v>
      </c>
      <c r="P45" s="7">
        <v>5361</v>
      </c>
      <c r="Q45" s="144">
        <f t="shared" si="3"/>
        <v>110</v>
      </c>
      <c r="R45" s="115" t="str">
        <f t="shared" si="4"/>
        <v/>
      </c>
      <c r="S45" s="54" cm="1">
        <f t="array" ref="S45">B45*MainEntryFee()+G45*MPool1Fee()+H45*MPool2Fee()+I45*MPool3Fee()+J45*MPool4Fee()</f>
        <v>110</v>
      </c>
      <c r="T45" s="144">
        <v>1</v>
      </c>
      <c r="W45" s="1"/>
      <c r="X45" s="1"/>
      <c r="Y45" s="1"/>
      <c r="Z45" s="126"/>
      <c r="AA45" s="127"/>
      <c r="AC45" s="21"/>
    </row>
    <row r="46" spans="1:29" x14ac:dyDescent="0.25">
      <c r="A46" s="7"/>
      <c r="B46" s="94">
        <v>1</v>
      </c>
      <c r="C46" s="105"/>
      <c r="D46" s="145" t="s">
        <v>179</v>
      </c>
      <c r="E46" s="145" t="s">
        <v>180</v>
      </c>
      <c r="F46" s="111" t="s">
        <v>181</v>
      </c>
      <c r="G46" s="94"/>
      <c r="H46" s="105"/>
      <c r="I46" s="105"/>
      <c r="J46" s="105"/>
      <c r="K46" s="105"/>
      <c r="L46" s="143">
        <v>1</v>
      </c>
      <c r="M46" s="67"/>
      <c r="N46" s="108">
        <v>0</v>
      </c>
      <c r="O46" s="54" t="s">
        <v>224</v>
      </c>
      <c r="P46" s="7">
        <v>5007</v>
      </c>
      <c r="Q46" s="144">
        <f t="shared" si="3"/>
        <v>70</v>
      </c>
      <c r="R46" s="115" t="str">
        <f t="shared" si="4"/>
        <v/>
      </c>
      <c r="S46" s="54" cm="1">
        <f t="array" ref="S46">B46*MainEntryFee()+G46*MPool1Fee()+H46*MPool2Fee()+I46*MPool3Fee()+J46*MPool4Fee()</f>
        <v>70</v>
      </c>
      <c r="T46" s="144">
        <v>1</v>
      </c>
      <c r="W46" s="1"/>
      <c r="X46" s="1"/>
      <c r="Y46" s="1"/>
      <c r="Z46" s="126"/>
      <c r="AA46" s="83"/>
      <c r="AC46" s="21"/>
    </row>
    <row r="47" spans="1:29" x14ac:dyDescent="0.25">
      <c r="A47" s="7"/>
      <c r="B47" s="106">
        <v>1</v>
      </c>
      <c r="C47" s="105"/>
      <c r="D47" s="145" t="s">
        <v>182</v>
      </c>
      <c r="E47" s="145" t="s">
        <v>120</v>
      </c>
      <c r="F47" s="114" t="s">
        <v>183</v>
      </c>
      <c r="G47" s="94">
        <v>1</v>
      </c>
      <c r="H47" s="105">
        <v>1</v>
      </c>
      <c r="I47" s="105">
        <v>1</v>
      </c>
      <c r="J47" s="105">
        <v>1</v>
      </c>
      <c r="K47" s="105">
        <v>1</v>
      </c>
      <c r="L47" s="143"/>
      <c r="M47" s="67"/>
      <c r="N47" s="108">
        <v>0</v>
      </c>
      <c r="O47" s="54" t="s">
        <v>224</v>
      </c>
      <c r="P47" s="7">
        <v>5008</v>
      </c>
      <c r="Q47" s="144">
        <f t="shared" si="3"/>
        <v>160</v>
      </c>
      <c r="R47" s="115" t="str">
        <f t="shared" si="4"/>
        <v/>
      </c>
      <c r="S47" s="54" cm="1">
        <f t="array" ref="S47">B47*MainEntryFee()+G47*MPool1Fee()+H47*MPool2Fee()+I47*MPool3Fee()+J47*MPool4Fee()</f>
        <v>160</v>
      </c>
      <c r="T47" s="144">
        <v>1</v>
      </c>
      <c r="W47" s="1"/>
      <c r="X47" s="1"/>
      <c r="Y47" s="1"/>
      <c r="Z47" s="126"/>
      <c r="AA47" s="83"/>
      <c r="AC47" s="21"/>
    </row>
    <row r="48" spans="1:29" x14ac:dyDescent="0.25">
      <c r="A48" s="7"/>
      <c r="B48" s="106">
        <v>1</v>
      </c>
      <c r="C48" s="105"/>
      <c r="D48" s="145" t="s">
        <v>184</v>
      </c>
      <c r="E48" s="145" t="s">
        <v>172</v>
      </c>
      <c r="F48" s="111" t="s">
        <v>185</v>
      </c>
      <c r="G48" s="94">
        <v>1</v>
      </c>
      <c r="H48" s="105"/>
      <c r="I48" s="105"/>
      <c r="J48" s="105"/>
      <c r="K48" s="105"/>
      <c r="L48" s="143"/>
      <c r="M48" s="67"/>
      <c r="N48" s="108">
        <v>0</v>
      </c>
      <c r="O48" s="54" t="s">
        <v>224</v>
      </c>
      <c r="P48" s="7">
        <v>375</v>
      </c>
      <c r="Q48" s="144">
        <f t="shared" si="3"/>
        <v>80</v>
      </c>
      <c r="R48" s="115" t="str">
        <f t="shared" si="4"/>
        <v/>
      </c>
      <c r="S48" s="54" cm="1">
        <f t="array" ref="S48">B48*MainEntryFee()+G48*MPool1Fee()+H48*MPool2Fee()+I48*MPool3Fee()+J48*MPool4Fee()</f>
        <v>80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>
        <v>1</v>
      </c>
      <c r="C49" s="105"/>
      <c r="D49" s="145" t="s">
        <v>186</v>
      </c>
      <c r="E49" s="145" t="s">
        <v>120</v>
      </c>
      <c r="F49" s="114" t="s">
        <v>187</v>
      </c>
      <c r="G49" s="106">
        <v>1</v>
      </c>
      <c r="H49" s="106"/>
      <c r="I49" s="106">
        <v>1</v>
      </c>
      <c r="J49" s="106"/>
      <c r="K49" s="106"/>
      <c r="L49" s="143"/>
      <c r="M49" s="108"/>
      <c r="N49" s="108">
        <v>0</v>
      </c>
      <c r="O49" s="54" t="s">
        <v>224</v>
      </c>
      <c r="P49" s="7">
        <v>1399</v>
      </c>
      <c r="Q49" s="144">
        <f t="shared" si="3"/>
        <v>100</v>
      </c>
      <c r="R49" s="115" t="str">
        <f t="shared" si="4"/>
        <v/>
      </c>
      <c r="S49" s="54" cm="1">
        <f t="array" ref="S49">B49*MainEntryFee()+G49*MPool1Fee()+H49*MPool2Fee()+I49*MPool3Fee()+J49*MPool4Fee()</f>
        <v>100</v>
      </c>
      <c r="T49" s="144"/>
      <c r="W49" s="1"/>
      <c r="X49" s="1"/>
      <c r="Y49" s="1"/>
      <c r="Z49" s="126"/>
      <c r="AA49" s="83"/>
      <c r="AC49" s="21"/>
    </row>
    <row r="50" spans="1:29" x14ac:dyDescent="0.25">
      <c r="A50" s="7"/>
      <c r="B50" s="106">
        <v>1</v>
      </c>
      <c r="C50" s="105"/>
      <c r="D50" s="145" t="s">
        <v>188</v>
      </c>
      <c r="E50" s="145" t="s">
        <v>189</v>
      </c>
      <c r="F50" s="114" t="s">
        <v>190</v>
      </c>
      <c r="G50" s="106">
        <v>1</v>
      </c>
      <c r="H50" s="106">
        <v>1</v>
      </c>
      <c r="I50" s="106">
        <v>1</v>
      </c>
      <c r="J50" s="106">
        <v>1</v>
      </c>
      <c r="K50" s="106"/>
      <c r="L50" s="143"/>
      <c r="M50" s="108"/>
      <c r="N50" s="108">
        <v>0</v>
      </c>
      <c r="O50" s="54" t="s">
        <v>224</v>
      </c>
      <c r="P50" s="7">
        <v>1399</v>
      </c>
      <c r="Q50" s="144">
        <f t="shared" si="3"/>
        <v>160</v>
      </c>
      <c r="R50" s="115" t="str">
        <f t="shared" si="4"/>
        <v/>
      </c>
      <c r="S50" s="54" cm="1">
        <f t="array" ref="S50">B50*MainEntryFee()+G50*MPool1Fee()+H50*MPool2Fee()+I50*MPool3Fee()+J50*MPool4Fee()</f>
        <v>160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>
        <v>1</v>
      </c>
      <c r="C51" s="105">
        <v>1</v>
      </c>
      <c r="D51" s="145" t="s">
        <v>191</v>
      </c>
      <c r="E51" s="145" t="s">
        <v>192</v>
      </c>
      <c r="F51" s="111" t="s">
        <v>193</v>
      </c>
      <c r="G51" s="94">
        <v>1</v>
      </c>
      <c r="H51" s="105">
        <v>1</v>
      </c>
      <c r="I51" s="105">
        <v>1</v>
      </c>
      <c r="J51" s="105">
        <v>1</v>
      </c>
      <c r="K51" s="105">
        <v>1</v>
      </c>
      <c r="L51" s="143"/>
      <c r="M51" s="67"/>
      <c r="N51" s="108">
        <v>0</v>
      </c>
      <c r="O51" s="54" t="s">
        <v>224</v>
      </c>
      <c r="P51" s="7">
        <v>616</v>
      </c>
      <c r="Q51" s="144">
        <f t="shared" si="3"/>
        <v>160</v>
      </c>
      <c r="R51" s="115" t="str">
        <f t="shared" si="4"/>
        <v/>
      </c>
      <c r="S51" s="54" cm="1">
        <f t="array" ref="S51">B51*MainEntryFee()+G51*MPool1Fee()+H51*MPool2Fee()+I51*MPool3Fee()+J51*MPool4Fee()</f>
        <v>160</v>
      </c>
      <c r="T51" s="144"/>
      <c r="W51" s="1"/>
      <c r="X51" s="1"/>
      <c r="Y51" s="1"/>
      <c r="Z51" s="126"/>
      <c r="AA51" s="83"/>
      <c r="AC51" s="21"/>
    </row>
    <row r="52" spans="1:29" x14ac:dyDescent="0.25">
      <c r="A52" s="7"/>
      <c r="B52" s="94">
        <v>1</v>
      </c>
      <c r="C52" s="105"/>
      <c r="D52" s="145" t="s">
        <v>194</v>
      </c>
      <c r="E52" s="145" t="s">
        <v>195</v>
      </c>
      <c r="F52" s="114" t="s">
        <v>196</v>
      </c>
      <c r="G52" s="94">
        <v>1</v>
      </c>
      <c r="H52" s="105">
        <v>1</v>
      </c>
      <c r="I52" s="105">
        <v>1</v>
      </c>
      <c r="J52" s="105">
        <v>1</v>
      </c>
      <c r="K52" s="105">
        <v>1</v>
      </c>
      <c r="L52" s="166"/>
      <c r="M52" s="67"/>
      <c r="N52" s="108">
        <v>0</v>
      </c>
      <c r="O52" s="54" t="s">
        <v>224</v>
      </c>
      <c r="P52" s="7">
        <v>1886</v>
      </c>
      <c r="Q52" s="144">
        <f t="shared" si="3"/>
        <v>160</v>
      </c>
      <c r="R52" s="115" t="str">
        <f t="shared" si="4"/>
        <v/>
      </c>
      <c r="S52" s="54" cm="1">
        <f t="array" ref="S52">B52*MainEntryFee()+G52*MPool1Fee()+H52*MPool2Fee()+I52*MPool3Fee()+J52*MPool4Fee()</f>
        <v>160</v>
      </c>
      <c r="T52" s="144"/>
      <c r="W52" s="1"/>
      <c r="X52" s="1"/>
      <c r="Y52" s="1"/>
      <c r="Z52" s="126"/>
      <c r="AA52" s="127"/>
      <c r="AC52" s="21"/>
    </row>
    <row r="53" spans="1:29" x14ac:dyDescent="0.25">
      <c r="A53" s="7"/>
      <c r="B53" s="94">
        <v>1</v>
      </c>
      <c r="C53" s="105">
        <v>1</v>
      </c>
      <c r="D53" s="145" t="s">
        <v>197</v>
      </c>
      <c r="E53" s="145" t="s">
        <v>195</v>
      </c>
      <c r="F53" s="114" t="s">
        <v>198</v>
      </c>
      <c r="G53" s="106">
        <v>1</v>
      </c>
      <c r="H53" s="106">
        <v>1</v>
      </c>
      <c r="I53" s="106">
        <v>1</v>
      </c>
      <c r="J53" s="106">
        <v>1</v>
      </c>
      <c r="K53" s="106">
        <v>1</v>
      </c>
      <c r="L53" s="166"/>
      <c r="M53" s="108"/>
      <c r="N53" s="108">
        <v>0</v>
      </c>
      <c r="O53" s="54" t="s">
        <v>224</v>
      </c>
      <c r="P53" s="7">
        <v>1886</v>
      </c>
      <c r="Q53" s="144">
        <f t="shared" si="3"/>
        <v>160</v>
      </c>
      <c r="R53" s="115" t="str">
        <f t="shared" si="4"/>
        <v/>
      </c>
      <c r="S53" s="54" cm="1">
        <f t="array" ref="S53">B53*MainEntryFee()+G53*MPool1Fee()+H53*MPool2Fee()+I53*MPool3Fee()+J53*MPool4Fee()</f>
        <v>160</v>
      </c>
      <c r="T53" s="144"/>
      <c r="W53" s="1"/>
      <c r="X53" s="1"/>
      <c r="Y53" s="1"/>
      <c r="Z53" s="126"/>
      <c r="AA53" s="83"/>
      <c r="AC53" s="21"/>
    </row>
    <row r="54" spans="1:29" x14ac:dyDescent="0.25">
      <c r="A54" s="7"/>
      <c r="B54" s="94">
        <v>1</v>
      </c>
      <c r="C54" s="94"/>
      <c r="D54" s="146" t="s">
        <v>199</v>
      </c>
      <c r="E54" s="146" t="s">
        <v>166</v>
      </c>
      <c r="F54" s="114" t="s">
        <v>200</v>
      </c>
      <c r="G54" s="106">
        <v>1</v>
      </c>
      <c r="H54" s="106">
        <v>1</v>
      </c>
      <c r="I54" s="106">
        <v>1</v>
      </c>
      <c r="J54" s="106"/>
      <c r="K54" s="106"/>
      <c r="L54" s="166"/>
      <c r="M54" s="108">
        <v>1</v>
      </c>
      <c r="N54" s="108">
        <v>110</v>
      </c>
      <c r="O54" s="54" t="s">
        <v>223</v>
      </c>
      <c r="P54" s="7"/>
      <c r="Q54" s="144" t="str">
        <f t="shared" si="3"/>
        <v/>
      </c>
      <c r="R54" s="115">
        <f t="shared" si="4"/>
        <v>110</v>
      </c>
      <c r="S54" s="54" cm="1">
        <f t="array" ref="S54">B54*MainEntryFee()+G54*MPool1Fee()+H54*MPool2Fee()+I54*MPool3Fee()+J54*MPool4Fee()</f>
        <v>110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>
        <v>1</v>
      </c>
      <c r="C55" s="105">
        <v>1</v>
      </c>
      <c r="D55" s="145" t="s">
        <v>201</v>
      </c>
      <c r="E55" s="145" t="s">
        <v>120</v>
      </c>
      <c r="F55" s="114" t="s">
        <v>202</v>
      </c>
      <c r="G55" s="106">
        <v>1</v>
      </c>
      <c r="H55" s="106">
        <v>1</v>
      </c>
      <c r="I55" s="106">
        <v>1</v>
      </c>
      <c r="J55" s="106"/>
      <c r="K55" s="106"/>
      <c r="L55" s="166"/>
      <c r="M55" s="108"/>
      <c r="N55" s="108">
        <v>0</v>
      </c>
      <c r="O55" s="54" t="s">
        <v>223</v>
      </c>
      <c r="P55" s="7"/>
      <c r="Q55" s="144" t="str">
        <f t="shared" si="3"/>
        <v/>
      </c>
      <c r="R55" s="115">
        <f t="shared" si="4"/>
        <v>110</v>
      </c>
      <c r="S55" s="54" cm="1">
        <f t="array" ref="S55">B55*MainEntryFee()+G55*MPool1Fee()+H55*MPool2Fee()+I55*MPool3Fee()+J55*MPool4Fee()</f>
        <v>110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>
        <v>1</v>
      </c>
      <c r="C56" s="105"/>
      <c r="D56" s="145" t="s">
        <v>203</v>
      </c>
      <c r="E56" s="145" t="s">
        <v>120</v>
      </c>
      <c r="F56" s="111"/>
      <c r="G56" s="105"/>
      <c r="H56" s="105"/>
      <c r="I56" s="105"/>
      <c r="J56" s="105"/>
      <c r="K56" s="105"/>
      <c r="L56" s="143"/>
      <c r="M56" s="67"/>
      <c r="N56" s="108">
        <v>0</v>
      </c>
      <c r="O56" s="54" t="s">
        <v>223</v>
      </c>
      <c r="P56" s="7"/>
      <c r="Q56" s="144" t="str">
        <f t="shared" si="3"/>
        <v/>
      </c>
      <c r="R56" s="115">
        <f t="shared" si="4"/>
        <v>70</v>
      </c>
      <c r="S56" s="54" cm="1">
        <f t="array" ref="S56">B56*MainEntryFee()+G56*MPool1Fee()+H56*MPool2Fee()+I56*MPool3Fee()+J56*MPool4Fee()</f>
        <v>70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>
        <v>1</v>
      </c>
      <c r="C57" s="105"/>
      <c r="D57" s="145" t="s">
        <v>204</v>
      </c>
      <c r="E57" s="145" t="s">
        <v>120</v>
      </c>
      <c r="F57" s="114" t="s">
        <v>205</v>
      </c>
      <c r="G57" s="94">
        <v>1</v>
      </c>
      <c r="H57" s="105">
        <v>1</v>
      </c>
      <c r="I57" s="105"/>
      <c r="J57" s="105"/>
      <c r="K57" s="105"/>
      <c r="L57" s="143"/>
      <c r="M57" s="67"/>
      <c r="N57" s="108">
        <v>0</v>
      </c>
      <c r="O57" s="54" t="s">
        <v>223</v>
      </c>
      <c r="P57" s="7"/>
      <c r="Q57" s="144" t="str">
        <f t="shared" si="3"/>
        <v/>
      </c>
      <c r="R57" s="115">
        <f t="shared" si="4"/>
        <v>90</v>
      </c>
      <c r="S57" s="54" cm="1">
        <f t="array" ref="S57">B57*MainEntryFee()+G57*MPool1Fee()+H57*MPool2Fee()+I57*MPool3Fee()+J57*MPool4Fee()</f>
        <v>90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>
        <v>1</v>
      </c>
      <c r="C58" s="105"/>
      <c r="D58" s="145" t="s">
        <v>206</v>
      </c>
      <c r="E58" s="145" t="s">
        <v>120</v>
      </c>
      <c r="F58" s="114" t="s">
        <v>207</v>
      </c>
      <c r="G58" s="106">
        <v>1</v>
      </c>
      <c r="H58" s="106">
        <v>1</v>
      </c>
      <c r="I58" s="106">
        <v>1</v>
      </c>
      <c r="J58" s="106"/>
      <c r="K58" s="106"/>
      <c r="L58" s="143"/>
      <c r="M58" s="108"/>
      <c r="N58" s="108">
        <v>0</v>
      </c>
      <c r="O58" s="54" t="s">
        <v>224</v>
      </c>
      <c r="P58" s="7">
        <v>1149</v>
      </c>
      <c r="Q58" s="144">
        <f t="shared" si="3"/>
        <v>110</v>
      </c>
      <c r="R58" s="115" t="str">
        <f t="shared" si="4"/>
        <v/>
      </c>
      <c r="S58" s="54" cm="1">
        <f t="array" ref="S58">B58*MainEntryFee()+G58*MPool1Fee()+H58*MPool2Fee()+I58*MPool3Fee()+J58*MPool4Fee()</f>
        <v>110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>
        <v>1</v>
      </c>
      <c r="C59" s="105">
        <v>1</v>
      </c>
      <c r="D59" s="145" t="s">
        <v>208</v>
      </c>
      <c r="E59" s="145" t="s">
        <v>120</v>
      </c>
      <c r="F59" s="114" t="s">
        <v>209</v>
      </c>
      <c r="G59" s="106">
        <v>1</v>
      </c>
      <c r="H59" s="106"/>
      <c r="I59" s="106"/>
      <c r="J59" s="106"/>
      <c r="K59" s="106"/>
      <c r="L59" s="143">
        <v>1</v>
      </c>
      <c r="M59" s="108"/>
      <c r="N59" s="108">
        <v>0</v>
      </c>
      <c r="O59" s="54" t="s">
        <v>224</v>
      </c>
      <c r="P59" s="7">
        <v>1149</v>
      </c>
      <c r="Q59" s="144">
        <f t="shared" si="3"/>
        <v>80</v>
      </c>
      <c r="R59" s="115" t="str">
        <f t="shared" si="4"/>
        <v/>
      </c>
      <c r="S59" s="54" cm="1">
        <f t="array" ref="S59">B59*MainEntryFee()+G59*MPool1Fee()+H59*MPool2Fee()+I59*MPool3Fee()+J59*MPool4Fee()</f>
        <v>80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>
        <v>1</v>
      </c>
      <c r="C60" s="105"/>
      <c r="D60" s="145" t="s">
        <v>210</v>
      </c>
      <c r="E60" s="145" t="s">
        <v>211</v>
      </c>
      <c r="F60" s="114" t="s">
        <v>212</v>
      </c>
      <c r="G60" s="106">
        <v>1</v>
      </c>
      <c r="H60" s="106"/>
      <c r="I60" s="106"/>
      <c r="J60" s="106"/>
      <c r="K60" s="106"/>
      <c r="L60" s="143"/>
      <c r="M60" s="108"/>
      <c r="N60" s="108">
        <v>0</v>
      </c>
      <c r="O60" s="54" t="s">
        <v>224</v>
      </c>
      <c r="P60" s="7">
        <v>2487</v>
      </c>
      <c r="Q60" s="144">
        <f t="shared" si="3"/>
        <v>80</v>
      </c>
      <c r="R60" s="115" t="str">
        <f t="shared" si="4"/>
        <v/>
      </c>
      <c r="S60" s="54" cm="1">
        <f t="array" ref="S60">B60*MainEntryFee()+G60*MPool1Fee()+H60*MPool2Fee()+I60*MPool3Fee()+J60*MPool4Fee()</f>
        <v>80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>
        <v>1</v>
      </c>
      <c r="C61" s="105">
        <v>1</v>
      </c>
      <c r="D61" s="145" t="s">
        <v>213</v>
      </c>
      <c r="E61" s="145" t="s">
        <v>214</v>
      </c>
      <c r="F61" s="114" t="s">
        <v>215</v>
      </c>
      <c r="G61" s="106"/>
      <c r="H61" s="106"/>
      <c r="I61" s="106"/>
      <c r="J61" s="106"/>
      <c r="K61" s="106"/>
      <c r="L61" s="143"/>
      <c r="M61" s="108"/>
      <c r="N61" s="108">
        <v>0</v>
      </c>
      <c r="O61" s="54" t="s">
        <v>224</v>
      </c>
      <c r="P61" s="7">
        <v>8803</v>
      </c>
      <c r="Q61" s="144">
        <f t="shared" si="3"/>
        <v>70</v>
      </c>
      <c r="R61" s="115" t="str">
        <f t="shared" si="4"/>
        <v/>
      </c>
      <c r="S61" s="54" cm="1">
        <f t="array" ref="S61">B61*MainEntryFee()+G61*MPool1Fee()+H61*MPool2Fee()+I61*MPool3Fee()+J61*MPool4Fee()</f>
        <v>70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>
        <v>1</v>
      </c>
      <c r="C62" s="105">
        <v>1</v>
      </c>
      <c r="D62" s="145" t="s">
        <v>216</v>
      </c>
      <c r="E62" s="145" t="s">
        <v>217</v>
      </c>
      <c r="F62" s="114" t="s">
        <v>218</v>
      </c>
      <c r="G62" s="106">
        <v>1</v>
      </c>
      <c r="H62" s="106">
        <v>1</v>
      </c>
      <c r="I62" s="106">
        <v>1</v>
      </c>
      <c r="J62" s="106">
        <v>1</v>
      </c>
      <c r="K62" s="106"/>
      <c r="L62" s="143"/>
      <c r="M62" s="108"/>
      <c r="N62" s="108">
        <v>0</v>
      </c>
      <c r="O62" s="54" t="s">
        <v>224</v>
      </c>
      <c r="P62" s="7">
        <v>7357</v>
      </c>
      <c r="Q62" s="144">
        <f t="shared" si="3"/>
        <v>160</v>
      </c>
      <c r="R62" s="115" t="str">
        <f t="shared" si="4"/>
        <v/>
      </c>
      <c r="S62" s="54" cm="1">
        <f t="array" ref="S62">B62*MainEntryFee()+G62*MPool1Fee()+H62*MPool2Fee()+I62*MPool3Fee()+J62*MPool4Fee()</f>
        <v>160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>
        <v>1</v>
      </c>
      <c r="C63" s="105"/>
      <c r="D63" s="145" t="s">
        <v>219</v>
      </c>
      <c r="E63" s="145" t="s">
        <v>120</v>
      </c>
      <c r="F63" s="152" t="s">
        <v>220</v>
      </c>
      <c r="G63" s="106">
        <v>1</v>
      </c>
      <c r="H63" s="106"/>
      <c r="I63" s="106">
        <v>1</v>
      </c>
      <c r="J63" s="106"/>
      <c r="K63" s="106"/>
      <c r="L63" s="143"/>
      <c r="M63" s="108"/>
      <c r="N63" s="108">
        <v>0</v>
      </c>
      <c r="O63" s="54" t="s">
        <v>224</v>
      </c>
      <c r="P63" s="7">
        <v>4040</v>
      </c>
      <c r="Q63" s="144">
        <f t="shared" si="3"/>
        <v>100</v>
      </c>
      <c r="R63" s="115" t="str">
        <f t="shared" si="4"/>
        <v/>
      </c>
      <c r="S63" s="54" cm="1">
        <f t="array" ref="S63">B63*MainEntryFee()+G63*MPool1Fee()+H63*MPool2Fee()+I63*MPool3Fee()+J63*MPool4Fee()</f>
        <v>100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>
        <v>1</v>
      </c>
      <c r="C64" s="105"/>
      <c r="D64" s="145" t="s">
        <v>221</v>
      </c>
      <c r="E64" s="145" t="s">
        <v>172</v>
      </c>
      <c r="F64" s="114" t="s">
        <v>222</v>
      </c>
      <c r="G64" s="106">
        <v>1</v>
      </c>
      <c r="H64" s="106">
        <v>1</v>
      </c>
      <c r="I64" s="106">
        <v>1</v>
      </c>
      <c r="J64" s="106"/>
      <c r="K64" s="106"/>
      <c r="L64" s="143"/>
      <c r="M64" s="108"/>
      <c r="N64" s="108">
        <v>0</v>
      </c>
      <c r="O64" s="54" t="s">
        <v>224</v>
      </c>
      <c r="P64" s="7">
        <v>9990</v>
      </c>
      <c r="Q64" s="144">
        <f t="shared" si="3"/>
        <v>110</v>
      </c>
      <c r="R64" s="115" t="str">
        <f t="shared" si="4"/>
        <v/>
      </c>
      <c r="S64" s="54" cm="1">
        <f t="array" ref="S64">B64*MainEntryFee()+G64*MPool1Fee()+H64*MPool2Fee()+I64*MPool3Fee()+J64*MPool4Fee()</f>
        <v>110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>
        <f t="shared" ref="N65:N71" si="5">M65*S65</f>
        <v>0</v>
      </c>
      <c r="O65" s="54"/>
      <c r="P65" s="7"/>
      <c r="Q65" s="144" t="str">
        <f t="shared" si="3"/>
        <v/>
      </c>
      <c r="R65" s="115" t="str">
        <f t="shared" si="4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>
        <f t="shared" si="5"/>
        <v>0</v>
      </c>
      <c r="O66" s="54"/>
      <c r="P66" s="7"/>
      <c r="Q66" s="144" t="str">
        <f t="shared" si="3"/>
        <v/>
      </c>
      <c r="R66" s="115" t="str">
        <f t="shared" si="4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>
        <f t="shared" si="5"/>
        <v>0</v>
      </c>
      <c r="O67" s="54"/>
      <c r="P67" s="7"/>
      <c r="Q67" s="144" t="str">
        <f t="shared" si="3"/>
        <v/>
      </c>
      <c r="R67" s="115" t="str">
        <f t="shared" si="4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>
        <f t="shared" si="5"/>
        <v>0</v>
      </c>
      <c r="O68" s="54"/>
      <c r="P68" s="7"/>
      <c r="Q68" s="144" t="str">
        <f t="shared" si="3"/>
        <v/>
      </c>
      <c r="R68" s="115" t="str">
        <f t="shared" si="4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>
        <f t="shared" si="5"/>
        <v>0</v>
      </c>
      <c r="O69" s="54"/>
      <c r="P69" s="7"/>
      <c r="Q69" s="144" t="str">
        <f t="shared" si="3"/>
        <v/>
      </c>
      <c r="R69" s="115" t="str">
        <f t="shared" si="4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>
        <f t="shared" si="5"/>
        <v>0</v>
      </c>
      <c r="O70" s="54"/>
      <c r="P70" s="7"/>
      <c r="Q70" s="144" t="str">
        <f t="shared" si="3"/>
        <v/>
      </c>
      <c r="R70" s="115" t="str">
        <f t="shared" si="4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>
        <f t="shared" si="5"/>
        <v>0</v>
      </c>
      <c r="O71" s="54"/>
      <c r="P71" s="7"/>
      <c r="Q71" s="144" t="str">
        <f t="shared" si="3"/>
        <v/>
      </c>
      <c r="R71" s="115" t="str">
        <f t="shared" si="4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 t="str">
        <f t="shared" si="3"/>
        <v/>
      </c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 t="str">
        <f t="shared" si="3"/>
        <v/>
      </c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 t="str">
        <f t="shared" si="3"/>
        <v/>
      </c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 t="str">
        <f t="shared" si="3"/>
        <v/>
      </c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 t="str">
        <f t="shared" ref="Q76" si="6">IF(OR(O76="c",O76="C"),+S76,"")</f>
        <v/>
      </c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 t="str">
        <f t="shared" ref="Q77:Q140" si="7">IF(OR(O77="c",O77="C"),+S77,"")</f>
        <v/>
      </c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 t="str">
        <f t="shared" si="7"/>
        <v/>
      </c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 t="str">
        <f t="shared" si="7"/>
        <v/>
      </c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 t="str">
        <f t="shared" si="7"/>
        <v/>
      </c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 t="str">
        <f t="shared" si="7"/>
        <v/>
      </c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 t="str">
        <f t="shared" si="7"/>
        <v/>
      </c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 t="str">
        <f t="shared" si="7"/>
        <v/>
      </c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 t="str">
        <f t="shared" si="7"/>
        <v/>
      </c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 t="str">
        <f t="shared" si="7"/>
        <v/>
      </c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 t="str">
        <f t="shared" si="7"/>
        <v/>
      </c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 t="str">
        <f t="shared" si="7"/>
        <v/>
      </c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 t="str">
        <f t="shared" si="7"/>
        <v/>
      </c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 t="str">
        <f t="shared" si="7"/>
        <v/>
      </c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 t="str">
        <f t="shared" si="7"/>
        <v/>
      </c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 t="str">
        <f t="shared" si="7"/>
        <v/>
      </c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 t="str">
        <f t="shared" si="7"/>
        <v/>
      </c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 t="str">
        <f t="shared" si="7"/>
        <v/>
      </c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 t="str">
        <f t="shared" si="7"/>
        <v/>
      </c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 t="str">
        <f t="shared" si="7"/>
        <v/>
      </c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 t="str">
        <f t="shared" si="7"/>
        <v/>
      </c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 t="str">
        <f t="shared" si="7"/>
        <v/>
      </c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 t="str">
        <f t="shared" si="7"/>
        <v/>
      </c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 t="str">
        <f t="shared" si="7"/>
        <v/>
      </c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 t="str">
        <f t="shared" si="7"/>
        <v/>
      </c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 t="str">
        <f t="shared" si="7"/>
        <v/>
      </c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 t="str">
        <f t="shared" si="7"/>
        <v/>
      </c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 t="str">
        <f t="shared" si="7"/>
        <v/>
      </c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 t="str">
        <f t="shared" si="7"/>
        <v/>
      </c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 t="str">
        <f t="shared" si="7"/>
        <v/>
      </c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 t="str">
        <f t="shared" si="7"/>
        <v/>
      </c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 t="str">
        <f t="shared" si="7"/>
        <v/>
      </c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 t="str">
        <f t="shared" si="7"/>
        <v/>
      </c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 t="str">
        <f t="shared" si="7"/>
        <v/>
      </c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 t="str">
        <f t="shared" si="7"/>
        <v/>
      </c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 t="str">
        <f t="shared" si="7"/>
        <v/>
      </c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 t="str">
        <f t="shared" si="7"/>
        <v/>
      </c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 t="str">
        <f t="shared" si="7"/>
        <v/>
      </c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 t="str">
        <f t="shared" si="7"/>
        <v/>
      </c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 t="str">
        <f t="shared" si="7"/>
        <v/>
      </c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 t="str">
        <f t="shared" si="7"/>
        <v/>
      </c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 t="str">
        <f t="shared" si="7"/>
        <v/>
      </c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 t="str">
        <f t="shared" si="7"/>
        <v/>
      </c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 t="str">
        <f t="shared" si="7"/>
        <v/>
      </c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 t="str">
        <f t="shared" si="7"/>
        <v/>
      </c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 t="str">
        <f t="shared" si="7"/>
        <v/>
      </c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 t="str">
        <f t="shared" si="7"/>
        <v/>
      </c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 t="str">
        <f t="shared" si="7"/>
        <v/>
      </c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 t="str">
        <f t="shared" si="7"/>
        <v/>
      </c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 t="str">
        <f t="shared" si="7"/>
        <v/>
      </c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 t="str">
        <f t="shared" si="7"/>
        <v/>
      </c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 t="str">
        <f t="shared" si="7"/>
        <v/>
      </c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 t="str">
        <f t="shared" si="7"/>
        <v/>
      </c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 t="str">
        <f t="shared" si="7"/>
        <v/>
      </c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 t="str">
        <f t="shared" si="7"/>
        <v/>
      </c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 t="str">
        <f t="shared" si="7"/>
        <v/>
      </c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 t="str">
        <f t="shared" si="7"/>
        <v/>
      </c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 t="str">
        <f t="shared" si="7"/>
        <v/>
      </c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 t="str">
        <f t="shared" si="7"/>
        <v/>
      </c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 t="str">
        <f t="shared" si="7"/>
        <v/>
      </c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 t="str">
        <f t="shared" si="7"/>
        <v/>
      </c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 t="str">
        <f t="shared" si="7"/>
        <v/>
      </c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 t="str">
        <f t="shared" si="7"/>
        <v/>
      </c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 t="str">
        <f t="shared" si="7"/>
        <v/>
      </c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 t="str">
        <f t="shared" si="7"/>
        <v/>
      </c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 t="str">
        <f t="shared" ref="Q141:Q204" si="8">IF(OR(O141="c",O141="C"),+S141,"")</f>
        <v/>
      </c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 t="str">
        <f t="shared" si="8"/>
        <v/>
      </c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 t="str">
        <f t="shared" si="8"/>
        <v/>
      </c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 t="str">
        <f t="shared" si="8"/>
        <v/>
      </c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 t="str">
        <f t="shared" si="8"/>
        <v/>
      </c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 t="str">
        <f t="shared" si="8"/>
        <v/>
      </c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 t="str">
        <f t="shared" si="8"/>
        <v/>
      </c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 t="str">
        <f t="shared" si="8"/>
        <v/>
      </c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 t="str">
        <f t="shared" si="8"/>
        <v/>
      </c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 t="str">
        <f t="shared" si="8"/>
        <v/>
      </c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 t="str">
        <f t="shared" si="8"/>
        <v/>
      </c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 t="str">
        <f t="shared" si="8"/>
        <v/>
      </c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 t="str">
        <f t="shared" si="8"/>
        <v/>
      </c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 t="str">
        <f t="shared" si="8"/>
        <v/>
      </c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 t="str">
        <f t="shared" si="8"/>
        <v/>
      </c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 t="str">
        <f t="shared" si="8"/>
        <v/>
      </c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 t="str">
        <f t="shared" si="8"/>
        <v/>
      </c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 t="str">
        <f t="shared" si="8"/>
        <v/>
      </c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 t="str">
        <f t="shared" si="8"/>
        <v/>
      </c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 t="str">
        <f t="shared" si="8"/>
        <v/>
      </c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 t="str">
        <f t="shared" si="8"/>
        <v/>
      </c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 t="str">
        <f t="shared" si="8"/>
        <v/>
      </c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 t="str">
        <f t="shared" si="8"/>
        <v/>
      </c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 t="str">
        <f t="shared" si="8"/>
        <v/>
      </c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 t="str">
        <f t="shared" si="8"/>
        <v/>
      </c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 t="str">
        <f t="shared" si="8"/>
        <v/>
      </c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 t="str">
        <f t="shared" si="8"/>
        <v/>
      </c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 t="str">
        <f t="shared" si="8"/>
        <v/>
      </c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 t="str">
        <f t="shared" si="8"/>
        <v/>
      </c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 t="str">
        <f t="shared" si="8"/>
        <v/>
      </c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 t="str">
        <f t="shared" si="8"/>
        <v/>
      </c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 t="str">
        <f t="shared" si="8"/>
        <v/>
      </c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 t="str">
        <f t="shared" si="8"/>
        <v/>
      </c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 t="str">
        <f t="shared" si="8"/>
        <v/>
      </c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 t="str">
        <f t="shared" si="8"/>
        <v/>
      </c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 t="str">
        <f t="shared" si="8"/>
        <v/>
      </c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 t="str">
        <f t="shared" si="8"/>
        <v/>
      </c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 t="str">
        <f t="shared" si="8"/>
        <v/>
      </c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 t="str">
        <f t="shared" si="8"/>
        <v/>
      </c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 t="str">
        <f t="shared" si="8"/>
        <v/>
      </c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 t="str">
        <f t="shared" si="8"/>
        <v/>
      </c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 t="str">
        <f t="shared" si="8"/>
        <v/>
      </c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 t="str">
        <f t="shared" si="8"/>
        <v/>
      </c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 t="str">
        <f t="shared" si="8"/>
        <v/>
      </c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 t="str">
        <f t="shared" si="8"/>
        <v/>
      </c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 t="str">
        <f t="shared" si="8"/>
        <v/>
      </c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 t="str">
        <f t="shared" si="8"/>
        <v/>
      </c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 t="str">
        <f t="shared" si="8"/>
        <v/>
      </c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 t="str">
        <f t="shared" si="8"/>
        <v/>
      </c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 t="str">
        <f t="shared" si="8"/>
        <v/>
      </c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 t="str">
        <f t="shared" si="8"/>
        <v/>
      </c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 t="str">
        <f t="shared" si="8"/>
        <v/>
      </c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 t="str">
        <f t="shared" si="8"/>
        <v/>
      </c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 t="str">
        <f t="shared" si="8"/>
        <v/>
      </c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 t="str">
        <f t="shared" si="8"/>
        <v/>
      </c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 t="str">
        <f t="shared" si="8"/>
        <v/>
      </c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 t="str">
        <f t="shared" si="8"/>
        <v/>
      </c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 t="str">
        <f t="shared" si="8"/>
        <v/>
      </c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 t="str">
        <f t="shared" si="8"/>
        <v/>
      </c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 t="str">
        <f t="shared" si="8"/>
        <v/>
      </c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 t="str">
        <f t="shared" si="8"/>
        <v/>
      </c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 t="str">
        <f t="shared" si="8"/>
        <v/>
      </c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 t="str">
        <f t="shared" si="8"/>
        <v/>
      </c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 t="str">
        <f t="shared" si="8"/>
        <v/>
      </c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 t="str">
        <f t="shared" ref="Q205:Q211" si="9">IF(OR(O205="c",O205="C"),+S205,"")</f>
        <v/>
      </c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 t="str">
        <f t="shared" si="9"/>
        <v/>
      </c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 t="str">
        <f t="shared" si="9"/>
        <v/>
      </c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 t="str">
        <f t="shared" si="9"/>
        <v/>
      </c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 t="str">
        <f t="shared" si="9"/>
        <v/>
      </c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 t="str">
        <f t="shared" si="9"/>
        <v/>
      </c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 t="str">
        <f t="shared" si="9"/>
        <v/>
      </c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heet="1" objects="1" scenarios="1" selectLockedCells="1"/>
  <sortState xmlns:xlrd2="http://schemas.microsoft.com/office/spreadsheetml/2017/richdata2" ref="B12:U64">
    <sortCondition ref="B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4" t="s">
        <v>51</v>
      </c>
      <c r="B1" s="174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1" t="s">
        <v>236</v>
      </c>
      <c r="D3" s="171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1" t="s">
        <v>237</v>
      </c>
      <c r="D4" s="171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1" t="s">
        <v>238</v>
      </c>
      <c r="D5" s="171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>
        <v>46130</v>
      </c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12</v>
      </c>
      <c r="N8" s="10">
        <f>SUM(N10:N203)</f>
        <v>9</v>
      </c>
      <c r="O8" s="10">
        <f>SUM(O10:O203)</f>
        <v>10</v>
      </c>
      <c r="P8" s="10">
        <f>SUM(P10:P203)</f>
        <v>7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 t="s">
        <v>170</v>
      </c>
      <c r="C10" s="105" t="s">
        <v>138</v>
      </c>
      <c r="D10" s="94" t="s">
        <v>171</v>
      </c>
      <c r="E10" s="115">
        <v>24</v>
      </c>
      <c r="F10" s="115">
        <v>12</v>
      </c>
      <c r="G10" s="115">
        <v>135</v>
      </c>
      <c r="H10" s="115"/>
      <c r="I10" s="106"/>
      <c r="J10" s="106"/>
      <c r="K10" s="106"/>
      <c r="L10" s="107"/>
      <c r="M10" s="94">
        <v>1</v>
      </c>
      <c r="N10" s="105"/>
      <c r="O10" s="105"/>
      <c r="P10" s="105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 t="s">
        <v>197</v>
      </c>
      <c r="C11" s="115" t="s">
        <v>195</v>
      </c>
      <c r="D11" s="115" t="s">
        <v>198</v>
      </c>
      <c r="E11" s="115">
        <v>24</v>
      </c>
      <c r="F11" s="115">
        <v>11</v>
      </c>
      <c r="G11" s="115">
        <v>136</v>
      </c>
      <c r="H11" s="135"/>
      <c r="I11" s="135"/>
      <c r="J11" s="135"/>
      <c r="K11" s="105"/>
      <c r="L11" s="107"/>
      <c r="M11" s="115">
        <v>1</v>
      </c>
      <c r="N11" s="115">
        <v>1</v>
      </c>
      <c r="O11" s="106">
        <v>1</v>
      </c>
      <c r="P11" s="106">
        <v>1</v>
      </c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 t="s">
        <v>140</v>
      </c>
      <c r="C12" s="115" t="s">
        <v>141</v>
      </c>
      <c r="D12" s="115" t="s">
        <v>142</v>
      </c>
      <c r="E12" s="115">
        <v>23</v>
      </c>
      <c r="F12" s="115">
        <v>10</v>
      </c>
      <c r="G12" s="115">
        <v>135</v>
      </c>
      <c r="H12" s="115"/>
      <c r="I12" s="105"/>
      <c r="J12" s="105"/>
      <c r="K12" s="105"/>
      <c r="L12" s="107"/>
      <c r="M12" s="115">
        <v>1</v>
      </c>
      <c r="N12" s="115">
        <v>1</v>
      </c>
      <c r="O12" s="106">
        <v>1</v>
      </c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 t="s">
        <v>132</v>
      </c>
      <c r="C13" s="94" t="s">
        <v>120</v>
      </c>
      <c r="D13" s="94" t="s">
        <v>133</v>
      </c>
      <c r="E13" s="115">
        <v>22</v>
      </c>
      <c r="F13" s="115">
        <v>10</v>
      </c>
      <c r="G13" s="115">
        <v>104</v>
      </c>
      <c r="H13" s="115"/>
      <c r="I13" s="106"/>
      <c r="J13" s="106"/>
      <c r="K13" s="106"/>
      <c r="L13" s="107"/>
      <c r="M13" s="94">
        <v>1</v>
      </c>
      <c r="N13" s="105">
        <v>1</v>
      </c>
      <c r="O13" s="105">
        <v>1</v>
      </c>
      <c r="P13" s="105">
        <v>1</v>
      </c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 t="s">
        <v>129</v>
      </c>
      <c r="C14" s="106" t="s">
        <v>130</v>
      </c>
      <c r="D14" s="106" t="s">
        <v>131</v>
      </c>
      <c r="E14" s="115">
        <v>21</v>
      </c>
      <c r="F14" s="115">
        <v>10</v>
      </c>
      <c r="G14" s="115">
        <v>162</v>
      </c>
      <c r="H14" s="115"/>
      <c r="I14" s="106"/>
      <c r="J14" s="106"/>
      <c r="K14" s="115"/>
      <c r="L14" s="115"/>
      <c r="M14" s="106">
        <v>1</v>
      </c>
      <c r="N14" s="106">
        <v>1</v>
      </c>
      <c r="O14" s="106">
        <v>1</v>
      </c>
      <c r="P14" s="106">
        <v>1</v>
      </c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 t="s">
        <v>208</v>
      </c>
      <c r="C15" s="115" t="s">
        <v>120</v>
      </c>
      <c r="D15" s="115" t="s">
        <v>209</v>
      </c>
      <c r="E15" s="115">
        <v>21</v>
      </c>
      <c r="F15" s="115">
        <v>10</v>
      </c>
      <c r="G15" s="115">
        <v>95</v>
      </c>
      <c r="H15" s="115"/>
      <c r="I15" s="106"/>
      <c r="J15" s="106"/>
      <c r="K15" s="115"/>
      <c r="L15" s="115"/>
      <c r="M15" s="115">
        <v>1</v>
      </c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 t="s">
        <v>191</v>
      </c>
      <c r="C16" s="115" t="s">
        <v>192</v>
      </c>
      <c r="D16" s="115" t="s">
        <v>193</v>
      </c>
      <c r="E16" s="110">
        <v>20</v>
      </c>
      <c r="F16" s="110">
        <v>10</v>
      </c>
      <c r="G16" s="112">
        <v>99</v>
      </c>
      <c r="H16" s="112"/>
      <c r="I16" s="106"/>
      <c r="J16" s="106"/>
      <c r="K16" s="115"/>
      <c r="L16" s="115"/>
      <c r="M16" s="115">
        <v>1</v>
      </c>
      <c r="N16" s="115">
        <v>1</v>
      </c>
      <c r="O16" s="106">
        <v>1</v>
      </c>
      <c r="P16" s="106">
        <v>1</v>
      </c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93" t="s">
        <v>201</v>
      </c>
      <c r="C17" s="115" t="s">
        <v>120</v>
      </c>
      <c r="D17" s="115" t="s">
        <v>202</v>
      </c>
      <c r="E17" s="115">
        <v>20</v>
      </c>
      <c r="F17" s="115">
        <v>9</v>
      </c>
      <c r="G17" s="115">
        <v>121</v>
      </c>
      <c r="H17" s="115"/>
      <c r="I17" s="106"/>
      <c r="J17" s="106"/>
      <c r="K17" s="115"/>
      <c r="L17" s="115"/>
      <c r="M17" s="115">
        <v>1</v>
      </c>
      <c r="N17" s="115">
        <v>1</v>
      </c>
      <c r="O17" s="106">
        <v>1</v>
      </c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 t="s">
        <v>173</v>
      </c>
      <c r="C18" s="112" t="s">
        <v>174</v>
      </c>
      <c r="D18" s="106" t="s">
        <v>175</v>
      </c>
      <c r="E18" s="115">
        <v>20</v>
      </c>
      <c r="F18" s="115">
        <v>8</v>
      </c>
      <c r="G18" s="115">
        <v>158</v>
      </c>
      <c r="H18" s="115"/>
      <c r="I18" s="106"/>
      <c r="J18" s="106"/>
      <c r="K18" s="115"/>
      <c r="L18" s="115"/>
      <c r="M18" s="106">
        <v>1</v>
      </c>
      <c r="N18" s="106"/>
      <c r="O18" s="106">
        <v>1</v>
      </c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 t="s">
        <v>213</v>
      </c>
      <c r="C19" s="115" t="s">
        <v>214</v>
      </c>
      <c r="D19" s="115" t="s">
        <v>215</v>
      </c>
      <c r="E19" s="115">
        <v>19</v>
      </c>
      <c r="F19" s="115">
        <v>9</v>
      </c>
      <c r="G19" s="115">
        <v>74</v>
      </c>
      <c r="H19" s="115"/>
      <c r="I19" s="106"/>
      <c r="J19" s="106"/>
      <c r="K19" s="106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 t="s">
        <v>216</v>
      </c>
      <c r="C20" s="115" t="s">
        <v>217</v>
      </c>
      <c r="D20" s="115" t="s">
        <v>218</v>
      </c>
      <c r="E20" s="115">
        <v>19</v>
      </c>
      <c r="F20" s="115">
        <v>9</v>
      </c>
      <c r="G20" s="115">
        <v>47</v>
      </c>
      <c r="H20" s="115"/>
      <c r="I20" s="106"/>
      <c r="J20" s="106"/>
      <c r="K20" s="115"/>
      <c r="L20" s="115"/>
      <c r="M20" s="115">
        <v>1</v>
      </c>
      <c r="N20" s="115">
        <v>1</v>
      </c>
      <c r="O20" s="106">
        <v>1</v>
      </c>
      <c r="P20" s="106">
        <v>1</v>
      </c>
      <c r="Q20" s="7" t="s">
        <v>25</v>
      </c>
    </row>
    <row r="21" spans="1:22" x14ac:dyDescent="0.25">
      <c r="A21" s="7">
        <f t="shared" si="0"/>
        <v>12</v>
      </c>
      <c r="B21" s="93" t="s">
        <v>168</v>
      </c>
      <c r="C21" s="115" t="s">
        <v>120</v>
      </c>
      <c r="D21" s="115" t="s">
        <v>169</v>
      </c>
      <c r="E21" s="115">
        <v>19</v>
      </c>
      <c r="F21" s="105">
        <v>9</v>
      </c>
      <c r="G21" s="105">
        <v>14</v>
      </c>
      <c r="H21" s="115"/>
      <c r="I21" s="106"/>
      <c r="J21" s="106"/>
      <c r="K21" s="94"/>
      <c r="L21" s="95"/>
      <c r="M21" s="115">
        <v>1</v>
      </c>
      <c r="N21" s="115">
        <v>1</v>
      </c>
      <c r="O21" s="106">
        <v>1</v>
      </c>
      <c r="P21" s="106">
        <v>1</v>
      </c>
      <c r="Q21" s="7" t="s">
        <v>25</v>
      </c>
    </row>
    <row r="22" spans="1:22" x14ac:dyDescent="0.25">
      <c r="A22" s="7">
        <f t="shared" si="0"/>
        <v>13</v>
      </c>
      <c r="B22" s="113" t="s">
        <v>114</v>
      </c>
      <c r="C22" s="110" t="s">
        <v>115</v>
      </c>
      <c r="D22" s="110" t="s">
        <v>116</v>
      </c>
      <c r="E22" s="115">
        <v>18</v>
      </c>
      <c r="F22" s="115">
        <v>9</v>
      </c>
      <c r="G22" s="115">
        <v>113</v>
      </c>
      <c r="H22" s="115"/>
      <c r="I22" s="106"/>
      <c r="J22" s="106"/>
      <c r="K22" s="115"/>
      <c r="L22" s="115"/>
      <c r="M22" s="112">
        <v>1</v>
      </c>
      <c r="N22" s="112">
        <v>1</v>
      </c>
      <c r="O22" s="106">
        <v>1</v>
      </c>
      <c r="P22" s="106">
        <v>1</v>
      </c>
      <c r="Q22" s="7" t="s">
        <v>25</v>
      </c>
    </row>
    <row r="23" spans="1:22" x14ac:dyDescent="0.25">
      <c r="A23" s="7">
        <f t="shared" si="0"/>
        <v>14</v>
      </c>
      <c r="B23" s="93" t="s">
        <v>151</v>
      </c>
      <c r="C23" s="115" t="s">
        <v>152</v>
      </c>
      <c r="D23" s="115" t="s">
        <v>153</v>
      </c>
      <c r="E23" s="115">
        <v>18</v>
      </c>
      <c r="F23" s="115">
        <v>9</v>
      </c>
      <c r="G23" s="115">
        <v>72</v>
      </c>
      <c r="H23" s="115"/>
      <c r="I23" s="106"/>
      <c r="J23" s="106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153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7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 t="s">
        <v>234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43</v>
      </c>
      <c r="H2" s="100"/>
    </row>
    <row r="3" spans="1:18" x14ac:dyDescent="0.35">
      <c r="C3" s="45" t="s">
        <v>12</v>
      </c>
      <c r="D3" s="46">
        <v>12</v>
      </c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>
        <f>IF(FMRPool1FirstName&lt;&gt;"",1,"")</f>
        <v>1</v>
      </c>
      <c r="B6" s="139" t="s">
        <v>170</v>
      </c>
      <c r="C6" s="140" t="s">
        <v>138</v>
      </c>
      <c r="D6" s="141" t="s">
        <v>171</v>
      </c>
      <c r="E6" s="70">
        <v>35</v>
      </c>
    </row>
    <row r="7" spans="1:18" x14ac:dyDescent="0.35">
      <c r="A7" s="48">
        <f>IF(B7&lt;&gt;"",A6+1,"")</f>
        <v>2</v>
      </c>
      <c r="B7" s="139" t="s">
        <v>197</v>
      </c>
      <c r="C7" s="139" t="s">
        <v>195</v>
      </c>
      <c r="D7" s="142" t="s">
        <v>198</v>
      </c>
      <c r="E7" s="70">
        <v>35</v>
      </c>
    </row>
    <row r="8" spans="1:18" x14ac:dyDescent="0.35">
      <c r="A8" s="48">
        <f t="shared" ref="A8:A30" si="0">IF(B8&lt;&gt;"",A7+1,"")</f>
        <v>3</v>
      </c>
      <c r="B8" s="140" t="s">
        <v>140</v>
      </c>
      <c r="C8" s="140" t="s">
        <v>141</v>
      </c>
      <c r="D8" s="141" t="s">
        <v>142</v>
      </c>
      <c r="E8" s="70">
        <v>35</v>
      </c>
    </row>
    <row r="9" spans="1:18" x14ac:dyDescent="0.35">
      <c r="A9" s="48">
        <f t="shared" si="0"/>
        <v>4</v>
      </c>
      <c r="B9" s="139" t="s">
        <v>132</v>
      </c>
      <c r="C9" s="139" t="s">
        <v>120</v>
      </c>
      <c r="D9" s="141" t="s">
        <v>133</v>
      </c>
      <c r="E9" s="70">
        <v>35</v>
      </c>
    </row>
    <row r="10" spans="1:18" x14ac:dyDescent="0.35">
      <c r="A10" s="48">
        <f t="shared" si="0"/>
        <v>5</v>
      </c>
      <c r="B10" s="140" t="s">
        <v>129</v>
      </c>
      <c r="C10" s="139" t="s">
        <v>130</v>
      </c>
      <c r="D10" s="141" t="s">
        <v>131</v>
      </c>
      <c r="E10" s="70">
        <v>35</v>
      </c>
    </row>
    <row r="11" spans="1:18" x14ac:dyDescent="0.35">
      <c r="A11" s="48">
        <f t="shared" si="0"/>
        <v>6</v>
      </c>
      <c r="B11" s="140" t="s">
        <v>208</v>
      </c>
      <c r="C11" s="139" t="s">
        <v>120</v>
      </c>
      <c r="D11" s="142" t="s">
        <v>209</v>
      </c>
      <c r="E11" s="70">
        <v>35</v>
      </c>
      <c r="Q11" s="82"/>
      <c r="R11" s="82"/>
    </row>
    <row r="12" spans="1:18" x14ac:dyDescent="0.35">
      <c r="A12" s="48">
        <f t="shared" si="0"/>
        <v>7</v>
      </c>
      <c r="B12" s="68" t="s">
        <v>191</v>
      </c>
      <c r="C12" s="68" t="s">
        <v>192</v>
      </c>
      <c r="D12" s="69" t="s">
        <v>193</v>
      </c>
      <c r="E12" s="70">
        <v>35</v>
      </c>
      <c r="Q12" s="82"/>
    </row>
    <row r="13" spans="1:18" x14ac:dyDescent="0.35">
      <c r="A13" s="48">
        <f t="shared" si="0"/>
        <v>8</v>
      </c>
      <c r="B13" s="71" t="s">
        <v>201</v>
      </c>
      <c r="C13" s="71" t="s">
        <v>120</v>
      </c>
      <c r="D13" s="72" t="s">
        <v>202</v>
      </c>
      <c r="E13" s="73">
        <v>35</v>
      </c>
    </row>
    <row r="14" spans="1:18" x14ac:dyDescent="0.35">
      <c r="A14" s="48">
        <f t="shared" si="0"/>
        <v>9</v>
      </c>
      <c r="B14" s="68" t="s">
        <v>173</v>
      </c>
      <c r="C14" s="68" t="s">
        <v>174</v>
      </c>
      <c r="D14" s="69" t="s">
        <v>175</v>
      </c>
      <c r="E14" s="70">
        <v>35</v>
      </c>
      <c r="Q14" s="82"/>
      <c r="R14" s="82"/>
    </row>
    <row r="15" spans="1:18" x14ac:dyDescent="0.35">
      <c r="A15" s="48">
        <f t="shared" si="0"/>
        <v>10</v>
      </c>
      <c r="B15" s="71" t="s">
        <v>216</v>
      </c>
      <c r="C15" s="71" t="s">
        <v>217</v>
      </c>
      <c r="D15" s="72" t="s">
        <v>218</v>
      </c>
      <c r="E15" s="73">
        <v>35</v>
      </c>
      <c r="Q15" s="82"/>
      <c r="R15" s="82"/>
    </row>
    <row r="16" spans="1:18" x14ac:dyDescent="0.35">
      <c r="A16" s="48">
        <f t="shared" si="0"/>
        <v>11</v>
      </c>
      <c r="B16" s="74" t="s">
        <v>168</v>
      </c>
      <c r="C16" s="74" t="s">
        <v>120</v>
      </c>
      <c r="D16" s="75" t="s">
        <v>169</v>
      </c>
      <c r="E16" s="73">
        <v>35</v>
      </c>
      <c r="Q16" s="82"/>
      <c r="R16" s="82"/>
    </row>
    <row r="17" spans="1:19" x14ac:dyDescent="0.35">
      <c r="A17" s="48">
        <f t="shared" si="0"/>
        <v>12</v>
      </c>
      <c r="B17" s="74" t="s">
        <v>114</v>
      </c>
      <c r="C17" s="76" t="s">
        <v>115</v>
      </c>
      <c r="D17" s="77" t="s">
        <v>116</v>
      </c>
      <c r="E17" s="70">
        <v>35</v>
      </c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 t="s">
        <v>235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25</v>
      </c>
      <c r="H2" s="82"/>
    </row>
    <row r="3" spans="1:18" x14ac:dyDescent="0.35">
      <c r="C3" s="45" t="s">
        <v>12</v>
      </c>
      <c r="D3" s="46">
        <v>5</v>
      </c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>
        <f>IF(FMRPool2FirstName&gt;"",1,"")</f>
        <v>1</v>
      </c>
      <c r="B6" s="156" t="s">
        <v>197</v>
      </c>
      <c r="C6" s="157" t="s">
        <v>195</v>
      </c>
      <c r="D6" s="158" t="s">
        <v>198</v>
      </c>
      <c r="E6" s="165">
        <v>85</v>
      </c>
    </row>
    <row r="7" spans="1:18" ht="23.25" x14ac:dyDescent="0.35">
      <c r="A7" s="50">
        <f>IF(B7&lt;&gt;"",A6+1,"")</f>
        <v>2</v>
      </c>
      <c r="B7" s="156" t="s">
        <v>140</v>
      </c>
      <c r="C7" s="156" t="s">
        <v>141</v>
      </c>
      <c r="D7" s="159" t="s">
        <v>142</v>
      </c>
      <c r="E7" s="165">
        <v>60</v>
      </c>
    </row>
    <row r="8" spans="1:18" ht="23.25" x14ac:dyDescent="0.35">
      <c r="A8" s="50">
        <f t="shared" ref="A8:A30" si="0">IF(B8&lt;&gt;"",A7+1,"")</f>
        <v>3</v>
      </c>
      <c r="B8" s="157" t="s">
        <v>132</v>
      </c>
      <c r="C8" s="157" t="s">
        <v>120</v>
      </c>
      <c r="D8" s="158" t="s">
        <v>133</v>
      </c>
      <c r="E8" s="165">
        <v>45</v>
      </c>
    </row>
    <row r="9" spans="1:18" ht="23.25" x14ac:dyDescent="0.35">
      <c r="A9" s="50">
        <f t="shared" si="0"/>
        <v>4</v>
      </c>
      <c r="B9" s="156" t="s">
        <v>129</v>
      </c>
      <c r="C9" s="156" t="s">
        <v>130</v>
      </c>
      <c r="D9" s="158" t="s">
        <v>131</v>
      </c>
      <c r="E9" s="165">
        <v>35</v>
      </c>
    </row>
    <row r="10" spans="1:18" ht="23.25" x14ac:dyDescent="0.35">
      <c r="A10" s="50">
        <f t="shared" si="0"/>
        <v>5</v>
      </c>
      <c r="B10" s="160" t="s">
        <v>191</v>
      </c>
      <c r="C10" s="160" t="s">
        <v>192</v>
      </c>
      <c r="D10" s="161" t="s">
        <v>193</v>
      </c>
      <c r="E10" s="165">
        <v>25</v>
      </c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 t="s">
        <v>235</v>
      </c>
      <c r="C1" s="89"/>
      <c r="G1" s="8"/>
    </row>
    <row r="2" spans="1:7" x14ac:dyDescent="0.35">
      <c r="A2" s="78">
        <v>20</v>
      </c>
      <c r="B2" s="43" t="s">
        <v>7</v>
      </c>
      <c r="C2" s="45" t="s">
        <v>6</v>
      </c>
      <c r="D2" s="46">
        <v>29</v>
      </c>
      <c r="F2" s="30" t="s">
        <v>11</v>
      </c>
    </row>
    <row r="3" spans="1:7" x14ac:dyDescent="0.35">
      <c r="A3" s="47"/>
      <c r="C3" s="45" t="s">
        <v>12</v>
      </c>
      <c r="D3" s="46">
        <v>5</v>
      </c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>
        <f>IF(FMRPool3FirstName&lt;&gt;"",1,"")</f>
        <v>1</v>
      </c>
      <c r="B6" s="156" t="s">
        <v>197</v>
      </c>
      <c r="C6" s="157" t="s">
        <v>195</v>
      </c>
      <c r="D6" s="158" t="s">
        <v>198</v>
      </c>
      <c r="E6" s="165">
        <v>190</v>
      </c>
    </row>
    <row r="7" spans="1:7" ht="21" customHeight="1" x14ac:dyDescent="0.35">
      <c r="A7" s="50">
        <f>IF(B7&lt;&gt;"",A6+1,"")</f>
        <v>2</v>
      </c>
      <c r="B7" s="156" t="s">
        <v>140</v>
      </c>
      <c r="C7" s="156" t="s">
        <v>141</v>
      </c>
      <c r="D7" s="159" t="s">
        <v>142</v>
      </c>
      <c r="E7" s="165">
        <v>150</v>
      </c>
    </row>
    <row r="8" spans="1:7" ht="21" customHeight="1" x14ac:dyDescent="0.35">
      <c r="A8" s="50">
        <f t="shared" ref="A8:A30" si="0">IF(B8&lt;&gt;"",A7+1,"")</f>
        <v>3</v>
      </c>
      <c r="B8" s="157" t="s">
        <v>132</v>
      </c>
      <c r="C8" s="157" t="s">
        <v>120</v>
      </c>
      <c r="D8" s="158" t="s">
        <v>133</v>
      </c>
      <c r="E8" s="165">
        <v>110</v>
      </c>
    </row>
    <row r="9" spans="1:7" ht="21" customHeight="1" x14ac:dyDescent="0.35">
      <c r="A9" s="50">
        <f t="shared" si="0"/>
        <v>4</v>
      </c>
      <c r="B9" s="160" t="s">
        <v>129</v>
      </c>
      <c r="C9" s="160" t="s">
        <v>130</v>
      </c>
      <c r="D9" s="161" t="s">
        <v>131</v>
      </c>
      <c r="E9" s="162">
        <v>80</v>
      </c>
    </row>
    <row r="10" spans="1:7" ht="23.25" x14ac:dyDescent="0.35">
      <c r="A10" s="50">
        <f t="shared" si="0"/>
        <v>5</v>
      </c>
      <c r="B10" s="160" t="s">
        <v>191</v>
      </c>
      <c r="C10" s="160" t="s">
        <v>192</v>
      </c>
      <c r="D10" s="161" t="s">
        <v>193</v>
      </c>
      <c r="E10" s="162">
        <v>50</v>
      </c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 t="s">
        <v>235</v>
      </c>
      <c r="C1" s="89"/>
      <c r="D1" s="44"/>
      <c r="G1" s="8"/>
    </row>
    <row r="2" spans="1:12" x14ac:dyDescent="0.35">
      <c r="A2" s="78">
        <v>50</v>
      </c>
      <c r="B2" s="43" t="s">
        <v>7</v>
      </c>
      <c r="C2" s="45" t="s">
        <v>6</v>
      </c>
      <c r="D2" s="46">
        <v>14</v>
      </c>
    </row>
    <row r="3" spans="1:12" x14ac:dyDescent="0.35">
      <c r="A3" s="56"/>
      <c r="C3" s="45" t="s">
        <v>12</v>
      </c>
      <c r="D3" s="46">
        <v>3</v>
      </c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>
        <f>IF(FMRPool4FirstName&lt;&gt;"",1,"")</f>
        <v>1</v>
      </c>
      <c r="B6" s="156" t="s">
        <v>197</v>
      </c>
      <c r="C6" s="157" t="s">
        <v>195</v>
      </c>
      <c r="D6" s="158" t="s">
        <v>198</v>
      </c>
      <c r="E6" s="165">
        <v>350</v>
      </c>
    </row>
    <row r="7" spans="1:12" ht="23.25" x14ac:dyDescent="0.35">
      <c r="A7" s="59">
        <f>IF(B7&lt;&gt;"",A6+1,"")</f>
        <v>2</v>
      </c>
      <c r="B7" s="156" t="s">
        <v>132</v>
      </c>
      <c r="C7" s="156" t="s">
        <v>120</v>
      </c>
      <c r="D7" s="159" t="s">
        <v>133</v>
      </c>
      <c r="E7" s="165">
        <v>225</v>
      </c>
    </row>
    <row r="8" spans="1:12" ht="23.25" x14ac:dyDescent="0.35">
      <c r="A8" s="59">
        <f t="shared" ref="A8:A30" si="0">IF(B8&lt;&gt;"",A7+1,"")</f>
        <v>3</v>
      </c>
      <c r="B8" s="164" t="s">
        <v>129</v>
      </c>
      <c r="C8" s="164" t="s">
        <v>130</v>
      </c>
      <c r="D8" s="164" t="s">
        <v>131</v>
      </c>
      <c r="E8" s="162">
        <v>125</v>
      </c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5">
        <f>+Entries!A2</f>
        <v>0</v>
      </c>
      <c r="B3" s="175"/>
      <c r="C3" s="175"/>
      <c r="D3" s="89"/>
    </row>
    <row r="4" spans="1:6" x14ac:dyDescent="0.3">
      <c r="A4" s="176"/>
      <c r="B4" s="176"/>
      <c r="C4" s="35"/>
    </row>
    <row r="5" spans="1:6" x14ac:dyDescent="0.3">
      <c r="A5" s="177"/>
      <c r="B5" s="175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53</v>
      </c>
      <c r="B7" s="178" t="s">
        <v>34</v>
      </c>
      <c r="C7" s="178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0">
        <f>+Entries!A2</f>
        <v>0</v>
      </c>
      <c r="B3" s="170"/>
      <c r="C3" s="170"/>
      <c r="E3" s="35"/>
      <c r="F3" s="35"/>
      <c r="J3" s="175"/>
      <c r="K3" s="175"/>
      <c r="L3" s="175"/>
      <c r="M3" s="34"/>
      <c r="N3" s="35"/>
      <c r="O3" s="35"/>
    </row>
    <row r="4" spans="1:15" x14ac:dyDescent="0.3">
      <c r="A4" s="176"/>
      <c r="B4" s="176"/>
      <c r="J4" s="176"/>
      <c r="K4" s="176"/>
      <c r="L4" s="35"/>
      <c r="M4" s="34"/>
      <c r="N4" s="34"/>
      <c r="O4" s="34"/>
    </row>
    <row r="5" spans="1:15" x14ac:dyDescent="0.3">
      <c r="A5" s="177" t="e">
        <f>+#REF!</f>
        <v>#REF!</v>
      </c>
      <c r="B5" s="175"/>
      <c r="C5" s="36" t="s">
        <v>28</v>
      </c>
      <c r="J5" s="175"/>
      <c r="K5" s="175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53</v>
      </c>
      <c r="B7" s="178" t="s">
        <v>34</v>
      </c>
      <c r="C7" s="178"/>
      <c r="J7" s="41"/>
      <c r="K7" s="178"/>
      <c r="L7" s="178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2026-01-27T23:11:15Z</cp:lastPrinted>
  <dcterms:created xsi:type="dcterms:W3CDTF">2014-07-12T17:55:34Z</dcterms:created>
  <dcterms:modified xsi:type="dcterms:W3CDTF">2026-04-17T14:31:05Z</dcterms:modified>
</cp:coreProperties>
</file>