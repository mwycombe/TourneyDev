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ribbageDev\TourneyDev\Tourney_2026_Testing\"/>
    </mc:Choice>
  </mc:AlternateContent>
  <xr:revisionPtr revIDLastSave="0" documentId="13_ncr:1_{451772DD-D087-4327-8B8A-2EA4FBBB184B}" xr6:coauthVersionLast="47" xr6:coauthVersionMax="47" xr10:uidLastSave="{00000000-0000-0000-0000-000000000000}"/>
  <bookViews>
    <workbookView xWindow="-28920" yWindow="-135" windowWidth="29040" windowHeight="15720" xr2:uid="{00000000-000D-0000-FFFF-FFFF00000000}"/>
  </bookViews>
  <sheets>
    <sheet name="Navigation" sheetId="10" r:id="rId1"/>
    <sheet name="PrtPool1" sheetId="5" r:id="rId2"/>
    <sheet name="PrtPool2" sheetId="6" r:id="rId3"/>
    <sheet name="PrtPool3" sheetId="7" r:id="rId4"/>
    <sheet name="PrtPool4" sheetId="8" r:id="rId5"/>
    <sheet name="Notes" sheetId="9" r:id="rId6"/>
  </sheets>
  <functionGroups builtInGroupCount="19"/>
  <definedNames>
    <definedName name="FMSPPool1AllWinners">PrtPool1!$E$4:$E$15</definedName>
    <definedName name="FMSPPool1Amt1">PrtPool1!$E$4</definedName>
    <definedName name="FMSPPool1AmtHdr">PrtPool1!$E$3</definedName>
    <definedName name="FMSPPool1Count">PrtPool1!$A$5</definedName>
    <definedName name="FMSPPool1EntryFee">PrtPool1!$A$3</definedName>
    <definedName name="FMSPPool1Number">PrtPool1!$A$1</definedName>
    <definedName name="FMSPPool1Pot">PrtPool1!$A$7</definedName>
    <definedName name="FMSPPool1Rank1">PrtPool1!$D$4</definedName>
    <definedName name="FMSPPool1RawEQAmt">PrtPool1!$A$11</definedName>
    <definedName name="FMSPPool1RoundedEQAmt">PrtPool1!$A$12</definedName>
    <definedName name="FMSPPool1RoundeEQAmt">PrtPool1!$A$12</definedName>
    <definedName name="FMSPPool1Type">PrtPool1!$B$1</definedName>
    <definedName name="FMSPPool1Winners">PrtPool1!$A$9</definedName>
    <definedName name="FMSPPool2AllAmounts">PrtPool2!$E$4:$E$12</definedName>
    <definedName name="FMSPPool2Amt1">PrtPool2!$E$4</definedName>
    <definedName name="FMSPPool2AmtHdr">PrtPool2!$E$3</definedName>
    <definedName name="FMSPPool2Count">PrtPool2!$A$5</definedName>
    <definedName name="FMSPPool2EntryFee">PrtPool2!$A$3</definedName>
    <definedName name="FMSPPool2Number">PrtPool2!$A$1</definedName>
    <definedName name="FMSPPool2Pot">PrtPool2!$A$7</definedName>
    <definedName name="FMSPPool2Rank1">PrtPool2!$D$4</definedName>
    <definedName name="FMSPPool2Type">PrtPool2!$B$1</definedName>
    <definedName name="FMSPPool2Winners">PrtPool2!$A$9</definedName>
    <definedName name="FMSPPool3AllAmounts">PrtPool3!$E$4:$E$12</definedName>
    <definedName name="FMSPPool3Amt1">PrtPool3!$E$4</definedName>
    <definedName name="FMSPPool3AmtHdr">PrtPool3!$E$3</definedName>
    <definedName name="FMSPPool3Count">PrtPool3!$A$5</definedName>
    <definedName name="FMSPPool3EntryFee">PrtPool3!$A$3</definedName>
    <definedName name="FMSPPool3Number">PrtPool3!$A$1</definedName>
    <definedName name="FMSPPool3Pot">PrtPool3!$A$7</definedName>
    <definedName name="FMSPPool3Rank1">PrtPool3!$D$4</definedName>
    <definedName name="FMSPPool3Type">PrtPool3!$B$1</definedName>
    <definedName name="FMSPPool3Winners">PrtPool3!$A$9</definedName>
    <definedName name="FMSPPool4AllAmounts">PrtPool4!$E$4:$E$13</definedName>
    <definedName name="FMSPPool4Amt1">PrtPool4!$E$4</definedName>
    <definedName name="FMSPPool4AmtHdr">PrtPool4!$E$3</definedName>
    <definedName name="FMSPPool4Count">PrtPool4!$A$5</definedName>
    <definedName name="FMSPPool4EntryFee">PrtPool4!$A$3</definedName>
    <definedName name="FMSPPool4Number">PrtPool4!$A$1</definedName>
    <definedName name="FMSPPool4Pot">PrtPool4!$A$7</definedName>
    <definedName name="FMSPPool4Rank1">PrtPool4!$D$4</definedName>
    <definedName name="FMSPPool4Type">PrtPool4!$B$1</definedName>
    <definedName name="FMSPPool4Winners">PrtPool4!$A$9</definedName>
    <definedName name="FMSPRawEQAmt">PrtPool1!$A$11</definedName>
    <definedName name="FMSPRoundeEQAmt">PrtPool1!$A$12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8" l="1"/>
  <c r="D4" i="7"/>
  <c r="D4" i="6"/>
  <c r="D5" i="6" l="1"/>
  <c r="D6" i="6" s="1"/>
  <c r="D7" i="6" s="1"/>
  <c r="D8" i="6" s="1"/>
  <c r="D9" i="6" s="1"/>
  <c r="D10" i="6" s="1"/>
  <c r="D11" i="6" s="1"/>
  <c r="D21" i="8"/>
  <c r="D20" i="8"/>
  <c r="D19" i="8"/>
  <c r="D18" i="8"/>
  <c r="D17" i="8"/>
  <c r="D16" i="8"/>
  <c r="D15" i="8"/>
  <c r="D14" i="8"/>
  <c r="D13" i="8"/>
  <c r="D12" i="8"/>
  <c r="D11" i="8"/>
  <c r="D10" i="8"/>
  <c r="D9" i="8"/>
  <c r="D8" i="8"/>
  <c r="D5" i="8"/>
  <c r="D6" i="8" s="1"/>
  <c r="D7" i="8" s="1"/>
  <c r="D21" i="7"/>
  <c r="D20" i="7"/>
  <c r="D19" i="7"/>
  <c r="D18" i="7"/>
  <c r="D17" i="7"/>
  <c r="D16" i="7"/>
  <c r="D15" i="7"/>
  <c r="D14" i="7"/>
  <c r="D13" i="7"/>
  <c r="D12" i="7"/>
  <c r="D11" i="7"/>
  <c r="D10" i="7"/>
  <c r="D5" i="7"/>
  <c r="D6" i="7" s="1"/>
  <c r="D7" i="7" s="1"/>
  <c r="D8" i="7" s="1"/>
  <c r="D9" i="7" s="1"/>
  <c r="D21" i="6"/>
  <c r="D20" i="6"/>
  <c r="D19" i="6"/>
  <c r="D18" i="6"/>
  <c r="D17" i="6"/>
  <c r="D16" i="6"/>
  <c r="D15" i="6"/>
  <c r="D14" i="6"/>
  <c r="D13" i="6"/>
  <c r="D12" i="6"/>
  <c r="D5" i="5"/>
</calcChain>
</file>

<file path=xl/sharedStrings.xml><?xml version="1.0" encoding="utf-8"?>
<sst xmlns="http://schemas.openxmlformats.org/spreadsheetml/2006/main" count="41" uniqueCount="21">
  <si>
    <t>Entry Fee</t>
  </si>
  <si>
    <t>Rank</t>
  </si>
  <si>
    <t>Amt</t>
  </si>
  <si>
    <t>Number of Entries</t>
  </si>
  <si>
    <t>Pot</t>
  </si>
  <si>
    <t>Number of Winners</t>
  </si>
  <si>
    <t>As soon as main roster is set, side pool payouts can be calculated as they are not dependent on results</t>
  </si>
  <si>
    <t>For an equal pool, it's spread among those who qualified regardless of their relative ranking - every qualifier is equal</t>
  </si>
  <si>
    <t>Who gets paid depends on results ranking</t>
  </si>
  <si>
    <t>01</t>
  </si>
  <si>
    <t>02</t>
  </si>
  <si>
    <t>03</t>
  </si>
  <si>
    <t>04</t>
  </si>
  <si>
    <t>All</t>
  </si>
  <si>
    <t>Can only set up graduated pool payout sheets right now - EQ payout sheet has to wait for results and see who qualifies.</t>
  </si>
  <si>
    <t>Tourney payoff can be computed as soon as main starts and all expenses are in.</t>
  </si>
  <si>
    <t>Main Side Pools</t>
  </si>
  <si>
    <t>All prtPool tabs are formatted for printing out - navigation is on a separate tab</t>
  </si>
  <si>
    <t>See the PrtPool tabs for printable pool payout sheets</t>
  </si>
  <si>
    <t>EQ Pool</t>
  </si>
  <si>
    <t>1:6 Grad Pool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</si>
</sst>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"/>
    <numFmt numFmtId="165" formatCode="&quot;$&quot;#,##0.00"/>
  </numFmts>
  <fonts count="4" x14ac:knownFonts="1">
    <font>
      <sz val="11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1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quotePrefix="1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quotePrefix="1" applyFont="1" applyAlignment="1">
      <alignment horizontal="left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1" xfId="0" applyFont="1" applyBorder="1" applyAlignment="1">
      <alignment horizontal="center"/>
    </xf>
    <xf numFmtId="165" fontId="1" fillId="0" borderId="0" xfId="0" applyNumberFormat="1" applyFont="1" applyAlignment="1">
      <alignment horizontal="center"/>
    </xf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4</xdr:row>
          <xdr:rowOff>19050</xdr:rowOff>
        </xdr:from>
        <xdr:to>
          <xdr:col>2</xdr:col>
          <xdr:colOff>371475</xdr:colOff>
          <xdr:row>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2:B12"/>
  <sheetViews>
    <sheetView tabSelected="1" workbookViewId="0">
      <selection activeCell="C7" sqref="C7"/>
    </sheetView>
  </sheetViews>
  <sheetFormatPr defaultRowHeight="15" x14ac:dyDescent="0.25"/>
  <sheetData>
    <row r="2" spans="2:2" ht="21" x14ac:dyDescent="0.35">
      <c r="B2" s="9" t="s">
        <v>16</v>
      </c>
    </row>
    <row r="12" spans="2:2" x14ac:dyDescent="0.25">
      <c r="B12" t="s">
        <v>18</v>
      </c>
    </row>
  </sheetData>
  <sheetProtection sheet="1" objects="1" scenario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avigation_Click">
                <anchor moveWithCells="1" sizeWithCells="1">
                  <from>
                    <xdr:col>1</xdr:col>
                    <xdr:colOff>28575</xdr:colOff>
                    <xdr:row>4</xdr:row>
                    <xdr:rowOff>19050</xdr:rowOff>
                  </from>
                  <to>
                    <xdr:col>2</xdr:col>
                    <xdr:colOff>371475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E21"/>
  <sheetViews>
    <sheetView workbookViewId="0"/>
  </sheetViews>
  <sheetFormatPr defaultRowHeight="15" x14ac:dyDescent="0.25"/>
  <cols>
    <col min="1" max="1" width="15.7109375" customWidth="1"/>
    <col min="2" max="2" width="42.28515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9</v>
      </c>
      <c r="B1" s="2" t="s">
        <v>19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>
        <v>10</v>
      </c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 t="s">
        <v>13</v>
      </c>
      <c r="E4" s="4"/>
    </row>
    <row r="5" spans="1:5" ht="30" customHeight="1" x14ac:dyDescent="0.5">
      <c r="A5" s="5">
        <v>43</v>
      </c>
      <c r="B5" s="6" t="s">
        <v>3</v>
      </c>
      <c r="C5" s="6"/>
      <c r="D5" s="5" t="str">
        <f>IF(E5&lt;&gt;"",D4+1,"")</f>
        <v/>
      </c>
      <c r="E5" s="4"/>
    </row>
    <row r="6" spans="1:5" ht="30" customHeight="1" x14ac:dyDescent="0.5">
      <c r="A6" s="5"/>
      <c r="B6" s="6"/>
      <c r="C6" s="6"/>
      <c r="D6" s="5"/>
      <c r="E6" s="4"/>
    </row>
    <row r="7" spans="1:5" ht="30" customHeight="1" x14ac:dyDescent="0.5">
      <c r="A7" s="4">
        <v>430</v>
      </c>
      <c r="B7" s="6" t="s">
        <v>4</v>
      </c>
      <c r="C7" s="6"/>
      <c r="D7" s="5"/>
      <c r="E7" s="4"/>
    </row>
    <row r="8" spans="1:5" ht="30" customHeight="1" x14ac:dyDescent="0.5">
      <c r="A8" s="5"/>
      <c r="B8" s="6"/>
      <c r="C8" s="6"/>
      <c r="D8" s="5"/>
      <c r="E8" s="4"/>
    </row>
    <row r="9" spans="1:5" ht="30" customHeight="1" x14ac:dyDescent="0.5">
      <c r="A9" s="5">
        <v>0</v>
      </c>
      <c r="B9" s="6" t="s">
        <v>5</v>
      </c>
      <c r="C9" s="6"/>
      <c r="D9" s="5"/>
      <c r="E9" s="4"/>
    </row>
    <row r="10" spans="1:5" ht="30" customHeight="1" x14ac:dyDescent="0.5">
      <c r="A10" s="5"/>
      <c r="B10" s="6"/>
      <c r="C10" s="6"/>
      <c r="D10" s="5"/>
      <c r="E10" s="4"/>
    </row>
    <row r="11" spans="1:5" ht="30" customHeight="1" x14ac:dyDescent="0.5">
      <c r="A11" s="8"/>
      <c r="B11" s="6"/>
      <c r="C11" s="6"/>
      <c r="D11" s="5"/>
      <c r="E11" s="4"/>
    </row>
    <row r="12" spans="1:5" ht="30" customHeight="1" x14ac:dyDescent="0.5">
      <c r="A12" s="4"/>
      <c r="B12" s="6"/>
      <c r="C12" s="6"/>
      <c r="D12" s="5"/>
      <c r="E12" s="4"/>
    </row>
    <row r="13" spans="1:5" ht="30" customHeight="1" x14ac:dyDescent="0.5">
      <c r="A13" s="5"/>
      <c r="B13" s="6"/>
      <c r="C13" s="6"/>
      <c r="D13" s="5"/>
      <c r="E13" s="4"/>
    </row>
    <row r="14" spans="1:5" ht="30" customHeight="1" x14ac:dyDescent="0.5">
      <c r="A14" s="5"/>
      <c r="B14" s="6"/>
      <c r="C14" s="6"/>
      <c r="D14" s="5"/>
      <c r="E14" s="4"/>
    </row>
    <row r="15" spans="1:5" ht="30" customHeight="1" x14ac:dyDescent="0.25"/>
    <row r="16" spans="1:5" ht="30" customHeight="1" x14ac:dyDescent="0.25"/>
    <row r="17" ht="30" customHeight="1" x14ac:dyDescent="0.25"/>
    <row r="18" ht="30" customHeight="1" x14ac:dyDescent="0.25"/>
    <row r="19" ht="30" customHeight="1" x14ac:dyDescent="0.25"/>
    <row r="20" ht="30" customHeight="1" x14ac:dyDescent="0.25"/>
    <row r="21" ht="30" customHeight="1" x14ac:dyDescent="0.25"/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E21"/>
  <sheetViews>
    <sheetView workbookViewId="0">
      <selection activeCell="E4" sqref="E4:E8"/>
    </sheetView>
  </sheetViews>
  <sheetFormatPr defaultRowHeight="15" x14ac:dyDescent="0.25"/>
  <cols>
    <col min="1" max="1" width="15.7109375" customWidth="1"/>
    <col min="2" max="2" width="41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10</v>
      </c>
      <c r="B1" s="2" t="s">
        <v>20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>
        <v>10</v>
      </c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>
        <f>IF(FMSPPool2Amt1&lt;&gt;"",1,"")</f>
        <v>1</v>
      </c>
      <c r="E4" s="7">
        <v>85</v>
      </c>
    </row>
    <row r="5" spans="1:5" ht="30" customHeight="1" x14ac:dyDescent="0.5">
      <c r="A5" s="5">
        <v>25</v>
      </c>
      <c r="B5" s="6" t="s">
        <v>3</v>
      </c>
      <c r="C5" s="6"/>
      <c r="D5" s="5">
        <f>IF(E5&lt;&gt;"",D4+1,"")</f>
        <v>2</v>
      </c>
      <c r="E5" s="7">
        <v>60</v>
      </c>
    </row>
    <row r="6" spans="1:5" ht="30" customHeight="1" x14ac:dyDescent="0.5">
      <c r="A6" s="5"/>
      <c r="B6" s="6"/>
      <c r="C6" s="6"/>
      <c r="D6" s="5">
        <f t="shared" ref="D6:D21" si="0">IF(E6&lt;&gt;"",D5+1,"")</f>
        <v>3</v>
      </c>
      <c r="E6" s="7">
        <v>45</v>
      </c>
    </row>
    <row r="7" spans="1:5" ht="30" customHeight="1" x14ac:dyDescent="0.5">
      <c r="A7" s="4">
        <v>250</v>
      </c>
      <c r="B7" s="6" t="s">
        <v>4</v>
      </c>
      <c r="C7" s="6"/>
      <c r="D7" s="5">
        <f t="shared" si="0"/>
        <v>4</v>
      </c>
      <c r="E7" s="7">
        <v>35</v>
      </c>
    </row>
    <row r="8" spans="1:5" ht="30" customHeight="1" x14ac:dyDescent="0.5">
      <c r="A8" s="5"/>
      <c r="B8" s="6"/>
      <c r="C8" s="6"/>
      <c r="D8" s="5">
        <f t="shared" si="0"/>
        <v>5</v>
      </c>
      <c r="E8" s="7">
        <v>25</v>
      </c>
    </row>
    <row r="9" spans="1:5" ht="30" customHeight="1" x14ac:dyDescent="0.5">
      <c r="A9" s="5">
        <v>5</v>
      </c>
      <c r="B9" s="6" t="s">
        <v>5</v>
      </c>
      <c r="C9" s="6"/>
      <c r="D9" s="5" t="str">
        <f t="shared" si="0"/>
        <v/>
      </c>
      <c r="E9" s="5"/>
    </row>
    <row r="10" spans="1:5" ht="30" customHeight="1" x14ac:dyDescent="0.5">
      <c r="A10" s="5"/>
      <c r="B10" s="6"/>
      <c r="C10" s="6"/>
      <c r="D10" s="5" t="str">
        <f t="shared" si="0"/>
        <v/>
      </c>
      <c r="E10" s="5"/>
    </row>
    <row r="11" spans="1:5" ht="30" customHeight="1" x14ac:dyDescent="0.5">
      <c r="A11" s="5"/>
      <c r="B11" s="6"/>
      <c r="C11" s="6"/>
      <c r="D11" s="5" t="str">
        <f t="shared" si="0"/>
        <v/>
      </c>
      <c r="E11" s="5"/>
    </row>
    <row r="12" spans="1:5" ht="30" customHeight="1" x14ac:dyDescent="0.5">
      <c r="A12" s="5"/>
      <c r="B12" s="6"/>
      <c r="C12" s="6"/>
      <c r="D12" s="5" t="str">
        <f t="shared" si="0"/>
        <v/>
      </c>
      <c r="E12" s="4"/>
    </row>
    <row r="13" spans="1:5" ht="30" customHeight="1" x14ac:dyDescent="0.5">
      <c r="A13" s="5"/>
      <c r="B13" s="6"/>
      <c r="C13" s="6"/>
      <c r="D13" s="5" t="str">
        <f t="shared" si="0"/>
        <v/>
      </c>
      <c r="E13" s="4"/>
    </row>
    <row r="14" spans="1:5" ht="30" customHeight="1" x14ac:dyDescent="0.5">
      <c r="A14" s="5"/>
      <c r="B14" s="6"/>
      <c r="C14" s="6"/>
      <c r="D14" s="5" t="str">
        <f t="shared" si="0"/>
        <v/>
      </c>
      <c r="E14" s="4"/>
    </row>
    <row r="15" spans="1:5" ht="30" customHeight="1" x14ac:dyDescent="0.5">
      <c r="A15" s="5"/>
      <c r="B15" s="6"/>
      <c r="C15" s="6"/>
      <c r="D15" s="5" t="str">
        <f t="shared" si="0"/>
        <v/>
      </c>
      <c r="E15" s="4"/>
    </row>
    <row r="16" spans="1:5" ht="30" customHeight="1" x14ac:dyDescent="0.5">
      <c r="D16" s="5" t="str">
        <f t="shared" si="0"/>
        <v/>
      </c>
    </row>
    <row r="17" spans="4:4" ht="30" customHeight="1" x14ac:dyDescent="0.5">
      <c r="D17" s="5" t="str">
        <f t="shared" si="0"/>
        <v/>
      </c>
    </row>
    <row r="18" spans="4:4" ht="30" customHeight="1" x14ac:dyDescent="0.5">
      <c r="D18" s="5" t="str">
        <f t="shared" si="0"/>
        <v/>
      </c>
    </row>
    <row r="19" spans="4:4" ht="30" customHeight="1" x14ac:dyDescent="0.5">
      <c r="D19" s="5" t="str">
        <f t="shared" si="0"/>
        <v/>
      </c>
    </row>
    <row r="20" spans="4:4" ht="30" customHeight="1" x14ac:dyDescent="0.5">
      <c r="D20" s="5" t="str">
        <f t="shared" si="0"/>
        <v/>
      </c>
    </row>
    <row r="21" spans="4:4" ht="30" customHeight="1" x14ac:dyDescent="0.5">
      <c r="D21" s="5" t="str">
        <f t="shared" si="0"/>
        <v/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E21"/>
  <sheetViews>
    <sheetView workbookViewId="0">
      <selection activeCell="E4" sqref="E4:E8"/>
    </sheetView>
  </sheetViews>
  <sheetFormatPr defaultRowHeight="15" x14ac:dyDescent="0.25"/>
  <cols>
    <col min="1" max="1" width="15.7109375" customWidth="1"/>
    <col min="2" max="2" width="42.28515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11</v>
      </c>
      <c r="B1" s="2" t="s">
        <v>20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>
        <v>20</v>
      </c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>
        <f>IF(FMSPPool3Amt1&lt;&gt;"",1,"")</f>
        <v>1</v>
      </c>
      <c r="E4" s="7">
        <v>190</v>
      </c>
    </row>
    <row r="5" spans="1:5" ht="30" customHeight="1" x14ac:dyDescent="0.5">
      <c r="A5" s="5">
        <v>29</v>
      </c>
      <c r="B5" s="6" t="s">
        <v>3</v>
      </c>
      <c r="C5" s="6"/>
      <c r="D5" s="5">
        <f t="shared" ref="D5:D21" si="0">IF(E5&lt;&gt;"",D4+1,"")</f>
        <v>2</v>
      </c>
      <c r="E5" s="7">
        <v>150</v>
      </c>
    </row>
    <row r="6" spans="1:5" ht="30" customHeight="1" x14ac:dyDescent="0.5">
      <c r="A6" s="5"/>
      <c r="B6" s="6"/>
      <c r="C6" s="6"/>
      <c r="D6" s="5">
        <f t="shared" si="0"/>
        <v>3</v>
      </c>
      <c r="E6" s="7">
        <v>110</v>
      </c>
    </row>
    <row r="7" spans="1:5" ht="30" customHeight="1" x14ac:dyDescent="0.5">
      <c r="A7" s="4">
        <v>580</v>
      </c>
      <c r="B7" s="6" t="s">
        <v>4</v>
      </c>
      <c r="C7" s="6"/>
      <c r="D7" s="5">
        <f t="shared" si="0"/>
        <v>4</v>
      </c>
      <c r="E7" s="7">
        <v>80</v>
      </c>
    </row>
    <row r="8" spans="1:5" ht="30" customHeight="1" x14ac:dyDescent="0.5">
      <c r="A8" s="5"/>
      <c r="B8" s="6"/>
      <c r="C8" s="6"/>
      <c r="D8" s="5">
        <f t="shared" si="0"/>
        <v>5</v>
      </c>
      <c r="E8" s="7">
        <v>50</v>
      </c>
    </row>
    <row r="9" spans="1:5" ht="30" customHeight="1" x14ac:dyDescent="0.5">
      <c r="A9" s="5">
        <v>5</v>
      </c>
      <c r="B9" s="6" t="s">
        <v>5</v>
      </c>
      <c r="C9" s="6"/>
      <c r="D9" s="5" t="str">
        <f t="shared" si="0"/>
        <v/>
      </c>
      <c r="E9" s="5"/>
    </row>
    <row r="10" spans="1:5" ht="30" customHeight="1" x14ac:dyDescent="0.5">
      <c r="A10" s="5"/>
      <c r="B10" s="6"/>
      <c r="C10" s="6"/>
      <c r="D10" s="5" t="str">
        <f t="shared" si="0"/>
        <v/>
      </c>
      <c r="E10" s="4"/>
    </row>
    <row r="11" spans="1:5" ht="30" customHeight="1" x14ac:dyDescent="0.5">
      <c r="A11" s="5"/>
      <c r="B11" s="6"/>
      <c r="C11" s="6"/>
      <c r="D11" s="5" t="str">
        <f t="shared" si="0"/>
        <v/>
      </c>
      <c r="E11" s="4"/>
    </row>
    <row r="12" spans="1:5" ht="30" customHeight="1" x14ac:dyDescent="0.5">
      <c r="A12" s="5"/>
      <c r="B12" s="6"/>
      <c r="C12" s="6"/>
      <c r="D12" s="5" t="str">
        <f t="shared" si="0"/>
        <v/>
      </c>
      <c r="E12" s="4"/>
    </row>
    <row r="13" spans="1:5" ht="30" customHeight="1" x14ac:dyDescent="0.5">
      <c r="A13" s="5"/>
      <c r="B13" s="6"/>
      <c r="C13" s="6"/>
      <c r="D13" s="5" t="str">
        <f t="shared" si="0"/>
        <v/>
      </c>
      <c r="E13" s="4"/>
    </row>
    <row r="14" spans="1:5" ht="30" customHeight="1" x14ac:dyDescent="0.5">
      <c r="A14" s="5"/>
      <c r="B14" s="6"/>
      <c r="C14" s="6"/>
      <c r="D14" s="5" t="str">
        <f t="shared" si="0"/>
        <v/>
      </c>
      <c r="E14" s="4"/>
    </row>
    <row r="15" spans="1:5" ht="30" customHeight="1" x14ac:dyDescent="0.5">
      <c r="A15" s="5"/>
      <c r="B15" s="6"/>
      <c r="C15" s="6"/>
      <c r="D15" s="5" t="str">
        <f t="shared" si="0"/>
        <v/>
      </c>
      <c r="E15" s="4"/>
    </row>
    <row r="16" spans="1:5" ht="30" customHeight="1" x14ac:dyDescent="0.5">
      <c r="D16" s="5" t="str">
        <f t="shared" si="0"/>
        <v/>
      </c>
    </row>
    <row r="17" spans="4:4" ht="30" customHeight="1" x14ac:dyDescent="0.5">
      <c r="D17" s="5" t="str">
        <f t="shared" si="0"/>
        <v/>
      </c>
    </row>
    <row r="18" spans="4:4" ht="30" customHeight="1" x14ac:dyDescent="0.5">
      <c r="D18" s="5" t="str">
        <f t="shared" si="0"/>
        <v/>
      </c>
    </row>
    <row r="19" spans="4:4" ht="30" customHeight="1" x14ac:dyDescent="0.5">
      <c r="D19" s="5" t="str">
        <f t="shared" si="0"/>
        <v/>
      </c>
    </row>
    <row r="20" spans="4:4" ht="30" customHeight="1" x14ac:dyDescent="0.5">
      <c r="D20" s="5" t="str">
        <f t="shared" si="0"/>
        <v/>
      </c>
    </row>
    <row r="21" spans="4:4" ht="30" customHeight="1" x14ac:dyDescent="0.5">
      <c r="D21" s="5" t="str">
        <f t="shared" si="0"/>
        <v/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E21"/>
  <sheetViews>
    <sheetView workbookViewId="0">
      <selection activeCell="E4" sqref="E4:E6"/>
    </sheetView>
  </sheetViews>
  <sheetFormatPr defaultRowHeight="15" x14ac:dyDescent="0.25"/>
  <cols>
    <col min="1" max="1" width="15.85546875" customWidth="1"/>
    <col min="2" max="2" width="42.425781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12</v>
      </c>
      <c r="B1" s="2" t="s">
        <v>20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>
        <v>50</v>
      </c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>
        <f>IF(FMSPPool4Amt1&lt;&gt;"",1,"")</f>
        <v>1</v>
      </c>
      <c r="E4" s="7">
        <v>350</v>
      </c>
    </row>
    <row r="5" spans="1:5" ht="30" customHeight="1" x14ac:dyDescent="0.5">
      <c r="A5" s="5">
        <v>14</v>
      </c>
      <c r="B5" s="6" t="s">
        <v>3</v>
      </c>
      <c r="C5" s="6"/>
      <c r="D5" s="5">
        <f t="shared" ref="D5:D21" si="0">IF(E5&lt;&gt;"",D4+1,"")</f>
        <v>2</v>
      </c>
      <c r="E5" s="7">
        <v>225</v>
      </c>
    </row>
    <row r="6" spans="1:5" ht="30" customHeight="1" x14ac:dyDescent="0.5">
      <c r="A6" s="5"/>
      <c r="B6" s="6"/>
      <c r="C6" s="6"/>
      <c r="D6" s="5">
        <f t="shared" si="0"/>
        <v>3</v>
      </c>
      <c r="E6" s="7">
        <v>125</v>
      </c>
    </row>
    <row r="7" spans="1:5" ht="30" customHeight="1" x14ac:dyDescent="0.5">
      <c r="A7" s="4">
        <v>700</v>
      </c>
      <c r="B7" s="6" t="s">
        <v>4</v>
      </c>
      <c r="C7" s="6"/>
      <c r="D7" s="5" t="str">
        <f t="shared" si="0"/>
        <v/>
      </c>
      <c r="E7" s="5"/>
    </row>
    <row r="8" spans="1:5" ht="30" customHeight="1" x14ac:dyDescent="0.5">
      <c r="A8" s="5"/>
      <c r="B8" s="6"/>
      <c r="C8" s="6"/>
      <c r="D8" s="5" t="str">
        <f t="shared" si="0"/>
        <v/>
      </c>
      <c r="E8" s="4"/>
    </row>
    <row r="9" spans="1:5" ht="30" customHeight="1" x14ac:dyDescent="0.5">
      <c r="A9" s="5">
        <v>3</v>
      </c>
      <c r="B9" s="6" t="s">
        <v>5</v>
      </c>
      <c r="C9" s="6"/>
      <c r="D9" s="5" t="str">
        <f t="shared" si="0"/>
        <v/>
      </c>
      <c r="E9" s="4"/>
    </row>
    <row r="10" spans="1:5" ht="30" customHeight="1" x14ac:dyDescent="0.5">
      <c r="A10" s="5"/>
      <c r="B10" s="6"/>
      <c r="C10" s="6"/>
      <c r="D10" s="5" t="str">
        <f t="shared" si="0"/>
        <v/>
      </c>
      <c r="E10" s="4"/>
    </row>
    <row r="11" spans="1:5" ht="30" customHeight="1" x14ac:dyDescent="0.5">
      <c r="A11" s="5"/>
      <c r="B11" s="6"/>
      <c r="C11" s="6"/>
      <c r="D11" s="5" t="str">
        <f t="shared" si="0"/>
        <v/>
      </c>
      <c r="E11" s="4"/>
    </row>
    <row r="12" spans="1:5" ht="30" customHeight="1" x14ac:dyDescent="0.5">
      <c r="A12" s="5"/>
      <c r="B12" s="6"/>
      <c r="C12" s="6"/>
      <c r="D12" s="5" t="str">
        <f t="shared" si="0"/>
        <v/>
      </c>
      <c r="E12" s="4"/>
    </row>
    <row r="13" spans="1:5" ht="30" customHeight="1" x14ac:dyDescent="0.5">
      <c r="A13" s="5"/>
      <c r="B13" s="6"/>
      <c r="C13" s="6"/>
      <c r="D13" s="5" t="str">
        <f t="shared" si="0"/>
        <v/>
      </c>
      <c r="E13" s="4"/>
    </row>
    <row r="14" spans="1:5" ht="30" customHeight="1" x14ac:dyDescent="0.5">
      <c r="A14" s="5"/>
      <c r="B14" s="6"/>
      <c r="C14" s="6"/>
      <c r="D14" s="5" t="str">
        <f t="shared" si="0"/>
        <v/>
      </c>
      <c r="E14" s="4"/>
    </row>
    <row r="15" spans="1:5" ht="30" customHeight="1" x14ac:dyDescent="0.5">
      <c r="A15" s="5"/>
      <c r="B15" s="6"/>
      <c r="C15" s="6"/>
      <c r="D15" s="5" t="str">
        <f t="shared" si="0"/>
        <v/>
      </c>
      <c r="E15" s="4"/>
    </row>
    <row r="16" spans="1:5" ht="30" customHeight="1" x14ac:dyDescent="0.5">
      <c r="D16" s="5" t="str">
        <f t="shared" si="0"/>
        <v/>
      </c>
    </row>
    <row r="17" spans="4:4" ht="30" customHeight="1" x14ac:dyDescent="0.5">
      <c r="D17" s="5" t="str">
        <f t="shared" si="0"/>
        <v/>
      </c>
    </row>
    <row r="18" spans="4:4" ht="30" customHeight="1" x14ac:dyDescent="0.5">
      <c r="D18" s="5" t="str">
        <f t="shared" si="0"/>
        <v/>
      </c>
    </row>
    <row r="19" spans="4:4" ht="30" customHeight="1" x14ac:dyDescent="0.5">
      <c r="D19" s="5" t="str">
        <f t="shared" si="0"/>
        <v/>
      </c>
    </row>
    <row r="20" spans="4:4" ht="30" customHeight="1" x14ac:dyDescent="0.5">
      <c r="D20" s="5" t="str">
        <f t="shared" si="0"/>
        <v/>
      </c>
    </row>
    <row r="21" spans="4:4" ht="30" customHeight="1" x14ac:dyDescent="0.5">
      <c r="D21" s="5" t="str">
        <f t="shared" si="0"/>
        <v/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B6"/>
  <sheetViews>
    <sheetView workbookViewId="0">
      <selection activeCell="K7" sqref="K7"/>
    </sheetView>
  </sheetViews>
  <sheetFormatPr defaultRowHeight="15" x14ac:dyDescent="0.25"/>
  <sheetData>
    <row r="1" spans="1:2" x14ac:dyDescent="0.25">
      <c r="A1">
        <v>1</v>
      </c>
      <c r="B1" t="s">
        <v>6</v>
      </c>
    </row>
    <row r="2" spans="1:2" x14ac:dyDescent="0.25">
      <c r="A2">
        <v>2</v>
      </c>
      <c r="B2" t="s">
        <v>8</v>
      </c>
    </row>
    <row r="3" spans="1:2" x14ac:dyDescent="0.25">
      <c r="A3">
        <v>3</v>
      </c>
      <c r="B3" t="s">
        <v>7</v>
      </c>
    </row>
    <row r="4" spans="1:2" x14ac:dyDescent="0.25">
      <c r="A4">
        <v>4</v>
      </c>
      <c r="B4" t="s">
        <v>14</v>
      </c>
    </row>
    <row r="5" spans="1:2" x14ac:dyDescent="0.25">
      <c r="A5">
        <v>5</v>
      </c>
      <c r="B5" t="s">
        <v>15</v>
      </c>
    </row>
    <row r="6" spans="1:2" x14ac:dyDescent="0.25">
      <c r="A6">
        <v>6</v>
      </c>
      <c r="B6" t="s">
        <v>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45</vt:i4>
      </vt:variant>
    </vt:vector>
  </HeadingPairs>
  <TitlesOfParts>
    <vt:vector size="51" baseType="lpstr">
      <vt:lpstr>Navigation</vt:lpstr>
      <vt:lpstr>PrtPool1</vt:lpstr>
      <vt:lpstr>PrtPool2</vt:lpstr>
      <vt:lpstr>PrtPool3</vt:lpstr>
      <vt:lpstr>PrtPool4</vt:lpstr>
      <vt:lpstr>Notes</vt:lpstr>
      <vt:lpstr>FMSPPool1AllWinners</vt:lpstr>
      <vt:lpstr>FMSPPool1Amt1</vt:lpstr>
      <vt:lpstr>FMSPPool1AmtHdr</vt:lpstr>
      <vt:lpstr>FMSPPool1Count</vt:lpstr>
      <vt:lpstr>FMSPPool1EntryFee</vt:lpstr>
      <vt:lpstr>FMSPPool1Number</vt:lpstr>
      <vt:lpstr>FMSPPool1Pot</vt:lpstr>
      <vt:lpstr>FMSPPool1Rank1</vt:lpstr>
      <vt:lpstr>FMSPPool1RawEQAmt</vt:lpstr>
      <vt:lpstr>FMSPPool1RoundedEQAmt</vt:lpstr>
      <vt:lpstr>FMSPPool1RoundeEQAmt</vt:lpstr>
      <vt:lpstr>FMSPPool1Type</vt:lpstr>
      <vt:lpstr>FMSPPool1Winners</vt:lpstr>
      <vt:lpstr>FMSPPool2AllAmounts</vt:lpstr>
      <vt:lpstr>FMSPPool2Amt1</vt:lpstr>
      <vt:lpstr>FMSPPool2AmtHdr</vt:lpstr>
      <vt:lpstr>FMSPPool2Count</vt:lpstr>
      <vt:lpstr>FMSPPool2EntryFee</vt:lpstr>
      <vt:lpstr>FMSPPool2Number</vt:lpstr>
      <vt:lpstr>FMSPPool2Pot</vt:lpstr>
      <vt:lpstr>FMSPPool2Rank1</vt:lpstr>
      <vt:lpstr>FMSPPool2Type</vt:lpstr>
      <vt:lpstr>FMSPPool2Winners</vt:lpstr>
      <vt:lpstr>FMSPPool3AllAmounts</vt:lpstr>
      <vt:lpstr>FMSPPool3Amt1</vt:lpstr>
      <vt:lpstr>FMSPPool3AmtHdr</vt:lpstr>
      <vt:lpstr>FMSPPool3Count</vt:lpstr>
      <vt:lpstr>FMSPPool3EntryFee</vt:lpstr>
      <vt:lpstr>FMSPPool3Number</vt:lpstr>
      <vt:lpstr>FMSPPool3Pot</vt:lpstr>
      <vt:lpstr>FMSPPool3Rank1</vt:lpstr>
      <vt:lpstr>FMSPPool3Type</vt:lpstr>
      <vt:lpstr>FMSPPool3Winners</vt:lpstr>
      <vt:lpstr>FMSPPool4AllAmounts</vt:lpstr>
      <vt:lpstr>FMSPPool4Amt1</vt:lpstr>
      <vt:lpstr>FMSPPool4AmtHdr</vt:lpstr>
      <vt:lpstr>FMSPPool4Count</vt:lpstr>
      <vt:lpstr>FMSPPool4EntryFee</vt:lpstr>
      <vt:lpstr>FMSPPool4Number</vt:lpstr>
      <vt:lpstr>FMSPPool4Pot</vt:lpstr>
      <vt:lpstr>FMSPPool4Rank1</vt:lpstr>
      <vt:lpstr>FMSPPool4Type</vt:lpstr>
      <vt:lpstr>FMSPPool4Winners</vt:lpstr>
      <vt:lpstr>FMSPRawEQAmt</vt:lpstr>
      <vt:lpstr>FMSPRoundeEQAmt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Michael Rogers</cp:lastModifiedBy>
  <cp:lastPrinted>2024-04-20T16:40:31Z</cp:lastPrinted>
  <dcterms:created xsi:type="dcterms:W3CDTF">2023-06-14T17:18:16Z</dcterms:created>
  <dcterms:modified xsi:type="dcterms:W3CDTF">2026-04-17T13:39:37Z</dcterms:modified>
</cp:coreProperties>
</file>