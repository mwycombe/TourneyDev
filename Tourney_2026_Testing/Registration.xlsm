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05870AC2-8A00-429F-B55C-058C0F1B3E62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R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R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R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R140" i="1"/>
  <c r="T139" i="1"/>
  <c r="O139" i="1" s="1"/>
  <c r="S139" i="1"/>
  <c r="T137" i="1"/>
  <c r="O137" i="1" s="1"/>
  <c r="S137" i="1"/>
  <c r="R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R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R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06" i="1" l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<sst xmlns="http://schemas.openxmlformats.org/spreadsheetml/2006/main" count="1797" uniqueCount="818">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</sst>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5" fillId="0" borderId="0" xfId="0" applyNumberFormat="1" applyFont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 t="s">
        <v>808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 t="s">
        <v>809</v>
      </c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 t="s">
        <v>810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7" t="s">
        <v>811</v>
      </c>
      <c r="D11" s="128"/>
      <c r="E11" s="127" t="s">
        <v>812</v>
      </c>
      <c r="F11" s="128"/>
      <c r="G11" s="127" t="s">
        <v>813</v>
      </c>
      <c r="H11" s="128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7" t="s">
        <v>814</v>
      </c>
      <c r="D13" s="128"/>
      <c r="E13" s="127" t="s">
        <v>815</v>
      </c>
      <c r="F13" s="128"/>
      <c r="G13" s="127" t="s">
        <v>816</v>
      </c>
      <c r="H13" s="128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7" t="s">
        <v>498</v>
      </c>
      <c r="D15" s="128"/>
      <c r="E15" s="127" t="s">
        <v>817</v>
      </c>
      <c r="F15" s="128"/>
      <c r="G15" s="127" t="s">
        <v>562</v>
      </c>
      <c r="H15" s="128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 t="s">
        <v>808</v>
      </c>
      <c r="C4" s="132"/>
      <c r="D4" s="132"/>
      <c r="E4" s="132"/>
      <c r="F4" s="132"/>
    </row>
    <row r="5" spans="1:7" x14ac:dyDescent="0.25">
      <c r="A5" s="4" t="s">
        <v>616</v>
      </c>
      <c r="B5" s="133" t="s">
        <v>809</v>
      </c>
      <c r="C5" s="133"/>
      <c r="D5" s="133"/>
      <c r="E5" s="133"/>
      <c r="F5" s="133"/>
    </row>
    <row r="6" spans="1:7" x14ac:dyDescent="0.25">
      <c r="A6" s="4" t="s">
        <v>617</v>
      </c>
      <c r="B6" s="133" t="s">
        <v>810</v>
      </c>
      <c r="C6" s="133"/>
      <c r="D6" s="133"/>
      <c r="E6" s="133"/>
      <c r="F6" s="133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4" t="s">
        <v>623</v>
      </c>
      <c r="D15" s="134"/>
      <c r="E15" s="134"/>
      <c r="F15" s="134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5" t="s">
        <v>609</v>
      </c>
      <c r="D2" s="136"/>
      <c r="E2" s="136"/>
      <c r="F2" s="136"/>
      <c r="G2" s="13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2" t="s">
        <v>808</v>
      </c>
      <c r="C4" s="132"/>
      <c r="D4" s="132"/>
      <c r="E4" s="132"/>
      <c r="F4" s="132"/>
    </row>
    <row r="5" spans="1:7" x14ac:dyDescent="0.25">
      <c r="A5" s="4" t="s">
        <v>616</v>
      </c>
      <c r="B5" s="79" t="s">
        <v>809</v>
      </c>
      <c r="C5" s="79"/>
      <c r="D5" s="79"/>
      <c r="E5" s="79"/>
      <c r="F5" s="79"/>
    </row>
    <row r="6" spans="1:7" x14ac:dyDescent="0.25">
      <c r="A6" s="4" t="s">
        <v>617</v>
      </c>
      <c r="B6" s="79" t="s">
        <v>810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4" t="s">
        <v>636</v>
      </c>
      <c r="D15" s="134"/>
      <c r="E15" s="134"/>
      <c r="F15" s="134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38" t="s">
        <v>808</v>
      </c>
      <c r="L2" s="138"/>
      <c r="M2" s="138"/>
      <c r="N2" s="138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38" t="s">
        <v>809</v>
      </c>
      <c r="L3" s="138"/>
      <c r="M3" s="138"/>
      <c r="N3" s="138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38" t="s">
        <v>810</v>
      </c>
      <c r="L4" s="138"/>
      <c r="M4" s="138"/>
      <c r="N4" s="138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39">
        <v>46130</v>
      </c>
      <c r="L5" s="139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9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10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750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1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754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  <c r="V13" s="111" t="s">
        <v>755</v>
      </c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07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754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  <c r="V14" s="111" t="s">
        <v>757</v>
      </c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754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754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  <c r="V16" s="111"/>
    </row>
    <row r="17" spans="1:22" x14ac:dyDescent="0.25">
      <c r="A17" s="46">
        <f t="shared" si="1"/>
        <v>6</v>
      </c>
      <c r="B17" s="47">
        <v>1</v>
      </c>
      <c r="C17" s="5" t="s">
        <v>761</v>
      </c>
      <c r="D17" s="5" t="s">
        <v>762</v>
      </c>
      <c r="E17" s="6" t="s">
        <v>763</v>
      </c>
      <c r="F17" s="48">
        <v>9255487664</v>
      </c>
      <c r="G17" s="57" t="s">
        <v>764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750</v>
      </c>
      <c r="Q17" s="47" t="s">
        <v>760</v>
      </c>
      <c r="R17" s="95" t="str">
        <f t="shared" si="3"/>
        <v/>
      </c>
      <c r="S17" s="95">
        <f t="shared" si="4"/>
        <v>70</v>
      </c>
      <c r="T17" s="96">
        <f>H17*[1]!FMainPool1Fee+I17*[1]!FMainPool2Fee+J17*[1]!FMainPool3Fee+K17*[1]!FMainPool4Fee+B17*[1]!FMainEntryFee</f>
        <v>70</v>
      </c>
      <c r="U17" s="51"/>
      <c r="V17" s="111"/>
    </row>
    <row r="18" spans="1:22" x14ac:dyDescent="0.25">
      <c r="A18" s="46">
        <f t="shared" si="1"/>
        <v>7</v>
      </c>
      <c r="B18" s="47">
        <v>1</v>
      </c>
      <c r="C18" s="5" t="s">
        <v>765</v>
      </c>
      <c r="D18" s="5" t="s">
        <v>766</v>
      </c>
      <c r="E18" s="6" t="s">
        <v>767</v>
      </c>
      <c r="F18" s="48">
        <v>9257272271</v>
      </c>
      <c r="G18" s="119" t="s">
        <v>768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750</v>
      </c>
      <c r="Q18" s="47" t="s">
        <v>769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  <c r="V18" s="111"/>
    </row>
    <row r="19" spans="1:22" x14ac:dyDescent="0.25">
      <c r="A19" s="46">
        <f t="shared" si="1"/>
        <v>8</v>
      </c>
      <c r="B19" s="47">
        <v>1</v>
      </c>
      <c r="C19" s="5" t="s">
        <v>770</v>
      </c>
      <c r="D19" s="5" t="s">
        <v>72</v>
      </c>
      <c r="E19" s="6" t="s">
        <v>771</v>
      </c>
      <c r="F19" s="48">
        <v>7078430341</v>
      </c>
      <c r="G19" s="119" t="s">
        <v>772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750</v>
      </c>
      <c r="Q19" s="47" t="s">
        <v>760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  <c r="V19" s="113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754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  <c r="V20" s="111" t="s">
        <v>758</v>
      </c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754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  <c r="V21" s="111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754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  <c r="V22" s="111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750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  <c r="V23" s="106" t="s">
        <v>759</v>
      </c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754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  <c r="V24" s="111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750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  <c r="V25" s="111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07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750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750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750</v>
      </c>
      <c r="Q28" s="47" t="s">
        <v>760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750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  <c r="V29" s="111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750</v>
      </c>
      <c r="Q30" s="47" t="s">
        <v>769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  <c r="V30" s="111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754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  <c r="V31" s="111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754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  <c r="V32" s="111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2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754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1" t="s">
        <v>760</v>
      </c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750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750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  <c r="V35" s="111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750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1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750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  <c r="V37" s="111" t="s">
        <v>760</v>
      </c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754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1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2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750</v>
      </c>
      <c r="Q39" s="47" t="s">
        <v>778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  <c r="V39" s="111" t="s">
        <v>769</v>
      </c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750</v>
      </c>
      <c r="Q40" s="47" t="s">
        <v>760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1" t="s">
        <v>760</v>
      </c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781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754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  <c r="V41" s="111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754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 t="shared" si="2"/>
        <v>110</v>
      </c>
      <c r="P43" s="47" t="s">
        <v>750</v>
      </c>
      <c r="Q43" s="47"/>
      <c r="R43" s="95" t="str">
        <f t="shared" si="3"/>
        <v/>
      </c>
      <c r="S43" s="95">
        <f t="shared" si="4"/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 t="shared" ref="O44:O75" si="5">T44*N44</f>
        <v>100</v>
      </c>
      <c r="P44" s="47" t="s">
        <v>750</v>
      </c>
      <c r="Q44" s="47"/>
      <c r="R44" s="95" t="str">
        <f t="shared" ref="R44:R75" si="6">IF(OR(P44="c",P44="C"),+T44,"")</f>
        <v/>
      </c>
      <c r="S44" s="95">
        <f t="shared" ref="S44:S75" si="7"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 t="shared" si="5"/>
        <v>0</v>
      </c>
      <c r="P45" s="47" t="s">
        <v>754</v>
      </c>
      <c r="Q45" s="47">
        <v>5361</v>
      </c>
      <c r="R45" s="95">
        <f t="shared" si="6"/>
        <v>110</v>
      </c>
      <c r="S45" s="95" t="str">
        <f t="shared" si="7"/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1"/>
    </row>
    <row r="46" spans="1:22" x14ac:dyDescent="0.25">
      <c r="A46" s="46">
        <f t="shared" si="1"/>
        <v>35</v>
      </c>
      <c r="B46" s="47">
        <v>1</v>
      </c>
      <c r="C46" s="7" t="s">
        <v>783</v>
      </c>
      <c r="D46" s="7" t="s">
        <v>784</v>
      </c>
      <c r="E46" s="8" t="s">
        <v>785</v>
      </c>
      <c r="F46" s="55">
        <v>6507733006</v>
      </c>
      <c r="G46" s="57" t="s">
        <v>786</v>
      </c>
      <c r="H46" s="49"/>
      <c r="I46" s="47"/>
      <c r="J46" s="47"/>
      <c r="K46" s="47"/>
      <c r="L46" s="47"/>
      <c r="M46" s="47">
        <v>1</v>
      </c>
      <c r="N46" s="47"/>
      <c r="O46" s="94">
        <f t="shared" si="5"/>
        <v>0</v>
      </c>
      <c r="P46" s="47" t="s">
        <v>754</v>
      </c>
      <c r="Q46" s="47">
        <v>5007</v>
      </c>
      <c r="R46" s="95">
        <f t="shared" si="6"/>
        <v>70</v>
      </c>
      <c r="S46" s="95" t="str">
        <f t="shared" si="7"/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 t="shared" si="5"/>
        <v>0</v>
      </c>
      <c r="P47" s="47" t="s">
        <v>754</v>
      </c>
      <c r="Q47" s="47">
        <v>5008</v>
      </c>
      <c r="R47" s="95">
        <f t="shared" si="6"/>
        <v>160</v>
      </c>
      <c r="S47" s="95" t="str">
        <f t="shared" si="7"/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787</v>
      </c>
      <c r="D48" s="5" t="s">
        <v>159</v>
      </c>
      <c r="E48" s="6" t="s">
        <v>788</v>
      </c>
      <c r="F48" s="106">
        <v>4086660276</v>
      </c>
      <c r="G48" s="105" t="s">
        <v>789</v>
      </c>
      <c r="H48" s="49">
        <v>1</v>
      </c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754</v>
      </c>
      <c r="Q48" s="47">
        <v>375</v>
      </c>
      <c r="R48" s="95">
        <f t="shared" si="6"/>
        <v>80</v>
      </c>
      <c r="S48" s="95" t="str">
        <f t="shared" si="7"/>
        <v/>
      </c>
      <c r="T48" s="96">
        <f>H48*[1]!FMainPool1Fee+I48*[1]!FMainPool2Fee+J48*[1]!FMainPool3Fee+K48*[1]!FMainPool4Fee+B48*[1]!FMainEntryFee</f>
        <v>80</v>
      </c>
      <c r="U48" s="51"/>
      <c r="V48" s="111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5"/>
        <v>0</v>
      </c>
      <c r="P49" s="47" t="s">
        <v>754</v>
      </c>
      <c r="Q49" s="47">
        <v>1399</v>
      </c>
      <c r="R49" s="95">
        <f t="shared" si="6"/>
        <v>100</v>
      </c>
      <c r="S49" s="95" t="str">
        <f t="shared" si="7"/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790</v>
      </c>
      <c r="D50" s="7" t="s">
        <v>791</v>
      </c>
      <c r="E50" s="8" t="s">
        <v>792</v>
      </c>
      <c r="F50" s="58">
        <v>4073616554</v>
      </c>
      <c r="G50" s="15" t="s">
        <v>793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 t="shared" si="5"/>
        <v>0</v>
      </c>
      <c r="P50" s="47" t="s">
        <v>754</v>
      </c>
      <c r="Q50" s="47">
        <v>1399</v>
      </c>
      <c r="R50" s="95">
        <f t="shared" si="6"/>
        <v>160</v>
      </c>
      <c r="S50" s="95" t="str">
        <f t="shared" si="7"/>
        <v/>
      </c>
      <c r="T50" s="96">
        <f>H50*[1]!FMainPool1Fee+I50*[1]!FMainPool2Fee+J50*[1]!FMainPool3Fee+K50*[1]!FMainPool4Fee+B50*[1]!FMainEntryFee</f>
        <v>160</v>
      </c>
      <c r="U50" s="51"/>
      <c r="V50" s="106" t="s">
        <v>760</v>
      </c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 t="shared" si="5"/>
        <v>0</v>
      </c>
      <c r="P51" s="47" t="s">
        <v>754</v>
      </c>
      <c r="Q51" s="47">
        <v>616</v>
      </c>
      <c r="R51" s="95">
        <f t="shared" si="6"/>
        <v>160</v>
      </c>
      <c r="S51" s="95" t="str">
        <f t="shared" si="7"/>
        <v/>
      </c>
      <c r="T51" s="96">
        <f>H51*[1]!FMainPool1Fee+I51*[1]!FMainPool2Fee+J51*[1]!FMainPool3Fee+K51*[1]!FMainPool4Fee+B51*[1]!FMainEntryFee</f>
        <v>160</v>
      </c>
      <c r="U51" s="51"/>
      <c r="V51" s="111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754</v>
      </c>
      <c r="Q52" s="47">
        <v>1886</v>
      </c>
      <c r="R52" s="95">
        <f t="shared" si="6"/>
        <v>160</v>
      </c>
      <c r="S52" s="95" t="str">
        <f t="shared" si="7"/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754</v>
      </c>
      <c r="Q53" s="47">
        <v>1886</v>
      </c>
      <c r="R53" s="95">
        <f t="shared" si="6"/>
        <v>160</v>
      </c>
      <c r="S53" s="95" t="str">
        <f t="shared" si="7"/>
        <v/>
      </c>
      <c r="T53" s="96">
        <f>H53*[1]!FMainPool1Fee+I53*[1]!FMainPool2Fee+J53*[1]!FMainPool3Fee+K53*[1]!FMainPool4Fee+B53*[1]!FMainEntryFee</f>
        <v>160</v>
      </c>
      <c r="U53" s="51"/>
      <c r="V53" s="111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750</v>
      </c>
      <c r="Q54" s="47"/>
      <c r="R54" s="95" t="str">
        <f t="shared" si="6"/>
        <v/>
      </c>
      <c r="S54" s="95">
        <f t="shared" si="7"/>
        <v>110</v>
      </c>
      <c r="T54" s="96">
        <f>H54*[1]!FMainPool1Fee+I54*[1]!FMainPool2Fee+J54*[1]!FMainPool3Fee+K54*[1]!FMainPool4Fee+B54*[1]!FMainEntryFee</f>
        <v>110</v>
      </c>
      <c r="U54" s="51"/>
      <c r="V54" s="111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07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750</v>
      </c>
      <c r="Q55" s="47"/>
      <c r="R55" s="95" t="str">
        <f t="shared" si="6"/>
        <v/>
      </c>
      <c r="S55" s="95">
        <f t="shared" si="7"/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750</v>
      </c>
      <c r="Q56" s="47"/>
      <c r="R56" s="95" t="str">
        <f t="shared" si="6"/>
        <v/>
      </c>
      <c r="S56" s="95">
        <f t="shared" si="7"/>
        <v>70</v>
      </c>
      <c r="T56" s="96">
        <f>H56*[1]!FMainPool1Fee+I56*[1]!FMainPool2Fee+J56*[1]!FMainPool3Fee+K56*[1]!FMainPool4Fee+B56*[1]!FMainEntryFee</f>
        <v>70</v>
      </c>
      <c r="U56" s="51"/>
      <c r="V56" s="111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750</v>
      </c>
      <c r="Q57" s="47"/>
      <c r="R57" s="95" t="str">
        <f t="shared" si="6"/>
        <v/>
      </c>
      <c r="S57" s="95">
        <f t="shared" si="7"/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754</v>
      </c>
      <c r="Q58" s="47">
        <v>1149</v>
      </c>
      <c r="R58" s="95">
        <f t="shared" si="6"/>
        <v>110</v>
      </c>
      <c r="S58" s="95" t="str">
        <f t="shared" si="7"/>
        <v/>
      </c>
      <c r="T58" s="96">
        <f>H58*[1]!FMainPool1Fee+I58*[1]!FMainPool2Fee+J58*[1]!FMainPool3Fee+K58*[1]!FMainPool4Fee+B58*[1]!FMainEntryFee</f>
        <v>110</v>
      </c>
      <c r="U58" s="51"/>
      <c r="V58" s="111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 t="shared" si="5"/>
        <v>0</v>
      </c>
      <c r="P59" s="47" t="s">
        <v>754</v>
      </c>
      <c r="Q59" s="47">
        <v>1149</v>
      </c>
      <c r="R59" s="95">
        <f t="shared" si="6"/>
        <v>80</v>
      </c>
      <c r="S59" s="95" t="str">
        <f t="shared" si="7"/>
        <v/>
      </c>
      <c r="T59" s="96">
        <f>H59*[1]!FMainPool1Fee+I59*[1]!FMainPool2Fee+J59*[1]!FMainPool3Fee+K59*[1]!FMainPool4Fee+B59*[1]!FMainEntryFee</f>
        <v>80</v>
      </c>
      <c r="U59" s="51"/>
      <c r="V59" s="111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754</v>
      </c>
      <c r="Q60" s="47">
        <v>2487</v>
      </c>
      <c r="R60" s="95">
        <f t="shared" si="6"/>
        <v>80</v>
      </c>
      <c r="S60" s="95" t="str">
        <f t="shared" si="7"/>
        <v/>
      </c>
      <c r="T60" s="96">
        <f>H60*[1]!FMainPool1Fee+I60*[1]!FMainPool2Fee+J60*[1]!FMainPool3Fee+K60*[1]!FMainPool4Fee+B60*[1]!FMainEntryFee</f>
        <v>80</v>
      </c>
      <c r="U60" s="51"/>
      <c r="V60" s="111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803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754</v>
      </c>
      <c r="Q61" s="47">
        <v>8803</v>
      </c>
      <c r="R61" s="95">
        <f t="shared" si="6"/>
        <v>70</v>
      </c>
      <c r="S61" s="95" t="str">
        <f t="shared" si="7"/>
        <v/>
      </c>
      <c r="T61" s="96">
        <f>H61*[1]!FMainPool1Fee+I61*[1]!FMainPool2Fee+J61*[1]!FMainPool3Fee+K61*[1]!FMainPool4Fee+B61*[1]!FMainEntryFee</f>
        <v>70</v>
      </c>
      <c r="U61" s="51"/>
      <c r="V61" s="111"/>
    </row>
    <row r="62" spans="1:22" x14ac:dyDescent="0.25">
      <c r="A62" s="46">
        <f t="shared" si="1"/>
        <v>51</v>
      </c>
      <c r="B62" s="47">
        <v>1</v>
      </c>
      <c r="C62" s="5" t="s">
        <v>804</v>
      </c>
      <c r="D62" s="5" t="s">
        <v>805</v>
      </c>
      <c r="E62" s="6" t="s">
        <v>806</v>
      </c>
      <c r="F62" s="61">
        <v>4178488838</v>
      </c>
      <c r="G62" s="57" t="s">
        <v>807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754</v>
      </c>
      <c r="Q62" s="47">
        <v>7357</v>
      </c>
      <c r="R62" s="95">
        <f t="shared" si="6"/>
        <v>160</v>
      </c>
      <c r="S62" s="95" t="str">
        <f t="shared" si="7"/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754</v>
      </c>
      <c r="Q63" s="47">
        <v>4040</v>
      </c>
      <c r="R63" s="95">
        <f t="shared" si="6"/>
        <v>100</v>
      </c>
      <c r="S63" s="95" t="str">
        <f t="shared" si="7"/>
        <v/>
      </c>
      <c r="T63" s="96">
        <f>H63*[1]!FMainPool1Fee+I63*[1]!FMainPool2Fee+J63*[1]!FMainPool3Fee+K63*[1]!FMainPool4Fee+B63*[1]!FMainEntryFee</f>
        <v>100</v>
      </c>
      <c r="U63" s="51"/>
      <c r="V63" s="111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754</v>
      </c>
      <c r="Q64" s="47">
        <v>9990</v>
      </c>
      <c r="R64" s="95">
        <f t="shared" si="6"/>
        <v>110</v>
      </c>
      <c r="S64" s="95" t="str">
        <f t="shared" si="7"/>
        <v/>
      </c>
      <c r="T64" s="96">
        <f>H64*[1]!FMainPool1Fee+I64*[1]!FMainPool2Fee+J64*[1]!FMainPool3Fee+K64*[1]!FMainPool4Fee+B64*[1]!FMainEntryFee</f>
        <v>110</v>
      </c>
      <c r="U64" s="51"/>
      <c r="V64" s="111"/>
    </row>
    <row r="65" spans="1:22" x14ac:dyDescent="0.25">
      <c r="A65" s="46">
        <f t="shared" si="1"/>
        <v>54</v>
      </c>
      <c r="B65" s="47"/>
      <c r="C65" s="5" t="s">
        <v>756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754</v>
      </c>
      <c r="Q65" s="47">
        <v>930</v>
      </c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1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754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1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754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1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754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1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3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754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1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754</v>
      </c>
      <c r="Q70" s="47"/>
      <c r="R70" s="95">
        <f t="shared" si="6"/>
        <v>0</v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1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754</v>
      </c>
      <c r="Q71" s="47">
        <v>1826</v>
      </c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754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754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754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1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754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 t="s">
        <v>754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1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07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 t="s">
        <v>754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1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 t="s">
        <v>754</v>
      </c>
      <c r="Q78" s="47"/>
      <c r="R78" s="95">
        <f t="shared" si="10"/>
        <v>0</v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1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 t="s">
        <v>754</v>
      </c>
      <c r="Q79" s="47"/>
      <c r="R79" s="95">
        <f t="shared" si="10"/>
        <v>0</v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1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 t="s">
        <v>754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1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 t="s">
        <v>754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1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 t="s">
        <v>754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1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 t="s">
        <v>754</v>
      </c>
      <c r="Q83" s="47"/>
      <c r="R83" s="95">
        <f t="shared" si="10"/>
        <v>0</v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1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 t="s">
        <v>754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1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 t="s">
        <v>754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 t="shared" si="10"/>
        <v>0</v>
      </c>
      <c r="S86" s="95" t="str">
        <f t="shared" si="11"/>
        <v/>
      </c>
      <c r="T86" s="96"/>
      <c r="U86" s="51"/>
      <c r="V86" s="111" t="s">
        <v>769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754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1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754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1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754</v>
      </c>
      <c r="Q89" s="47"/>
      <c r="R89" s="95">
        <f t="shared" si="10"/>
        <v>0</v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754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07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754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754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1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754</v>
      </c>
      <c r="Q93" s="47"/>
      <c r="R93" s="95">
        <f t="shared" si="10"/>
        <v>0</v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754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1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754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754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1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754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1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754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754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1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754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1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754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1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754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1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754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754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1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754</v>
      </c>
      <c r="Q105" s="47"/>
      <c r="R105" s="95">
        <f t="shared" si="10"/>
        <v>0</v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1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754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1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2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754</v>
      </c>
      <c r="Q107" s="47"/>
      <c r="R107" s="95">
        <f t="shared" si="10"/>
        <v>0</v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1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754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754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1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754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1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754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754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754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1" t="s">
        <v>760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07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754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754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1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754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3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754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1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754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754</v>
      </c>
      <c r="Q119" s="47"/>
      <c r="R119" s="95">
        <f t="shared" si="13"/>
        <v>0</v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1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754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754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1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754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1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754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754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1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754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1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754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754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1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754</v>
      </c>
      <c r="Q128" s="47"/>
      <c r="R128" s="95">
        <f t="shared" si="13"/>
        <v>0</v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1" t="s">
        <v>779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754</v>
      </c>
      <c r="Q129" s="47"/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1" t="s">
        <v>780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754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754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754</v>
      </c>
      <c r="Q132" s="47"/>
      <c r="R132" s="95">
        <f t="shared" si="13"/>
        <v>0</v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1" t="s">
        <v>760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754</v>
      </c>
      <c r="Q133" s="47"/>
      <c r="R133" s="95">
        <f t="shared" si="13"/>
        <v>0</v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1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754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1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754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1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754</v>
      </c>
      <c r="Q136" s="47"/>
      <c r="R136" s="95">
        <f t="shared" si="13"/>
        <v>0</v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1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754</v>
      </c>
      <c r="Q137" s="47"/>
      <c r="R137" s="95">
        <f t="shared" si="13"/>
        <v>0</v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1"/>
    </row>
    <row r="138" spans="1:22" x14ac:dyDescent="0.25">
      <c r="A138" s="46">
        <f t="shared" si="8"/>
        <v>127</v>
      </c>
      <c r="B138" s="47"/>
      <c r="C138" s="7" t="s">
        <v>773</v>
      </c>
      <c r="D138" s="7" t="s">
        <v>774</v>
      </c>
      <c r="E138" s="10" t="s">
        <v>775</v>
      </c>
      <c r="F138" s="10" t="s">
        <v>776</v>
      </c>
      <c r="G138" s="15" t="s">
        <v>777</v>
      </c>
      <c r="H138" s="49"/>
      <c r="I138" s="47"/>
      <c r="J138" s="47"/>
      <c r="K138" s="47"/>
      <c r="L138" s="47"/>
      <c r="M138" s="47"/>
      <c r="N138" s="47">
        <v>1</v>
      </c>
      <c r="O138" s="94">
        <f t="shared" si="15"/>
        <v>0</v>
      </c>
      <c r="P138" s="47" t="s">
        <v>750</v>
      </c>
      <c r="Q138" s="47"/>
      <c r="R138" s="95" t="str">
        <f t="shared" si="13"/>
        <v/>
      </c>
      <c r="S138" s="95">
        <f t="shared" si="14"/>
        <v>0</v>
      </c>
      <c r="T138" s="96">
        <f>H138*[1]!FMainPool1Fee+I138*[1]!FMainPool2Fee+J138*[1]!FMainPool3Fee+K138*[1]!FMainPool4Fee+B138*[1]!FMainEntryFee</f>
        <v>0</v>
      </c>
      <c r="U138" s="51"/>
      <c r="V138" s="111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754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07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754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754</v>
      </c>
      <c r="Q141" s="47"/>
      <c r="R141" s="95">
        <f t="shared" si="17"/>
        <v>0</v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782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754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754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1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754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1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754</v>
      </c>
      <c r="Q145" s="47"/>
      <c r="R145" s="95">
        <f t="shared" si="17"/>
        <v>0</v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1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754</v>
      </c>
      <c r="Q146" s="47"/>
      <c r="R146" s="95">
        <f t="shared" si="17"/>
        <v>0</v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1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754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754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1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754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1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754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1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754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1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754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1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07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754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754</v>
      </c>
      <c r="Q154" s="47">
        <v>1587</v>
      </c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754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1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754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1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754</v>
      </c>
      <c r="Q157" s="47"/>
      <c r="R157" s="95">
        <f t="shared" si="17"/>
        <v>0</v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1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754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1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8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754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1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754</v>
      </c>
      <c r="Q160" s="47"/>
      <c r="R160" s="95">
        <f t="shared" si="17"/>
        <v>0</v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1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754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3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754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754</v>
      </c>
      <c r="Q163" s="47"/>
      <c r="R163" s="95">
        <f t="shared" si="17"/>
        <v>0</v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754</v>
      </c>
      <c r="Q164" s="47"/>
      <c r="R164" s="95">
        <f t="shared" si="17"/>
        <v>0</v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794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754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754</v>
      </c>
      <c r="Q166" s="47"/>
      <c r="R166" s="95">
        <f t="shared" si="17"/>
        <v>0</v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754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1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754</v>
      </c>
      <c r="Q168" s="47"/>
      <c r="R168" s="95">
        <f t="shared" si="17"/>
        <v>0</v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1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754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1" t="s">
        <v>795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754</v>
      </c>
      <c r="Q170" s="47"/>
      <c r="R170" s="95">
        <f t="shared" si="17"/>
        <v>0</v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796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754</v>
      </c>
      <c r="Q171" s="47"/>
      <c r="R171" s="95">
        <f t="shared" si="17"/>
        <v>0</v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1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754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1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754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1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754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1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754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1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754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1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754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1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754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1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754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3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754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3" t="s">
        <v>760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754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1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754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1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 t="s">
        <v>754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1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754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1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754</v>
      </c>
      <c r="Q185" s="47"/>
      <c r="R185" s="95">
        <f t="shared" si="20"/>
        <v>0</v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1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754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797</v>
      </c>
      <c r="D187" s="14" t="s">
        <v>45</v>
      </c>
      <c r="E187" s="6" t="s">
        <v>798</v>
      </c>
      <c r="F187" s="48" t="s">
        <v>799</v>
      </c>
      <c r="G187" s="12" t="s">
        <v>800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754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4" t="s">
        <v>801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754</v>
      </c>
      <c r="Q188" s="47"/>
      <c r="R188" s="95">
        <f t="shared" si="20"/>
        <v>0</v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4" t="s">
        <v>802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754</v>
      </c>
      <c r="Q189" s="47"/>
      <c r="R189" s="95">
        <f t="shared" si="20"/>
        <v>0</v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4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754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4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754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4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754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4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754</v>
      </c>
      <c r="Q193" s="47"/>
      <c r="R193" s="95">
        <f t="shared" si="20"/>
        <v>0</v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4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754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4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754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5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754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4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754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4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754</v>
      </c>
      <c r="Q198" s="47"/>
      <c r="R198" s="95">
        <f t="shared" si="20"/>
        <v>0</v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4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754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6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754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6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754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6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754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4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754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4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754</v>
      </c>
      <c r="Q204" s="47"/>
      <c r="R204" s="95">
        <f t="shared" ref="R204:R210" si="24">IF(OR(P204="c",P204="C"),+T204,"")</f>
        <v>0</v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4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754</v>
      </c>
      <c r="Q205" s="47"/>
      <c r="R205" s="95">
        <f t="shared" si="24"/>
        <v>0</v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4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754</v>
      </c>
      <c r="Q206" s="47"/>
      <c r="R206" s="95">
        <f t="shared" si="24"/>
        <v>0</v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4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754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4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754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4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754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4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754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4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4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4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4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4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4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4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4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4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4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4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2026-01-29T02:23:36Z</dcterms:modified>
</cp:coreProperties>
</file>