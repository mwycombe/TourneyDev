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6A094CBE-511C-4D1E-BFD9-9FB69A2C5890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R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81" i="1" l="1"/>
  <c r="R137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<sst xmlns="http://schemas.openxmlformats.org/spreadsheetml/2006/main" count="1820" uniqueCount="815">
  <si>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</si>
  <si>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</si>
  <si>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</si>
  <si>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</si>
  <si>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</si>
  <si>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</si>
  <si>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</si>
  <si>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</si>
  <si>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</si>
  <si>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</si>
  <si>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</si>
  <si>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</si>
  <si>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</si>
  <si>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</si>
  <si>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</si>
  <si>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</si>
  <si>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</si>
  <si>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</si>
  <si>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</si>
  <si>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</si>
  <si>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</si>
  <si>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</si>
  <si>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</si>
  <si>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</si>
  <si>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</si>
  <si>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</si>
  <si>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</si>
  <si>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</si>
  <si>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</si>
  <si>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</si>
  <si>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</si>
  <si>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</si>
  <si>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</si>
  <si>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</si>
  <si>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</si>
  <si>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</si>
  <si>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</si>
  <si>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</si>
  <si>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</si>
  <si>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</si>
  <si>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</si>
  <si>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</si>
  <si>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</si>
  <si>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</si>
  <si>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</si>
  <si>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</si>
  <si>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</si>
  <si>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</si>
  <si>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</si>
  <si>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</si>
  <si>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</si>
  <si>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</si>
  <si>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</si>
  <si>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</si>
  <si>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</si>
  <si>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</si>
  <si>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</si>
  <si>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</si>
  <si>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</si>
  <si>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</si>
  <si>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</si>
  <si>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</si>
  <si>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</si>
  <si>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</si>
  <si>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</si>
  <si>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</si>
  <si>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</si>
  <si>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</si>
  <si>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</si>
  <si>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</si>
  <si>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</si>
  <si>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</si>
  <si>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</si>
  <si>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</si>
  <si>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</si>
  <si>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</si>
  <si>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</si>
  <si>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</si>
  <si>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</si>
  <si>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</si>
  <si>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</si>
  <si>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</si>
  <si>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</si>
  <si>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</si>
  <si>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</si>
  <si>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</si>
  <si>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</si>
  <si>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</si>
  <si>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</si>
  <si>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</si>
  <si>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</si>
  <si>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</si>
  <si>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</si>
  <si>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</si>
  <si>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</si>
  <si>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</si>
  <si>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</si>
  <si>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</si>
  <si>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</si>
  <si>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</si>
  <si>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</si>
  <si>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</si>
  <si>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</si>
  <si>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</si>
  <si>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</si>
  <si>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</si>
  <si>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</si>
  <si>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</si>
  <si>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</si>
  <si>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</si>
  <si>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</si>
  <si>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</si>
  <si>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</si>
  <si>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</si>
  <si>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</si>
  <si>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</si>
  <si>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</si>
  <si>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</si>
  <si>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</si>
  <si>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</si>
  <si>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</si>
  <si>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</si>
  <si>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</si>
  <si>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</si>
  <si>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</si>
  <si>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</si>
  <si>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</si>
  <si>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</si>
  <si>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</si>
  <si>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</si>
  <si>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</si>
  <si>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</si>
  <si>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</si>
  <si>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</si>
  <si>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</si>
  <si>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</si>
  <si>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</si>
  <si>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</si>
  <si>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</si>
  <si>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</si>
  <si>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</si>
  <si>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</si>
  <si>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</si>
  <si>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</si>
  <si>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</si>
  <si>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</si>
  <si>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</si>
  <si>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</si>
  <si>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</si>
  <si>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</si>
  <si>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</si>
  <si>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</si>
  <si>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</si>
  <si>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</si>
  <si>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</si>
  <si>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</si>
  <si>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</si>
  <si>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</si>
  <si>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</si>
  <si>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</si>
  <si>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</si>
  <si>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</si>
  <si>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</si>
  <si>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</si>
  <si>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</si>
  <si>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</si>
  <si>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</si>
  <si>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</si>
  <si>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</si>
  <si>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</si>
  <si>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</si>
  <si>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</si>
  <si>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</si>
  <si>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</si>
  <si>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</si>
  <si>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</si>
  <si>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</si>
  <si>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</si>
  <si>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</si>
  <si>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</si>
  <si>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</si>
  <si>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</si>
  <si>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</si>
  <si>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</si>
  <si>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</si>
  <si>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</si>
  <si>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</si>
  <si>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</si>
  <si>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</si>
  <si>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</si>
  <si>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</si>
  <si>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</si>
  <si>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</si>
  <si>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</si>
  <si>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</si>
  <si>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</si>
  <si>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</si>
  <si>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</si>
  <si>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</si>
  <si>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</si>
  <si>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</si>
  <si>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</si>
  <si>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</si>
  <si>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</si>
  <si>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</si>
  <si>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</si>
  <si>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</si>
  <si>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</si>
  <si>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</si>
  <si>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</si>
  <si>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</si>
  <si>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</si>
  <si>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</si>
  <si>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</si>
  <si>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</si>
  <si>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</si>
  <si>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</si>
  <si>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</si>
  <si>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</si>
  <si>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</si>
  <si>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</si>
  <si>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</si>
  <si>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</si>
  <si>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</si>
  <si>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</si>
  <si>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</si>
  <si>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</si>
  <si>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</si>
  <si>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</si>
  <si>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</si>
  <si>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</si>
  <si>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</si>
  <si>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</si>
  <si>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</si>
  <si>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</si>
  <si>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</si>
  <si>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</si>
  <si>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</si>
  <si>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</si>
  <si>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</si>
  <si>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</si>
  <si>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</si>
  <si>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</si>
  <si>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</si>
  <si>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</si>
  <si>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</si>
  <si>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</si>
  <si>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</si>
  <si>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</si>
  <si>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</si>
  <si>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</si>
  <si>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</si>
  <si>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</si>
  <si>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</si>
  <si>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</si>
  <si>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</si>
  <si>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</si>
  <si>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</si>
  <si>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</si>
  <si>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</si>
  <si>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</si>
  <si>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</si>
  <si>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</si>
  <si>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</si>
  <si>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</si>
  <si>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</si>
  <si>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</si>
  <si>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</si>
  <si>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</si>
  <si>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</si>
  <si>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</si>
  <si>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</si>
  <si>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</si>
  <si>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</si>
  <si>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</si>
  <si>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</si>
  <si>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</si>
  <si>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</si>
  <si>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</si>
  <si>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</si>
  <si>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</si>
  <si>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</si>
  <si>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</si>
  <si>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</si>
  <si>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</si>
  <si>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</si>
  <si>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</si>
  <si>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</si>
  <si>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</si>
  <si>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</si>
  <si>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</si>
  <si>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</si>
  <si>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</si>
  <si>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</si>
  <si>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</si>
  <si>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</si>
  <si>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</si>
  <si>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</si>
  <si>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</si>
  <si>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</si>
  <si>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</si>
  <si>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</si>
  <si>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</si>
  <si>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</si>
  <si>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</si>
  <si>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</si>
  <si>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</si>
  <si>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</si>
  <si>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</si>
  <si>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</si>
  <si>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</si>
  <si>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</si>
  <si>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</si>
  <si>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</si>
  <si>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</si>
  <si>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</si>
  <si>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</si>
  <si>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</si>
  <si>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</si>
  <si>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</si>
  <si>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</si>
  <si>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</si>
  <si>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</si>
  <si>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</si>
  <si>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</si>
  <si>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</si>
  <si>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</si>
  <si>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</si>
  <si>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</si>
  <si>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</si>
  <si>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</si>
  <si>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</si>
  <si>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</si>
  <si>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</si>
  <si>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</si>
  <si>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</si>
  <si>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</si>
  <si>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</si>
  <si>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</si>
  <si>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</si>
  <si>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</si>
  <si>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</si>
  <si>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</si>
  <si>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</si>
  <si>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</si>
  <si>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</si>
  <si>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</si>
  <si>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</si>
  <si>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</si>
  <si>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</si>
  <si>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</si>
  <si>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</si>
  <si>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</si>
  <si>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</si>
  <si>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</si>
  <si>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</si>
  <si>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</si>
  <si>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</si>
  <si>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</si>
  <si>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</si>
  <si>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</si>
  <si>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</si>
  <si>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</si>
  <si>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</si>
  <si>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</si>
  <si>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</si>
  <si>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</si>
  <si>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</si>
  <si>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</si>
  <si>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</si>
  <si>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</si>
  <si>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</si>
  <si>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</si>
  <si>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</si>
  <si>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</si>
  <si>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</si>
  <si>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</si>
  <si>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</si>
  <si>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</si>
  <si>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</si>
  <si>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</si>
  <si>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</si>
  <si>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</si>
  <si>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</si>
  <si>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</si>
  <si>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</si>
  <si>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</si>
  <si>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</si>
  <si>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</si>
  <si>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</si>
  <si>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</si>
  <si>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</si>
  <si>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</si>
  <si>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</si>
  <si>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</si>
  <si>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</si>
  <si>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</si>
  <si>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</si>
  <si>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</si>
  <si>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</si>
  <si>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</si>
  <si>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</si>
  <si>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</si>
  <si>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</si>
  <si>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</si>
  <si>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</si>
  <si>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</si>
  <si>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</si>
  <si>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</si>
  <si>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</si>
  <si>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</si>
  <si>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</si>
  <si>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</si>
  <si>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</si>
  <si>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</si>
  <si>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</si>
  <si>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</si>
  <si>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</si>
  <si>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</si>
  <si>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</si>
  <si>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</si>
  <si>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</si>
  <si>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</si>
  <si>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</si>
  <si>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</si>
  <si>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</si>
  <si>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</si>
  <si>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</si>
  <si>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</si>
  <si>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</si>
  <si>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</si>
  <si>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</si>
  <si>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</si>
  <si>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</si>
  <si>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</si>
  <si>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</si>
  <si>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</si>
  <si>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</si>
  <si>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</si>
  <si>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</si>
  <si>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</si>
  <si>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</si>
  <si>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</si>
  <si>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</si>
  <si>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</si>
  <si>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</si>
  <si>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</si>
  <si>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</si>
  <si>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</si>
  <si>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</si>
  <si>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</si>
  <si>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</si>
  <si>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</si>
  <si>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</si>
  <si>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</si>
  <si>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</si>
  <si>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</si>
  <si>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</si>
  <si>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</si>
  <si>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</si>
  <si>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</si>
  <si>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</si>
  <si>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</si>
  <si>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</si>
  <si>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</si>
  <si>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</si>
  <si>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</si>
  <si>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</si>
  <si>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</si>
  <si>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</si>
  <si>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</si>
  <si>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</si>
  <si>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</si>
  <si>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</si>
  <si>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</si>
  <si>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</si>
  <si>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</si>
  <si>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</si>
  <si>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</si>
  <si>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</si>
  <si>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</si>
  <si>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</si>
  <si>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</si>
  <si>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</si>
  <si>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</si>
  <si>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</si>
  <si>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</si>
  <si>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</si>
  <si>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</si>
  <si>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</si>
  <si>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</si>
  <si>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</si>
  <si>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</si>
  <si>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</si>
  <si>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</si>
  <si>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</si>
  <si>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</si>
  <si>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</si>
  <si>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</si>
  <si>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</si>
  <si>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</si>
  <si>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</si>
  <si>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</si>
  <si>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</si>
  <si>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</si>
  <si>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</si>
  <si>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</si>
  <si>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</si>
  <si>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</si>
  <si>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</si>
  <si>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</si>
  <si>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</si>
  <si>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</si>
  <si>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</si>
  <si>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</si>
  <si>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</si>
  <si>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</si>
  <si>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</si>
  <si>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</si>
  <si>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</si>
  <si>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</si>
  <si>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</si>
  <si>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</si>
  <si>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</si>
  <si>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</si>
  <si>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</si>
  <si>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</si>
  <si>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</si>
  <si>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</si>
  <si>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</si>
  <si>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</si>
  <si>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</si>
  <si>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</si>
  <si>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</si>
  <si>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</si>
  <si>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</si>
  <si>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</si>
  <si>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</si>
  <si>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</si>
  <si>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</si>
  <si>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</si>
  <si>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</si>
  <si>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</si>
  <si>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</si>
  <si>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</si>
  <si>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</si>
  <si>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</si>
  <si>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</si>
  <si>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</si>
  <si>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</si>
  <si>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</si>
  <si>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</si>
  <si>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</si>
  <si>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</si>
  <si>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</si>
  <si>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</si>
  <si>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</si>
  <si>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</si>
  <si>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</si>
  <si>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</si>
  <si>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</si>
  <si>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</si>
  <si>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</si>
  <si>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</si>
  <si>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</si>
  <si>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</si>
  <si>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</si>
  <si>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</si>
  <si>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</si>
  <si>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</si>
  <si>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</si>
  <si>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</si>
  <si>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</si>
  <si>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</si>
  <si>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</si>
  <si>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</si>
  <si>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</si>
  <si>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</si>
  <si>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</si>
  <si>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</si>
  <si>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</si>
  <si>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</si>
  <si>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</si>
  <si>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</si>
  <si>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</si>
  <si>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</si>
  <si>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</si>
  <si>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</si>
  <si>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</si>
  <si>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</si>
  <si>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</si>
  <si>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</si>
  <si>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</si>
  <si>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</si>
  <si>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</si>
  <si>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</si>
  <si>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</si>
  <si>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</si>
  <si>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</si>
  <si>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</si>
  <si>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</si>
  <si>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</si>
  <si>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</si>
  <si>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</si>
  <si>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</si>
  <si>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</si>
  <si>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</si>
  <si>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</si>
  <si>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</si>
  <si>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</si>
  <si>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</si>
  <si>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</si>
  <si>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</si>
  <si>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</si>
  <si>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</si>
  <si>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</si>
  <si>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</si>
  <si>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</si>
  <si>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</si>
  <si>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</si>
  <si>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</si>
  <si>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</si>
  <si>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</si>
  <si>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</si>
  <si>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</si>
  <si>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</si>
  <si>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</si>
  <si>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</si>
  <si>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</si>
  <si>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</si>
  <si>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</si>
  <si>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</si>
  <si>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</si>
  <si>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</si>
  <si>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</si>
  <si>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</si>
  <si>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</si>
  <si>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</si>
  <si>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</si>
  <si>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</si>
  <si>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</si>
  <si>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</si>
  <si>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</si>
  <si>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</si>
  <si>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</si>
  <si>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</si>
  <si>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</si>
  <si>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</si>
  <si>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</si>
  <si>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</si>
  <si>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</si>
  <si>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</si>
  <si>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</si>
  <si>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</si>
  <si>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</si>
  <si>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</si>
  <si>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</si>
  <si>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</si>
  <si>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</si>
  <si>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</si>
  <si>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</si>
  <si>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</si>
  <si>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</si>
  <si>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</si>
  <si>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</si>
  <si>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</si>
  <si>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</si>
  <si>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</si>
  <si>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</si>
  <si>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</si>
  <si>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</si>
  <si>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</si>
  <si>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</si>
  <si>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</si>
  <si>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</si>
  <si>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</si>
  <si>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</si>
  <si>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</si>
  <si>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</si>
  <si>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</si>
  <si>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</si>
  <si>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</si>
  <si>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</si>
  <si>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</si>
  <si>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</si>
  <si>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</si>
  <si>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</si>
  <si>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</si>
  <si>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</si>
  <si>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</si>
  <si>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</si>
  <si>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</si>
  <si>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</si>
  <si>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</si>
  <si>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</si>
  <si>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</si>
  <si>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</si>
  <si>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</si>
  <si>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</si>
  <si>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</si>
  <si>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</si>
  <si>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</si>
  <si>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</si>
  <si>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</si>
  <si>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</si>
  <si>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</si>
  <si>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</si>
  <si>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</si>
  <si>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</si>
  <si>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</si>
  <si>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</si>
  <si>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</si>
  <si>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</si>
  <si>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</si>
  <si>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</si>
  <si>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</si>
  <si>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</si>
  <si>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</si>
  <si>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</si>
  <si>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</si>
  <si>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</si>
  <si>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</si>
  <si>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</si>
  <si>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</si>
  <si>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</si>
  <si>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</si>
  <si>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</si>
  <si>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</si>
  <si>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</si>
  <si>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</si>
  <si>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</si>
  <si>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</si>
  <si>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</si>
  <si>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</si>
  <si>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</si>
  <si>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</si>
  <si>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</si>
  <si>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</si>
  <si>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</si>
  <si>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</si>
  <si>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</si>
  <si>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</si>
  <si>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</si>
  <si>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</si>
  <si>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</si>
  <si>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</si>
  <si>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</si>
  <si>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</si>
  <si>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</si>
  <si>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</si>
  <si>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</si>
  <si>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</si>
  <si>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</si>
  <si>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</si>
  <si>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</si>
  <si>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</si>
  <si>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</si>
  <si>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</si>
  <si>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</si>
  <si>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</si>
  <si>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</si>
  <si>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</si>
  <si>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</si>
  <si>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</si>
  <si>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</si>
  <si>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</si>
  <si>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</si>
  <si>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</si>
  <si>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</si>
  <si>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</si>
  <si>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</si>
  <si>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</si>
  <si>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</si>
  <si>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</si>
  <si>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</si>
  <si>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</si>
  <si>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</si>
  <si>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</si>
  <si>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</si>
  <si>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</si>
  <si>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</si>
  <si>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</si>
  <si>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</si>
  <si>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</si>
  <si>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</si>
  <si>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</si>
  <si>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</si>
  <si>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</si>
  <si>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</si>
  <si>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</si>
  <si>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</si>
  <si>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</si>
  <si>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</si>
  <si>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</si>
  <si>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</si>
  <si>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</si>
  <si>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</si>
  <si>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</si>
  <si>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</si>
  <si>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</si>
  <si>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</si>
  <si>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</si>
  <si>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</si>
  <si>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</si>
  <si>
    <t>Napa Wine Country Open</t>
  </si>
  <si>
    <t>The Moose Lodge</t>
  </si>
  <si>
    <t>Napa, Ca 9458</t>
  </si>
  <si>
    <t>Rolands Hall</t>
  </si>
  <si>
    <t>Yvonne Bowers</t>
  </si>
  <si>
    <t>Michael Rogesr</t>
  </si>
  <si>
    <t>707-738-0799</t>
  </si>
  <si>
    <t>707-873-0109</t>
  </si>
  <si>
    <t>510-504-6905</t>
  </si>
  <si>
    <t>cribbageclub100@gmail.com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</si>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</sst>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8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49" fontId="4" fillId="0" borderId="0" xfId="0" applyNumberFormat="1" applyFont="1" applyBorder="1" applyProtection="1">
      <protection locked="0"/>
    </xf>
    <xf numFmtId="0" fontId="0" fillId="0" borderId="0" xfId="0" applyBorder="1" applyAlignment="1">
      <alignment horizontal="center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/>
    </xf>
    <xf numFmtId="0" fontId="0" fillId="0" borderId="0" xfId="0" applyBorder="1"/>
    <xf numFmtId="49" fontId="5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165" fontId="5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>
      <protection locked="0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4" t="s">
        <v>609</v>
      </c>
      <c r="D1" s="125"/>
      <c r="E1" s="126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7" t="s">
        <v>804</v>
      </c>
      <c r="D3" s="128"/>
      <c r="E3" s="128"/>
      <c r="F3" s="128"/>
      <c r="G3" s="129"/>
    </row>
    <row r="4" spans="1:8" ht="15.75" thickBot="1" x14ac:dyDescent="0.3"/>
    <row r="5" spans="1:8" ht="16.5" thickBot="1" x14ac:dyDescent="0.3">
      <c r="A5" s="71" t="s">
        <v>610</v>
      </c>
      <c r="C5" s="127" t="s">
        <v>805</v>
      </c>
      <c r="D5" s="128"/>
      <c r="E5" s="128"/>
      <c r="F5" s="128"/>
      <c r="G5" s="129"/>
    </row>
    <row r="6" spans="1:8" ht="15.75" thickBot="1" x14ac:dyDescent="0.3">
      <c r="H6" s="72"/>
    </row>
    <row r="7" spans="1:8" ht="16.5" thickBot="1" x14ac:dyDescent="0.3">
      <c r="A7" s="71" t="s">
        <v>611</v>
      </c>
      <c r="C7" s="127" t="s">
        <v>806</v>
      </c>
      <c r="D7" s="128"/>
      <c r="E7" s="128"/>
      <c r="F7" s="128"/>
      <c r="G7" s="129"/>
    </row>
    <row r="8" spans="1:8" ht="15.75" thickBot="1" x14ac:dyDescent="0.3"/>
    <row r="9" spans="1:8" ht="16.5" thickBot="1" x14ac:dyDescent="0.3">
      <c r="A9" s="71" t="s">
        <v>421</v>
      </c>
      <c r="C9" s="102">
        <v>46130</v>
      </c>
    </row>
    <row r="10" spans="1:8" ht="15.75" thickBot="1" x14ac:dyDescent="0.3"/>
    <row r="11" spans="1:8" ht="16.5" thickBot="1" x14ac:dyDescent="0.3">
      <c r="A11" s="71" t="s">
        <v>612</v>
      </c>
      <c r="C11" s="122" t="s">
        <v>807</v>
      </c>
      <c r="D11" s="123"/>
      <c r="E11" s="122" t="s">
        <v>808</v>
      </c>
      <c r="F11" s="123"/>
      <c r="G11" s="122" t="s">
        <v>809</v>
      </c>
      <c r="H11" s="123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2" t="s">
        <v>810</v>
      </c>
      <c r="D13" s="123"/>
      <c r="E13" s="122" t="s">
        <v>811</v>
      </c>
      <c r="F13" s="123"/>
      <c r="G13" s="122" t="s">
        <v>812</v>
      </c>
      <c r="H13" s="123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2" t="s">
        <v>498</v>
      </c>
      <c r="D15" s="123"/>
      <c r="E15" s="122" t="s">
        <v>813</v>
      </c>
      <c r="F15" s="123"/>
      <c r="G15" s="122" t="s">
        <v>562</v>
      </c>
      <c r="H15" s="123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0" t="s">
        <v>609</v>
      </c>
      <c r="D2" s="131"/>
      <c r="E2" s="131"/>
      <c r="F2" s="131"/>
      <c r="G2" s="132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3" t="s">
        <v>804</v>
      </c>
      <c r="C4" s="133"/>
      <c r="D4" s="133"/>
      <c r="E4" s="133"/>
      <c r="F4" s="133"/>
    </row>
    <row r="5" spans="1:7" x14ac:dyDescent="0.25">
      <c r="A5" s="4" t="s">
        <v>616</v>
      </c>
      <c r="B5" s="134" t="s">
        <v>805</v>
      </c>
      <c r="C5" s="134"/>
      <c r="D5" s="134"/>
      <c r="E5" s="134"/>
      <c r="F5" s="134"/>
    </row>
    <row r="6" spans="1:7" x14ac:dyDescent="0.25">
      <c r="A6" s="4" t="s">
        <v>617</v>
      </c>
      <c r="B6" s="134" t="s">
        <v>806</v>
      </c>
      <c r="C6" s="134"/>
      <c r="D6" s="134"/>
      <c r="E6" s="134"/>
      <c r="F6" s="134"/>
    </row>
    <row r="7" spans="1:7" x14ac:dyDescent="0.25">
      <c r="A7" s="4" t="s">
        <v>618</v>
      </c>
      <c r="B7" s="80">
        <v>46130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5" t="s">
        <v>623</v>
      </c>
      <c r="D15" s="135"/>
      <c r="E15" s="135"/>
      <c r="F15" s="135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0">
        <v>10</v>
      </c>
      <c r="D18" s="100">
        <v>10</v>
      </c>
      <c r="E18" s="100">
        <v>20</v>
      </c>
      <c r="F18" s="100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6" t="s">
        <v>609</v>
      </c>
      <c r="D2" s="137"/>
      <c r="E2" s="137"/>
      <c r="F2" s="137"/>
      <c r="G2" s="13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3" t="s">
        <v>804</v>
      </c>
      <c r="C4" s="133"/>
      <c r="D4" s="133"/>
      <c r="E4" s="133"/>
      <c r="F4" s="133"/>
    </row>
    <row r="5" spans="1:7" x14ac:dyDescent="0.25">
      <c r="A5" s="4" t="s">
        <v>616</v>
      </c>
      <c r="B5" s="79" t="s">
        <v>805</v>
      </c>
      <c r="C5" s="79"/>
      <c r="D5" s="79"/>
      <c r="E5" s="79"/>
      <c r="F5" s="79"/>
    </row>
    <row r="6" spans="1:7" x14ac:dyDescent="0.25">
      <c r="A6" s="4" t="s">
        <v>617</v>
      </c>
      <c r="B6" s="79" t="s">
        <v>806</v>
      </c>
    </row>
    <row r="7" spans="1:7" x14ac:dyDescent="0.25">
      <c r="A7" s="4" t="s">
        <v>618</v>
      </c>
      <c r="B7" s="80">
        <v>46130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5" t="s">
        <v>636</v>
      </c>
      <c r="D15" s="135"/>
      <c r="E15" s="135"/>
      <c r="F15" s="135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C49" sqref="C49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0" t="s">
        <v>804</v>
      </c>
      <c r="L2" s="120"/>
      <c r="M2" s="120"/>
      <c r="N2" s="120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0" t="s">
        <v>805</v>
      </c>
      <c r="L3" s="120"/>
      <c r="M3" s="120"/>
      <c r="N3" s="120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0" t="s">
        <v>806</v>
      </c>
      <c r="L4" s="120"/>
      <c r="M4" s="120"/>
      <c r="N4" s="120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1">
        <v>46130</v>
      </c>
      <c r="L5" s="121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17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53</v>
      </c>
      <c r="C10" s="31"/>
      <c r="D10" s="31"/>
      <c r="E10" s="17"/>
      <c r="F10" s="17"/>
      <c r="G10" s="17"/>
      <c r="H10" s="30">
        <f t="shared" ref="H10:N10" si="0">COUNTIF(H12:H220,"&lt;&gt;" &amp; "")</f>
        <v>43</v>
      </c>
      <c r="I10" s="30">
        <f t="shared" si="0"/>
        <v>25</v>
      </c>
      <c r="J10" s="30">
        <f t="shared" si="0"/>
        <v>29</v>
      </c>
      <c r="K10" s="30">
        <f t="shared" si="0"/>
        <v>14</v>
      </c>
      <c r="L10" s="30">
        <f t="shared" si="0"/>
        <v>13</v>
      </c>
      <c r="M10" s="30">
        <f t="shared" si="0"/>
        <v>4</v>
      </c>
      <c r="N10" s="30">
        <f t="shared" si="0"/>
        <v>11</v>
      </c>
      <c r="O10" s="108">
        <f>SUM(O12:O209)</f>
        <v>1060</v>
      </c>
      <c r="P10" s="32"/>
      <c r="Q10" s="25"/>
      <c r="R10" s="33">
        <f>SUM(R12:R220)</f>
        <v>3360</v>
      </c>
      <c r="S10" s="33">
        <f>SUM(S12:S220)</f>
        <v>2310</v>
      </c>
      <c r="T10" s="33">
        <f>SUM(T12:T220)</f>
        <v>5670</v>
      </c>
      <c r="U10" s="30">
        <f>COUNTIF(U12:U220,"&lt;&gt;" &amp; "")</f>
        <v>7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>
        <v>1</v>
      </c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>
        <v>1</v>
      </c>
      <c r="O12" s="94">
        <f>T12*N12</f>
        <v>70</v>
      </c>
      <c r="P12" s="47" t="s">
        <v>750</v>
      </c>
      <c r="Q12" s="47"/>
      <c r="R12" s="95" t="str">
        <f>IF(OR(P12="c",P12="C"),+T12,"")</f>
        <v/>
      </c>
      <c r="S12" s="95">
        <f>IF(OR(P12="$",N12=1),+T12,"")</f>
        <v>70</v>
      </c>
      <c r="T12" s="96">
        <f>H12*[1]!FMainPool1Fee+I12*[1]!FMainPool2Fee+J12*[1]!FMainPool3Fee+K12*[1]!FMainPool4Fee+B12*[1]!FMainEntryFee</f>
        <v>70</v>
      </c>
      <c r="U12" s="51"/>
      <c r="V12" s="110"/>
    </row>
    <row r="13" spans="1:22" x14ac:dyDescent="0.25">
      <c r="A13" s="46">
        <f t="shared" si="1"/>
        <v>2</v>
      </c>
      <c r="B13" s="47">
        <v>1</v>
      </c>
      <c r="C13" s="5" t="s">
        <v>751</v>
      </c>
      <c r="D13" s="5" t="s">
        <v>5</v>
      </c>
      <c r="E13" s="6" t="s">
        <v>6</v>
      </c>
      <c r="F13" s="10" t="s">
        <v>752</v>
      </c>
      <c r="G13" s="15" t="s">
        <v>753</v>
      </c>
      <c r="H13" s="49"/>
      <c r="I13" s="47"/>
      <c r="J13" s="47">
        <v>1</v>
      </c>
      <c r="K13" s="47"/>
      <c r="L13" s="47"/>
      <c r="M13" s="47"/>
      <c r="N13" s="47"/>
      <c r="O13" s="94">
        <f>T13*N13</f>
        <v>0</v>
      </c>
      <c r="P13" s="47" t="s">
        <v>754</v>
      </c>
      <c r="Q13" s="47">
        <v>930</v>
      </c>
      <c r="R13" s="95">
        <f>IF(OR(P13="c",P13="C"),+T13,"")</f>
        <v>90</v>
      </c>
      <c r="S13" s="95" t="str">
        <f>IF(OR(P13="$",N13=1),+T13,"")</f>
        <v/>
      </c>
      <c r="T13" s="96">
        <f>H13*[1]!FMainPool1Fee+I13*[1]!FMainPool2Fee+J13*[1]!FMainPool3Fee+K13*[1]!FMainPool4Fee+B13*[1]!FMainEntryFee</f>
        <v>90</v>
      </c>
      <c r="U13" s="51"/>
      <c r="V13" s="110"/>
    </row>
    <row r="14" spans="1:22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9" t="s">
        <v>445</v>
      </c>
      <c r="G14" s="147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>T14*N14</f>
        <v>0</v>
      </c>
      <c r="P14" s="47" t="s">
        <v>754</v>
      </c>
      <c r="Q14" s="47">
        <v>398</v>
      </c>
      <c r="R14" s="95">
        <f>IF(OR(P14="c",P14="C"),+T14,"")</f>
        <v>80</v>
      </c>
      <c r="S14" s="95" t="str">
        <f>IF(OR(P14="$",N14=1),+T14,"")</f>
        <v/>
      </c>
      <c r="T14" s="96">
        <f>H14*[1]!FMainPool1Fee+I14*[1]!FMainPool2Fee+J14*[1]!FMainPool3Fee+K14*[1]!FMainPool4Fee+B14*[1]!FMainEntryFee</f>
        <v>80</v>
      </c>
      <c r="U14" s="51"/>
      <c r="V14" s="110"/>
    </row>
    <row r="15" spans="1:22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46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>T15*N15</f>
        <v>0</v>
      </c>
      <c r="P15" s="47" t="s">
        <v>754</v>
      </c>
      <c r="Q15" s="47">
        <v>1723</v>
      </c>
      <c r="R15" s="95">
        <f>IF(OR(P15="c",P15="C"),+T15,"")</f>
        <v>160</v>
      </c>
      <c r="S15" s="95" t="str">
        <f>IF(OR(P15="$",N15=1),+T15,"")</f>
        <v/>
      </c>
      <c r="T15" s="96">
        <f>H15*[1]!FMainPool1Fee+I15*[1]!FMainPool2Fee+J15*[1]!FMainPool3Fee+K15*[1]!FMainPool4Fee+B15*[1]!FMainEntryFee</f>
        <v>160</v>
      </c>
      <c r="U15" s="51"/>
      <c r="V15" s="10"/>
    </row>
    <row r="16" spans="1:22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>T16*N16</f>
        <v>0</v>
      </c>
      <c r="P16" s="47" t="s">
        <v>754</v>
      </c>
      <c r="Q16" s="47">
        <v>1587</v>
      </c>
      <c r="R16" s="95">
        <f>IF(OR(P16="c",P16="C"),+T16,"")</f>
        <v>160</v>
      </c>
      <c r="S16" s="95" t="str">
        <f>IF(OR(P16="$",N16=1),+T16,"")</f>
        <v/>
      </c>
      <c r="T16" s="96">
        <f>H16*[1]!FMainPool1Fee+I16*[1]!FMainPool2Fee+J16*[1]!FMainPool3Fee+K16*[1]!FMainPool4Fee+B16*[1]!FMainEntryFee</f>
        <v>160</v>
      </c>
      <c r="U16" s="51"/>
      <c r="V16" s="110"/>
    </row>
    <row r="17" spans="1:22" x14ac:dyDescent="0.25">
      <c r="A17" s="46">
        <f t="shared" si="1"/>
        <v>6</v>
      </c>
      <c r="B17" s="47">
        <v>1</v>
      </c>
      <c r="C17" s="5" t="s">
        <v>757</v>
      </c>
      <c r="D17" s="5" t="s">
        <v>758</v>
      </c>
      <c r="E17" s="6" t="s">
        <v>759</v>
      </c>
      <c r="F17" s="48">
        <v>9255487664</v>
      </c>
      <c r="G17" s="57" t="s">
        <v>760</v>
      </c>
      <c r="H17" s="49"/>
      <c r="I17" s="47"/>
      <c r="J17" s="47"/>
      <c r="K17" s="47"/>
      <c r="L17" s="47"/>
      <c r="M17" s="47"/>
      <c r="N17" s="47"/>
      <c r="O17" s="94">
        <f>T17*N17</f>
        <v>0</v>
      </c>
      <c r="P17" s="47" t="s">
        <v>750</v>
      </c>
      <c r="Q17" s="47" t="s">
        <v>756</v>
      </c>
      <c r="R17" s="95" t="str">
        <f>IF(OR(P17="c",P17="C"),+T17,"")</f>
        <v/>
      </c>
      <c r="S17" s="95">
        <f>IF(OR(P17="$",N17=1),+T17,"")</f>
        <v>70</v>
      </c>
      <c r="T17" s="96">
        <f>H17*[1]!FMainPool1Fee+I17*[1]!FMainPool2Fee+J17*[1]!FMainPool3Fee+K17*[1]!FMainPool4Fee+B17*[1]!FMainEntryFee</f>
        <v>70</v>
      </c>
      <c r="U17" s="51"/>
      <c r="V17" s="110"/>
    </row>
    <row r="18" spans="1:22" x14ac:dyDescent="0.25">
      <c r="A18" s="46">
        <f t="shared" si="1"/>
        <v>7</v>
      </c>
      <c r="B18" s="47">
        <v>1</v>
      </c>
      <c r="C18" s="5" t="s">
        <v>761</v>
      </c>
      <c r="D18" s="5" t="s">
        <v>762</v>
      </c>
      <c r="E18" s="6" t="s">
        <v>763</v>
      </c>
      <c r="F18" s="48">
        <v>9257272271</v>
      </c>
      <c r="G18" s="118" t="s">
        <v>764</v>
      </c>
      <c r="H18" s="49">
        <v>1</v>
      </c>
      <c r="I18" s="47"/>
      <c r="J18" s="47"/>
      <c r="K18" s="47"/>
      <c r="L18" s="47"/>
      <c r="M18" s="47"/>
      <c r="N18" s="47"/>
      <c r="O18" s="94">
        <f>T18*N18</f>
        <v>0</v>
      </c>
      <c r="P18" s="47" t="s">
        <v>750</v>
      </c>
      <c r="Q18" s="47" t="s">
        <v>765</v>
      </c>
      <c r="R18" s="95" t="str">
        <f>IF(OR(P18="c",P18="C"),+T18,"")</f>
        <v/>
      </c>
      <c r="S18" s="95">
        <f>IF(OR(P18="$",N18=1),+T18,"")</f>
        <v>80</v>
      </c>
      <c r="T18" s="96">
        <f>H18*[1]!FMainPool1Fee+I18*[1]!FMainPool2Fee+J18*[1]!FMainPool3Fee+K18*[1]!FMainPool4Fee+B18*[1]!FMainEntryFee</f>
        <v>80</v>
      </c>
      <c r="U18" s="51"/>
      <c r="V18" s="110"/>
    </row>
    <row r="19" spans="1:22" x14ac:dyDescent="0.25">
      <c r="A19" s="46">
        <f t="shared" si="1"/>
        <v>8</v>
      </c>
      <c r="B19" s="47">
        <v>1</v>
      </c>
      <c r="C19" s="5" t="s">
        <v>766</v>
      </c>
      <c r="D19" s="5" t="s">
        <v>72</v>
      </c>
      <c r="E19" s="6" t="s">
        <v>767</v>
      </c>
      <c r="F19" s="48">
        <v>7078430341</v>
      </c>
      <c r="G19" s="118" t="s">
        <v>768</v>
      </c>
      <c r="H19" s="49">
        <v>1</v>
      </c>
      <c r="I19" s="47"/>
      <c r="J19" s="47"/>
      <c r="K19" s="47"/>
      <c r="L19" s="47"/>
      <c r="M19" s="47"/>
      <c r="N19" s="47"/>
      <c r="O19" s="94">
        <f>T19*N19</f>
        <v>0</v>
      </c>
      <c r="P19" s="47" t="s">
        <v>750</v>
      </c>
      <c r="Q19" s="47" t="s">
        <v>756</v>
      </c>
      <c r="R19" s="95" t="str">
        <f>IF(OR(P19="c",P19="C"),+T19,"")</f>
        <v/>
      </c>
      <c r="S19" s="95">
        <f>IF(OR(P19="$",N19=1),+T19,"")</f>
        <v>80</v>
      </c>
      <c r="T19" s="96">
        <f>H19*[1]!FMainPool1Fee+I19*[1]!FMainPool2Fee+J19*[1]!FMainPool3Fee+K19*[1]!FMainPool4Fee+B19*[1]!FMainEntryFee</f>
        <v>80</v>
      </c>
      <c r="U19" s="51"/>
      <c r="V19" s="112"/>
    </row>
    <row r="20" spans="1:22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>T20*N20</f>
        <v>0</v>
      </c>
      <c r="P20" s="47" t="s">
        <v>754</v>
      </c>
      <c r="Q20" s="47">
        <v>3536</v>
      </c>
      <c r="R20" s="95">
        <f>IF(OR(P20="c",P20="C"),+T20,"")</f>
        <v>160</v>
      </c>
      <c r="S20" s="95" t="str">
        <f>IF(OR(P20="$",N20=1),+T20,"")</f>
        <v/>
      </c>
      <c r="T20" s="96">
        <f>H20*[1]!FMainPool1Fee+I20*[1]!FMainPool2Fee+J20*[1]!FMainPool3Fee+K20*[1]!FMainPool4Fee+B20*[1]!FMainEntryFee</f>
        <v>160</v>
      </c>
      <c r="U20" s="51"/>
      <c r="V20" s="110"/>
    </row>
    <row r="21" spans="1:22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>T21*N21</f>
        <v>0</v>
      </c>
      <c r="P21" s="47" t="s">
        <v>754</v>
      </c>
      <c r="Q21" s="47">
        <v>206</v>
      </c>
      <c r="R21" s="95">
        <f>IF(OR(P21="c",P21="C"),+T21,"")</f>
        <v>80</v>
      </c>
      <c r="S21" s="95" t="str">
        <f>IF(OR(P21="$",N21=1),+T21,"")</f>
        <v/>
      </c>
      <c r="T21" s="96">
        <f>H21*[1]!FMainPool1Fee+I21*[1]!FMainPool2Fee+J21*[1]!FMainPool3Fee+K21*[1]!FMainPool4Fee+B21*[1]!FMainEntryFee</f>
        <v>80</v>
      </c>
      <c r="U21" s="51"/>
      <c r="V21" s="110"/>
    </row>
    <row r="22" spans="1:22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>T22*N22</f>
        <v>0</v>
      </c>
      <c r="P22" s="47" t="s">
        <v>754</v>
      </c>
      <c r="Q22" s="47">
        <v>1094</v>
      </c>
      <c r="R22" s="95">
        <f>IF(OR(P22="c",P22="C"),+T22,"")</f>
        <v>70</v>
      </c>
      <c r="S22" s="95" t="str">
        <f>IF(OR(P22="$",N22=1),+T22,"")</f>
        <v/>
      </c>
      <c r="T22" s="96">
        <f>H22*[1]!FMainPool1Fee+I22*[1]!FMainPool2Fee+J22*[1]!FMainPool3Fee+K22*[1]!FMainPool4Fee+B22*[1]!FMainEntryFee</f>
        <v>70</v>
      </c>
      <c r="U22" s="51"/>
      <c r="V22" s="110"/>
    </row>
    <row r="23" spans="1:22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>T23*N23</f>
        <v>0</v>
      </c>
      <c r="P23" s="47" t="s">
        <v>750</v>
      </c>
      <c r="Q23" s="47" t="s">
        <v>439</v>
      </c>
      <c r="R23" s="95" t="str">
        <f>IF(OR(P23="c",P23="C"),+T23,"")</f>
        <v/>
      </c>
      <c r="S23" s="95">
        <f>IF(OR(P23="$",N23=1),+T23,"")</f>
        <v>90</v>
      </c>
      <c r="T23" s="96">
        <f>H23*[1]!FMainPool1Fee+I23*[1]!FMainPool2Fee+J23*[1]!FMainPool3Fee+K23*[1]!FMainPool4Fee+B23*[1]!FMainEntryFee</f>
        <v>90</v>
      </c>
      <c r="U23" s="51"/>
      <c r="V23" s="106"/>
    </row>
    <row r="24" spans="1:22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>T24*N24</f>
        <v>0</v>
      </c>
      <c r="P24" s="47" t="s">
        <v>754</v>
      </c>
      <c r="Q24" s="47">
        <v>1360</v>
      </c>
      <c r="R24" s="95">
        <f>IF(OR(P24="c",P24="C"),+T24,"")</f>
        <v>110</v>
      </c>
      <c r="S24" s="95" t="str">
        <f>IF(OR(P24="$",N24=1),+T24,"")</f>
        <v/>
      </c>
      <c r="T24" s="96">
        <f>H24*[1]!FMainPool1Fee+I24*[1]!FMainPool2Fee+J24*[1]!FMainPool3Fee+K24*[1]!FMainPool4Fee+B24*[1]!FMainEntryFee</f>
        <v>110</v>
      </c>
      <c r="U24" s="51"/>
      <c r="V24" s="110"/>
    </row>
    <row r="25" spans="1:22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>T25*N25</f>
        <v>100</v>
      </c>
      <c r="P25" s="47" t="s">
        <v>750</v>
      </c>
      <c r="Q25" s="47"/>
      <c r="R25" s="95" t="str">
        <f>IF(OR(P25="c",P25="C"),+T25,"")</f>
        <v/>
      </c>
      <c r="S25" s="95">
        <f>IF(OR(P25="$",N25=1),+T25,"")</f>
        <v>100</v>
      </c>
      <c r="T25" s="96">
        <f>H25*[1]!FMainPool1Fee+I25*[1]!FMainPool2Fee+J25*[1]!FMainPool3Fee+K25*[1]!FMainPool4Fee+B25*[1]!FMainEntryFee</f>
        <v>100</v>
      </c>
      <c r="U25" s="51"/>
      <c r="V25" s="110"/>
    </row>
    <row r="26" spans="1:22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42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>T26*N26</f>
        <v>160</v>
      </c>
      <c r="P26" s="47" t="s">
        <v>750</v>
      </c>
      <c r="Q26" s="47"/>
      <c r="R26" s="95" t="str">
        <f>IF(OR(P26="c",P26="C"),+T26,"")</f>
        <v/>
      </c>
      <c r="S26" s="95">
        <f>IF(OR(P26="$",N26=1),+T26,"")</f>
        <v>160</v>
      </c>
      <c r="T26" s="96">
        <f>H26*[1]!FMainPool1Fee+I26*[1]!FMainPool2Fee+J26*[1]!FMainPool3Fee+K26*[1]!FMainPool4Fee+B26*[1]!FMainEntryFee</f>
        <v>160</v>
      </c>
      <c r="U26" s="51"/>
      <c r="V26" s="10"/>
    </row>
    <row r="27" spans="1:22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>T27*N27</f>
        <v>0</v>
      </c>
      <c r="P27" s="47" t="s">
        <v>750</v>
      </c>
      <c r="Q27" s="47"/>
      <c r="R27" s="95" t="str">
        <f>IF(OR(P27="c",P27="C"),+T27,"")</f>
        <v/>
      </c>
      <c r="S27" s="95">
        <f>IF(OR(P27="$",N27=1),+T27,"")</f>
        <v>160</v>
      </c>
      <c r="T27" s="96">
        <f>H27*[1]!FMainPool1Fee+I27*[1]!FMainPool2Fee+J27*[1]!FMainPool3Fee+K27*[1]!FMainPool4Fee+B27*[1]!FMainEntryFee</f>
        <v>160</v>
      </c>
      <c r="U27" s="51"/>
      <c r="V27" s="106"/>
    </row>
    <row r="28" spans="1:22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>
        <v>1</v>
      </c>
      <c r="I28" s="47"/>
      <c r="J28" s="47"/>
      <c r="K28" s="47"/>
      <c r="L28" s="47"/>
      <c r="M28" s="47"/>
      <c r="N28" s="47"/>
      <c r="O28" s="94">
        <f>T28*N28</f>
        <v>0</v>
      </c>
      <c r="P28" s="47" t="s">
        <v>750</v>
      </c>
      <c r="Q28" s="47" t="s">
        <v>756</v>
      </c>
      <c r="R28" s="95" t="str">
        <f>IF(OR(P28="c",P28="C"),+T28,"")</f>
        <v/>
      </c>
      <c r="S28" s="95">
        <f>IF(OR(P28="$",N28=1),+T28,"")</f>
        <v>80</v>
      </c>
      <c r="T28" s="96">
        <f>H28*[1]!FMainPool1Fee+I28*[1]!FMainPool2Fee+J28*[1]!FMainPool3Fee+K28*[1]!FMainPool4Fee+B28*[1]!FMainEntryFee</f>
        <v>80</v>
      </c>
      <c r="U28" s="51"/>
      <c r="V28" s="106"/>
    </row>
    <row r="29" spans="1:22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>T29*N29</f>
        <v>160</v>
      </c>
      <c r="P29" s="47" t="s">
        <v>750</v>
      </c>
      <c r="Q29" s="47"/>
      <c r="R29" s="95" t="str">
        <f>IF(OR(P29="c",P29="C"),+T29,"")</f>
        <v/>
      </c>
      <c r="S29" s="95">
        <f>IF(OR(P29="$",N29=1),+T29,"")</f>
        <v>160</v>
      </c>
      <c r="T29" s="96">
        <f>H29*[1]!FMainPool1Fee+I29*[1]!FMainPool2Fee+J29*[1]!FMainPool3Fee+K29*[1]!FMainPool4Fee+B29*[1]!FMainEntryFee</f>
        <v>160</v>
      </c>
      <c r="U29" s="51"/>
      <c r="V29" s="110"/>
    </row>
    <row r="30" spans="1:22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>T30*N30</f>
        <v>0</v>
      </c>
      <c r="P30" s="47" t="s">
        <v>750</v>
      </c>
      <c r="Q30" s="47" t="s">
        <v>765</v>
      </c>
      <c r="R30" s="95" t="str">
        <f>IF(OR(P30="c",P30="C"),+T30,"")</f>
        <v/>
      </c>
      <c r="S30" s="95">
        <f>IF(OR(P30="$",N30=1),+T30,"")</f>
        <v>110</v>
      </c>
      <c r="T30" s="96">
        <f>H30*[1]!FMainPool1Fee+I30*[1]!FMainPool2Fee+J30*[1]!FMainPool3Fee+K30*[1]!FMainPool4Fee+B30*[1]!FMainEntryFee</f>
        <v>110</v>
      </c>
      <c r="U30" s="51"/>
      <c r="V30" s="110"/>
    </row>
    <row r="31" spans="1:22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>T31*N31</f>
        <v>0</v>
      </c>
      <c r="P31" s="47" t="s">
        <v>754</v>
      </c>
      <c r="Q31" s="47">
        <v>2575</v>
      </c>
      <c r="R31" s="95">
        <f>IF(OR(P31="c",P31="C"),+T31,"")</f>
        <v>80</v>
      </c>
      <c r="S31" s="95" t="str">
        <f>IF(OR(P31="$",N31=1),+T31,"")</f>
        <v/>
      </c>
      <c r="T31" s="96">
        <f>H31*[1]!FMainPool1Fee+I31*[1]!FMainPool2Fee+J31*[1]!FMainPool3Fee+K31*[1]!FMainPool4Fee+B31*[1]!FMainEntryFee</f>
        <v>80</v>
      </c>
      <c r="U31" s="51"/>
      <c r="V31" s="110"/>
    </row>
    <row r="32" spans="1:22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>T32*N32</f>
        <v>0</v>
      </c>
      <c r="P32" s="47" t="s">
        <v>754</v>
      </c>
      <c r="Q32" s="47">
        <v>7333</v>
      </c>
      <c r="R32" s="95">
        <f>IF(OR(P32="c",P32="C"),+T32,"")</f>
        <v>110</v>
      </c>
      <c r="S32" s="95" t="str">
        <f>IF(OR(P32="$",N32=1),+T32,"")</f>
        <v/>
      </c>
      <c r="T32" s="96">
        <f>H32*[1]!FMainPool1Fee+I32*[1]!FMainPool2Fee+J32*[1]!FMainPool3Fee+K32*[1]!FMainPool4Fee+B32*[1]!FMainEntryFee</f>
        <v>110</v>
      </c>
      <c r="U32" s="51"/>
      <c r="V32" s="110"/>
    </row>
    <row r="33" spans="1:22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>T33*N33</f>
        <v>0</v>
      </c>
      <c r="P33" s="47" t="s">
        <v>754</v>
      </c>
      <c r="Q33" s="47">
        <v>648</v>
      </c>
      <c r="R33" s="95">
        <f>IF(OR(P33="c",P33="C"),+T33,"")</f>
        <v>80</v>
      </c>
      <c r="S33" s="95" t="str">
        <f>IF(OR(P33="$",N33=1),+T33,"")</f>
        <v/>
      </c>
      <c r="T33" s="96">
        <f>H33*[1]!FMainPool1Fee+I33*[1]!FMainPool2Fee+J33*[1]!FMainPool3Fee+K33*[1]!FMainPool4Fee+B33*[1]!FMainEntryFee</f>
        <v>80</v>
      </c>
      <c r="U33" s="51">
        <v>1</v>
      </c>
      <c r="V33" s="110"/>
    </row>
    <row r="34" spans="1:22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>T34*N34</f>
        <v>0</v>
      </c>
      <c r="P34" s="47" t="s">
        <v>750</v>
      </c>
      <c r="Q34" s="47"/>
      <c r="R34" s="95" t="str">
        <f>IF(OR(P34="c",P34="C"),+T34,"")</f>
        <v/>
      </c>
      <c r="S34" s="95">
        <f>IF(OR(P34="$",N34=1),+T34,"")</f>
        <v>70</v>
      </c>
      <c r="T34" s="96">
        <f>H34*[1]!FMainPool1Fee+I34*[1]!FMainPool2Fee+J34*[1]!FMainPool3Fee+K34*[1]!FMainPool4Fee+B34*[1]!FMainEntryFee</f>
        <v>70</v>
      </c>
      <c r="U34" s="51"/>
      <c r="V34" s="106"/>
    </row>
    <row r="35" spans="1:22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>T35*N35</f>
        <v>70</v>
      </c>
      <c r="P35" s="47" t="s">
        <v>750</v>
      </c>
      <c r="Q35" s="47"/>
      <c r="R35" s="95" t="str">
        <f>IF(OR(P35="c",P35="C"),+T35,"")</f>
        <v/>
      </c>
      <c r="S35" s="95">
        <f>IF(OR(P35="$",N35=1),+T35,"")</f>
        <v>70</v>
      </c>
      <c r="T35" s="96">
        <f>H35*[1]!FMainPool1Fee+I35*[1]!FMainPool2Fee+J35*[1]!FMainPool3Fee+K35*[1]!FMainPool4Fee+B35*[1]!FMainEntryFee</f>
        <v>70</v>
      </c>
      <c r="U35" s="51"/>
      <c r="V35" s="110"/>
    </row>
    <row r="36" spans="1:22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>T36*N36</f>
        <v>80</v>
      </c>
      <c r="P36" s="47" t="s">
        <v>750</v>
      </c>
      <c r="Q36" s="47"/>
      <c r="R36" s="95" t="str">
        <f>IF(OR(P36="c",P36="C"),+T36,"")</f>
        <v/>
      </c>
      <c r="S36" s="95">
        <f>IF(OR(P36="$",N36=1),+T36,"")</f>
        <v>80</v>
      </c>
      <c r="T36" s="96">
        <f>H36*[1]!FMainPool1Fee+I36*[1]!FMainPool2Fee+J36*[1]!FMainPool3Fee+K36*[1]!FMainPool4Fee+B36*[1]!FMainEntryFee</f>
        <v>80</v>
      </c>
      <c r="U36" s="51">
        <v>1</v>
      </c>
      <c r="V36" s="110"/>
    </row>
    <row r="37" spans="1:22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>T37*N37</f>
        <v>100</v>
      </c>
      <c r="P37" s="47" t="s">
        <v>750</v>
      </c>
      <c r="Q37" s="47"/>
      <c r="R37" s="95" t="str">
        <f>IF(OR(P37="c",P37="C"),+T37,"")</f>
        <v/>
      </c>
      <c r="S37" s="95">
        <f>IF(OR(P37="$",N37=1),+T37,"")</f>
        <v>100</v>
      </c>
      <c r="T37" s="96">
        <f>H37*[1]!FMainPool1Fee+I37*[1]!FMainPool2Fee+J37*[1]!FMainPool3Fee+K37*[1]!FMainPool4Fee+B37*[1]!FMainEntryFee</f>
        <v>100</v>
      </c>
      <c r="U37" s="51"/>
      <c r="V37" s="110"/>
    </row>
    <row r="38" spans="1:22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 t="s">
        <v>754</v>
      </c>
      <c r="Q38" s="47">
        <v>1800</v>
      </c>
      <c r="R38" s="95">
        <f>IF(OR(P38="c",P38="C"),+T38,"")</f>
        <v>70</v>
      </c>
      <c r="S38" s="95" t="str">
        <f>IF(OR(P38="$",N38=1),+T38,"")</f>
        <v/>
      </c>
      <c r="T38" s="96">
        <f>H38*[1]!FMainPool1Fee+I38*[1]!FMainPool2Fee+J38*[1]!FMainPool3Fee+K38*[1]!FMainPool4Fee+B38*[1]!FMainEntryFee</f>
        <v>70</v>
      </c>
      <c r="U38" s="51">
        <v>1</v>
      </c>
      <c r="V38" s="110"/>
    </row>
    <row r="39" spans="1:22" x14ac:dyDescent="0.25">
      <c r="A39" s="46">
        <f t="shared" si="1"/>
        <v>28</v>
      </c>
      <c r="B39" s="47">
        <v>1</v>
      </c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>T39*N39</f>
        <v>0</v>
      </c>
      <c r="P39" s="47" t="s">
        <v>750</v>
      </c>
      <c r="Q39" s="47" t="s">
        <v>774</v>
      </c>
      <c r="R39" s="95" t="str">
        <f>IF(OR(P39="c",P39="C"),+T39,"")</f>
        <v/>
      </c>
      <c r="S39" s="95">
        <f>IF(OR(P39="$",N39=1),+T39,"")</f>
        <v>160</v>
      </c>
      <c r="T39" s="96">
        <f>H39*[1]!FMainPool1Fee+I39*[1]!FMainPool2Fee+J39*[1]!FMainPool3Fee+K39*[1]!FMainPool4Fee+B39*[1]!FMainEntryFee</f>
        <v>160</v>
      </c>
      <c r="U39" s="51"/>
      <c r="V39" s="110"/>
    </row>
    <row r="40" spans="1:22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06">
        <v>7078892101</v>
      </c>
      <c r="G40" s="143"/>
      <c r="H40" s="49">
        <v>1</v>
      </c>
      <c r="I40" s="47"/>
      <c r="J40" s="47"/>
      <c r="K40" s="47"/>
      <c r="L40" s="47"/>
      <c r="M40" s="47"/>
      <c r="N40" s="47"/>
      <c r="O40" s="94">
        <f>T40*N40</f>
        <v>0</v>
      </c>
      <c r="P40" s="47" t="s">
        <v>750</v>
      </c>
      <c r="Q40" s="47" t="s">
        <v>756</v>
      </c>
      <c r="R40" s="95" t="str">
        <f>IF(OR(P40="c",P40="C"),+T40,"")</f>
        <v/>
      </c>
      <c r="S40" s="95">
        <f>IF(OR(P40="$",N40=1),+T40,"")</f>
        <v>80</v>
      </c>
      <c r="T40" s="96">
        <f>H40*[1]!FMainPool1Fee+I40*[1]!FMainPool2Fee+J40*[1]!FMainPool3Fee+K40*[1]!FMainPool4Fee+B40*[1]!FMainEntryFee</f>
        <v>80</v>
      </c>
      <c r="U40" s="51">
        <v>1</v>
      </c>
      <c r="V40" s="110"/>
    </row>
    <row r="41" spans="1:22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777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>T41*N41</f>
        <v>0</v>
      </c>
      <c r="P41" s="47" t="s">
        <v>754</v>
      </c>
      <c r="Q41" s="47">
        <v>2553</v>
      </c>
      <c r="R41" s="95">
        <f>IF(OR(P41="c",P41="C"),+T41,"")</f>
        <v>160</v>
      </c>
      <c r="S41" s="95" t="str">
        <f>IF(OR(P41="$",N41=1),+T41,"")</f>
        <v/>
      </c>
      <c r="T41" s="96">
        <f>H41*[1]!FMainPool1Fee+I41*[1]!FMainPool2Fee+J41*[1]!FMainPool3Fee+K41*[1]!FMainPool4Fee+B41*[1]!FMainEntryFee</f>
        <v>160</v>
      </c>
      <c r="U41" s="51"/>
      <c r="V41" s="110"/>
    </row>
    <row r="42" spans="1:22" x14ac:dyDescent="0.25">
      <c r="A42" s="46">
        <f t="shared" si="1"/>
        <v>31</v>
      </c>
      <c r="B42" s="47">
        <v>1</v>
      </c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>
        <v>1</v>
      </c>
      <c r="I42" s="47"/>
      <c r="J42" s="47"/>
      <c r="K42" s="47"/>
      <c r="L42" s="47"/>
      <c r="M42" s="47"/>
      <c r="N42" s="47"/>
      <c r="O42" s="94">
        <f>T42*N42</f>
        <v>0</v>
      </c>
      <c r="P42" s="47" t="s">
        <v>754</v>
      </c>
      <c r="Q42" s="47">
        <v>133</v>
      </c>
      <c r="R42" s="95">
        <f>IF(OR(P42="c",P42="C"),+T42,"")</f>
        <v>80</v>
      </c>
      <c r="S42" s="95" t="str">
        <f>IF(OR(P42="$",N42=1),+T42,"")</f>
        <v/>
      </c>
      <c r="T42" s="96">
        <f>H42*[1]!FMainPool1Fee+I42*[1]!FMainPool2Fee+J42*[1]!FMainPool3Fee+K42*[1]!FMainPool4Fee+B42*[1]!FMainEntryFee</f>
        <v>80</v>
      </c>
      <c r="U42" s="51"/>
      <c r="V42" s="106"/>
    </row>
    <row r="43" spans="1:22" x14ac:dyDescent="0.25">
      <c r="A43" s="46">
        <f t="shared" si="1"/>
        <v>32</v>
      </c>
      <c r="B43" s="47">
        <v>1</v>
      </c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>
        <v>1</v>
      </c>
      <c r="I43" s="47">
        <v>1</v>
      </c>
      <c r="J43" s="47">
        <v>1</v>
      </c>
      <c r="K43" s="47"/>
      <c r="L43" s="47">
        <v>1</v>
      </c>
      <c r="M43" s="47"/>
      <c r="N43" s="47">
        <v>1</v>
      </c>
      <c r="O43" s="94">
        <f>T43*N43</f>
        <v>110</v>
      </c>
      <c r="P43" s="47" t="s">
        <v>750</v>
      </c>
      <c r="Q43" s="47"/>
      <c r="R43" s="95" t="str">
        <f>IF(OR(P43="c",P43="C"),+T43,"")</f>
        <v/>
      </c>
      <c r="S43" s="95">
        <f>IF(OR(P43="$",N43=1),+T43,"")</f>
        <v>110</v>
      </c>
      <c r="T43" s="96">
        <f>H43*[1]!FMainPool1Fee+I43*[1]!FMainPool2Fee+J43*[1]!FMainPool3Fee+K43*[1]!FMainPool4Fee+B43*[1]!FMainEntryFee</f>
        <v>110</v>
      </c>
      <c r="U43" s="51"/>
      <c r="V43" s="106"/>
    </row>
    <row r="44" spans="1:22" x14ac:dyDescent="0.25">
      <c r="A44" s="46">
        <f t="shared" si="1"/>
        <v>33</v>
      </c>
      <c r="B44" s="47">
        <v>1</v>
      </c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>
        <v>1</v>
      </c>
      <c r="I44" s="47"/>
      <c r="J44" s="47">
        <v>1</v>
      </c>
      <c r="K44" s="47"/>
      <c r="L44" s="47"/>
      <c r="M44" s="47">
        <v>1</v>
      </c>
      <c r="N44" s="47">
        <v>1</v>
      </c>
      <c r="O44" s="94">
        <f>T44*N44</f>
        <v>100</v>
      </c>
      <c r="P44" s="47" t="s">
        <v>750</v>
      </c>
      <c r="Q44" s="47"/>
      <c r="R44" s="95" t="str">
        <f>IF(OR(P44="c",P44="C"),+T44,"")</f>
        <v/>
      </c>
      <c r="S44" s="95">
        <f>IF(OR(P44="$",N44=1),+T44,"")</f>
        <v>100</v>
      </c>
      <c r="T44" s="96">
        <f>H44*[1]!FMainPool1Fee+I44*[1]!FMainPool2Fee+J44*[1]!FMainPool3Fee+K44*[1]!FMainPool4Fee+B44*[1]!FMainEntryFee</f>
        <v>100</v>
      </c>
      <c r="U44" s="51"/>
      <c r="V44" s="10"/>
    </row>
    <row r="45" spans="1:22" x14ac:dyDescent="0.25">
      <c r="A45" s="46">
        <f t="shared" si="1"/>
        <v>34</v>
      </c>
      <c r="B45" s="47">
        <v>1</v>
      </c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>
        <v>1</v>
      </c>
      <c r="I45" s="47">
        <v>1</v>
      </c>
      <c r="J45" s="47">
        <v>1</v>
      </c>
      <c r="K45" s="47"/>
      <c r="L45" s="47"/>
      <c r="M45" s="47"/>
      <c r="N45" s="47"/>
      <c r="O45" s="94">
        <f>T45*N45</f>
        <v>0</v>
      </c>
      <c r="P45" s="47" t="s">
        <v>754</v>
      </c>
      <c r="Q45" s="47">
        <v>5361</v>
      </c>
      <c r="R45" s="95">
        <f>IF(OR(P45="c",P45="C"),+T45,"")</f>
        <v>110</v>
      </c>
      <c r="S45" s="95" t="str">
        <f>IF(OR(P45="$",N45=1),+T45,"")</f>
        <v/>
      </c>
      <c r="T45" s="96">
        <f>H45*[1]!FMainPool1Fee+I45*[1]!FMainPool2Fee+J45*[1]!FMainPool3Fee+K45*[1]!FMainPool4Fee+B45*[1]!FMainEntryFee</f>
        <v>110</v>
      </c>
      <c r="U45" s="51">
        <v>1</v>
      </c>
      <c r="V45" s="110"/>
    </row>
    <row r="46" spans="1:22" x14ac:dyDescent="0.25">
      <c r="A46" s="46">
        <f t="shared" si="1"/>
        <v>35</v>
      </c>
      <c r="B46" s="47">
        <v>1</v>
      </c>
      <c r="C46" s="7" t="s">
        <v>779</v>
      </c>
      <c r="D46" s="7" t="s">
        <v>780</v>
      </c>
      <c r="E46" s="8" t="s">
        <v>781</v>
      </c>
      <c r="F46" s="55">
        <v>6507733006</v>
      </c>
      <c r="G46" s="57" t="s">
        <v>782</v>
      </c>
      <c r="H46" s="49"/>
      <c r="I46" s="47"/>
      <c r="J46" s="47"/>
      <c r="K46" s="47"/>
      <c r="L46" s="47"/>
      <c r="M46" s="47">
        <v>1</v>
      </c>
      <c r="N46" s="47"/>
      <c r="O46" s="94">
        <f>T46*N46</f>
        <v>0</v>
      </c>
      <c r="P46" s="47" t="s">
        <v>754</v>
      </c>
      <c r="Q46" s="47">
        <v>5007</v>
      </c>
      <c r="R46" s="95">
        <f>IF(OR(P46="c",P46="C"),+T46,"")</f>
        <v>70</v>
      </c>
      <c r="S46" s="95" t="str">
        <f>IF(OR(P46="$",N46=1),+T46,"")</f>
        <v/>
      </c>
      <c r="T46" s="96">
        <f>H46*[1]!FMainPool1Fee+I46*[1]!FMainPool2Fee+J46*[1]!FMainPool3Fee+K46*[1]!FMainPool4Fee+B46*[1]!FMainEntryFee</f>
        <v>70</v>
      </c>
      <c r="U46" s="51">
        <v>1</v>
      </c>
      <c r="V46" s="106"/>
    </row>
    <row r="47" spans="1:22" x14ac:dyDescent="0.25">
      <c r="A47" s="46">
        <f t="shared" si="1"/>
        <v>36</v>
      </c>
      <c r="B47" s="47">
        <v>1</v>
      </c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>
        <v>1</v>
      </c>
      <c r="I47" s="47">
        <v>1</v>
      </c>
      <c r="J47" s="47">
        <v>1</v>
      </c>
      <c r="K47" s="47">
        <v>1</v>
      </c>
      <c r="L47" s="47">
        <v>1</v>
      </c>
      <c r="M47" s="47"/>
      <c r="N47" s="47"/>
      <c r="O47" s="94">
        <f>T47*N47</f>
        <v>0</v>
      </c>
      <c r="P47" s="47" t="s">
        <v>754</v>
      </c>
      <c r="Q47" s="47">
        <v>5008</v>
      </c>
      <c r="R47" s="95">
        <f>IF(OR(P47="c",P47="C"),+T47,"")</f>
        <v>160</v>
      </c>
      <c r="S47" s="95" t="str">
        <f>IF(OR(P47="$",N47=1),+T47,"")</f>
        <v/>
      </c>
      <c r="T47" s="96">
        <f>H47*[1]!FMainPool1Fee+I47*[1]!FMainPool2Fee+J47*[1]!FMainPool3Fee+K47*[1]!FMainPool4Fee+B47*[1]!FMainEntryFee</f>
        <v>160</v>
      </c>
      <c r="U47" s="51">
        <v>1</v>
      </c>
      <c r="V47" s="106"/>
    </row>
    <row r="48" spans="1:22" x14ac:dyDescent="0.25">
      <c r="A48" s="46">
        <f t="shared" si="1"/>
        <v>37</v>
      </c>
      <c r="B48" s="47">
        <v>1</v>
      </c>
      <c r="C48" s="5" t="s">
        <v>783</v>
      </c>
      <c r="D48" s="5" t="s">
        <v>159</v>
      </c>
      <c r="E48" s="6" t="s">
        <v>784</v>
      </c>
      <c r="F48" s="106">
        <v>4086660276</v>
      </c>
      <c r="G48" s="105" t="s">
        <v>785</v>
      </c>
      <c r="H48" s="49">
        <v>1</v>
      </c>
      <c r="I48" s="47"/>
      <c r="J48" s="47"/>
      <c r="K48" s="47"/>
      <c r="L48" s="47"/>
      <c r="M48" s="47"/>
      <c r="N48" s="47"/>
      <c r="O48" s="94">
        <f>T48*N48</f>
        <v>0</v>
      </c>
      <c r="P48" s="47" t="s">
        <v>754</v>
      </c>
      <c r="Q48" s="47">
        <v>375</v>
      </c>
      <c r="R48" s="95">
        <f>IF(OR(P48="c",P48="C"),+T48,"")</f>
        <v>80</v>
      </c>
      <c r="S48" s="95" t="str">
        <f>IF(OR(P48="$",N48=1),+T48,"")</f>
        <v/>
      </c>
      <c r="T48" s="96">
        <f>H48*[1]!FMainPool1Fee+I48*[1]!FMainPool2Fee+J48*[1]!FMainPool3Fee+K48*[1]!FMainPool4Fee+B48*[1]!FMainEntryFee</f>
        <v>80</v>
      </c>
      <c r="U48" s="51"/>
      <c r="V48" s="110"/>
    </row>
    <row r="49" spans="1:22" x14ac:dyDescent="0.25">
      <c r="A49" s="46">
        <f t="shared" si="1"/>
        <v>38</v>
      </c>
      <c r="B49" s="47">
        <v>1</v>
      </c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>T49*N49</f>
        <v>0</v>
      </c>
      <c r="P49" s="47" t="s">
        <v>754</v>
      </c>
      <c r="Q49" s="47">
        <v>1399</v>
      </c>
      <c r="R49" s="95">
        <f>IF(OR(P49="c",P49="C"),+T49,"")</f>
        <v>100</v>
      </c>
      <c r="S49" s="95" t="str">
        <f>IF(OR(P49="$",N49=1),+T49,"")</f>
        <v/>
      </c>
      <c r="T49" s="96">
        <f>H49*[1]!FMainPool1Fee+I49*[1]!FMainPool2Fee+J49*[1]!FMainPool3Fee+K49*[1]!FMainPool4Fee+B49*[1]!FMainEntryFee</f>
        <v>100</v>
      </c>
      <c r="U49" s="51"/>
      <c r="V49" s="106"/>
    </row>
    <row r="50" spans="1:22" x14ac:dyDescent="0.25">
      <c r="A50" s="46">
        <f t="shared" si="1"/>
        <v>39</v>
      </c>
      <c r="B50" s="47">
        <v>1</v>
      </c>
      <c r="C50" s="7" t="s">
        <v>786</v>
      </c>
      <c r="D50" s="7" t="s">
        <v>787</v>
      </c>
      <c r="E50" s="8" t="s">
        <v>788</v>
      </c>
      <c r="F50" s="58">
        <v>4073616554</v>
      </c>
      <c r="G50" s="15" t="s">
        <v>789</v>
      </c>
      <c r="H50" s="49">
        <v>1</v>
      </c>
      <c r="I50" s="47">
        <v>1</v>
      </c>
      <c r="J50" s="47">
        <v>1</v>
      </c>
      <c r="K50" s="47">
        <v>1</v>
      </c>
      <c r="L50" s="47"/>
      <c r="M50" s="47"/>
      <c r="N50" s="47"/>
      <c r="O50" s="94">
        <f>T50*N50</f>
        <v>0</v>
      </c>
      <c r="P50" s="47" t="s">
        <v>754</v>
      </c>
      <c r="Q50" s="47">
        <v>1399</v>
      </c>
      <c r="R50" s="95">
        <f>IF(OR(P50="c",P50="C"),+T50,"")</f>
        <v>160</v>
      </c>
      <c r="S50" s="95" t="str">
        <f>IF(OR(P50="$",N50=1),+T50,"")</f>
        <v/>
      </c>
      <c r="T50" s="96">
        <f>H50*[1]!FMainPool1Fee+I50*[1]!FMainPool2Fee+J50*[1]!FMainPool3Fee+K50*[1]!FMainPool4Fee+B50*[1]!FMainEntryFee</f>
        <v>160</v>
      </c>
      <c r="U50" s="51"/>
      <c r="V50" s="106"/>
    </row>
    <row r="51" spans="1:22" x14ac:dyDescent="0.25">
      <c r="A51" s="46">
        <f t="shared" si="1"/>
        <v>40</v>
      </c>
      <c r="B51" s="47">
        <v>1</v>
      </c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>
        <v>1</v>
      </c>
      <c r="I51" s="47">
        <v>1</v>
      </c>
      <c r="J51" s="47">
        <v>1</v>
      </c>
      <c r="K51" s="47">
        <v>1</v>
      </c>
      <c r="L51" s="47">
        <v>1</v>
      </c>
      <c r="M51" s="47"/>
      <c r="N51" s="47"/>
      <c r="O51" s="94">
        <f>T51*N51</f>
        <v>0</v>
      </c>
      <c r="P51" s="47" t="s">
        <v>754</v>
      </c>
      <c r="Q51" s="47">
        <v>616</v>
      </c>
      <c r="R51" s="95">
        <f>IF(OR(P51="c",P51="C"),+T51,"")</f>
        <v>160</v>
      </c>
      <c r="S51" s="95" t="str">
        <f>IF(OR(P51="$",N51=1),+T51,"")</f>
        <v/>
      </c>
      <c r="T51" s="96">
        <f>H51*[1]!FMainPool1Fee+I51*[1]!FMainPool2Fee+J51*[1]!FMainPool3Fee+K51*[1]!FMainPool4Fee+B51*[1]!FMainEntryFee</f>
        <v>160</v>
      </c>
      <c r="U51" s="51"/>
      <c r="V51" s="110"/>
    </row>
    <row r="52" spans="1:22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>T52*N52</f>
        <v>0</v>
      </c>
      <c r="P52" s="47" t="s">
        <v>754</v>
      </c>
      <c r="Q52" s="47">
        <v>1886</v>
      </c>
      <c r="R52" s="95">
        <f>IF(OR(P52="c",P52="C"),+T52,"")</f>
        <v>160</v>
      </c>
      <c r="S52" s="95" t="str">
        <f>IF(OR(P52="$",N52=1),+T52,"")</f>
        <v/>
      </c>
      <c r="T52" s="96">
        <f>H52*[1]!FMainPool1Fee+I52*[1]!FMainPool2Fee+J52*[1]!FMainPool3Fee+K52*[1]!FMainPool4Fee+B52*[1]!FMainEntryFee</f>
        <v>160</v>
      </c>
      <c r="U52" s="51"/>
      <c r="V52" s="106"/>
    </row>
    <row r="53" spans="1:22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>T53*N53</f>
        <v>0</v>
      </c>
      <c r="P53" s="47" t="s">
        <v>754</v>
      </c>
      <c r="Q53" s="47">
        <v>1886</v>
      </c>
      <c r="R53" s="95">
        <f>IF(OR(P53="c",P53="C"),+T53,"")</f>
        <v>160</v>
      </c>
      <c r="S53" s="95" t="str">
        <f>IF(OR(P53="$",N53=1),+T53,"")</f>
        <v/>
      </c>
      <c r="T53" s="96">
        <f>H53*[1]!FMainPool1Fee+I53*[1]!FMainPool2Fee+J53*[1]!FMainPool3Fee+K53*[1]!FMainPool4Fee+B53*[1]!FMainEntryFee</f>
        <v>160</v>
      </c>
      <c r="U53" s="51"/>
      <c r="V53" s="110"/>
    </row>
    <row r="54" spans="1:22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>T54*N54</f>
        <v>110</v>
      </c>
      <c r="P54" s="47" t="s">
        <v>750</v>
      </c>
      <c r="Q54" s="47"/>
      <c r="R54" s="95" t="str">
        <f>IF(OR(P54="c",P54="C"),+T54,"")</f>
        <v/>
      </c>
      <c r="S54" s="95">
        <f>IF(OR(P54="$",N54=1),+T54,"")</f>
        <v>110</v>
      </c>
      <c r="T54" s="96">
        <f>H54*[1]!FMainPool1Fee+I54*[1]!FMainPool2Fee+J54*[1]!FMainPool3Fee+K54*[1]!FMainPool4Fee+B54*[1]!FMainEntryFee</f>
        <v>110</v>
      </c>
      <c r="U54" s="51"/>
      <c r="V54" s="110"/>
    </row>
    <row r="55" spans="1:22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42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>T55*N55</f>
        <v>0</v>
      </c>
      <c r="P55" s="47" t="s">
        <v>750</v>
      </c>
      <c r="Q55" s="47"/>
      <c r="R55" s="95" t="str">
        <f>IF(OR(P55="c",P55="C"),+T55,"")</f>
        <v/>
      </c>
      <c r="S55" s="95">
        <f>IF(OR(P55="$",N55=1),+T55,"")</f>
        <v>110</v>
      </c>
      <c r="T55" s="96">
        <f>H55*[1]!FMainPool1Fee+I55*[1]!FMainPool2Fee+J55*[1]!FMainPool3Fee+K55*[1]!FMainPool4Fee+B55*[1]!FMainEntryFee</f>
        <v>110</v>
      </c>
      <c r="U55" s="51"/>
      <c r="V55" s="10"/>
    </row>
    <row r="56" spans="1:22" x14ac:dyDescent="0.25">
      <c r="A56" s="46">
        <f t="shared" si="1"/>
        <v>45</v>
      </c>
      <c r="B56" s="47">
        <v>1</v>
      </c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>T56*N56</f>
        <v>0</v>
      </c>
      <c r="P56" s="47" t="s">
        <v>750</v>
      </c>
      <c r="Q56" s="47"/>
      <c r="R56" s="95" t="str">
        <f>IF(OR(P56="c",P56="C"),+T56,"")</f>
        <v/>
      </c>
      <c r="S56" s="95">
        <f>IF(OR(P56="$",N56=1),+T56,"")</f>
        <v>70</v>
      </c>
      <c r="T56" s="96">
        <f>H56*[1]!FMainPool1Fee+I56*[1]!FMainPool2Fee+J56*[1]!FMainPool3Fee+K56*[1]!FMainPool4Fee+B56*[1]!FMainEntryFee</f>
        <v>70</v>
      </c>
      <c r="U56" s="51"/>
      <c r="V56" s="110"/>
    </row>
    <row r="57" spans="1:22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>T57*N57</f>
        <v>0</v>
      </c>
      <c r="P57" s="47" t="s">
        <v>750</v>
      </c>
      <c r="Q57" s="47"/>
      <c r="R57" s="95" t="str">
        <f>IF(OR(P57="c",P57="C"),+T57,"")</f>
        <v/>
      </c>
      <c r="S57" s="95">
        <f>IF(OR(P57="$",N57=1),+T57,"")</f>
        <v>90</v>
      </c>
      <c r="T57" s="96">
        <f>H57*[1]!FMainPool1Fee+I57*[1]!FMainPool2Fee+J57*[1]!FMainPool3Fee+K57*[1]!FMainPool4Fee+B57*[1]!FMainEntryFee</f>
        <v>90</v>
      </c>
      <c r="U57" s="51"/>
      <c r="V57" s="106"/>
    </row>
    <row r="58" spans="1:22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>T58*N58</f>
        <v>0</v>
      </c>
      <c r="P58" s="47" t="s">
        <v>754</v>
      </c>
      <c r="Q58" s="47">
        <v>1149</v>
      </c>
      <c r="R58" s="95">
        <f>IF(OR(P58="c",P58="C"),+T58,"")</f>
        <v>110</v>
      </c>
      <c r="S58" s="95" t="str">
        <f>IF(OR(P58="$",N58=1),+T58,"")</f>
        <v/>
      </c>
      <c r="T58" s="96">
        <f>H58*[1]!FMainPool1Fee+I58*[1]!FMainPool2Fee+J58*[1]!FMainPool3Fee+K58*[1]!FMainPool4Fee+B58*[1]!FMainEntryFee</f>
        <v>110</v>
      </c>
      <c r="U58" s="51"/>
      <c r="V58" s="110"/>
    </row>
    <row r="59" spans="1:22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/>
      <c r="J59" s="47"/>
      <c r="K59" s="47"/>
      <c r="L59" s="47"/>
      <c r="M59" s="47">
        <v>1</v>
      </c>
      <c r="N59" s="47"/>
      <c r="O59" s="94">
        <f>T59*N59</f>
        <v>0</v>
      </c>
      <c r="P59" s="47" t="s">
        <v>754</v>
      </c>
      <c r="Q59" s="47">
        <v>1149</v>
      </c>
      <c r="R59" s="95">
        <f>IF(OR(P59="c",P59="C"),+T59,"")</f>
        <v>80</v>
      </c>
      <c r="S59" s="95" t="str">
        <f>IF(OR(P59="$",N59=1),+T59,"")</f>
        <v/>
      </c>
      <c r="T59" s="96">
        <f>H59*[1]!FMainPool1Fee+I59*[1]!FMainPool2Fee+J59*[1]!FMainPool3Fee+K59*[1]!FMainPool4Fee+B59*[1]!FMainEntryFee</f>
        <v>80</v>
      </c>
      <c r="U59" s="51"/>
      <c r="V59" s="110"/>
    </row>
    <row r="60" spans="1:22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>T60*N60</f>
        <v>0</v>
      </c>
      <c r="P60" s="47" t="s">
        <v>754</v>
      </c>
      <c r="Q60" s="47">
        <v>2487</v>
      </c>
      <c r="R60" s="95">
        <f>IF(OR(P60="c",P60="C"),+T60,"")</f>
        <v>80</v>
      </c>
      <c r="S60" s="95" t="str">
        <f>IF(OR(P60="$",N60=1),+T60,"")</f>
        <v/>
      </c>
      <c r="T60" s="96">
        <f>H60*[1]!FMainPool1Fee+I60*[1]!FMainPool2Fee+J60*[1]!FMainPool3Fee+K60*[1]!FMainPool4Fee+B60*[1]!FMainEntryFee</f>
        <v>80</v>
      </c>
      <c r="U60" s="51"/>
      <c r="V60" s="110"/>
    </row>
    <row r="61" spans="1:22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799</v>
      </c>
      <c r="H61" s="49"/>
      <c r="I61" s="47"/>
      <c r="J61" s="47"/>
      <c r="K61" s="47"/>
      <c r="L61" s="47"/>
      <c r="M61" s="47"/>
      <c r="N61" s="47"/>
      <c r="O61" s="94">
        <f>T61*N61</f>
        <v>0</v>
      </c>
      <c r="P61" s="47" t="s">
        <v>754</v>
      </c>
      <c r="Q61" s="47">
        <v>8803</v>
      </c>
      <c r="R61" s="95">
        <f>IF(OR(P61="c",P61="C"),+T61,"")</f>
        <v>70</v>
      </c>
      <c r="S61" s="95" t="str">
        <f>IF(OR(P61="$",N61=1),+T61,"")</f>
        <v/>
      </c>
      <c r="T61" s="96">
        <f>H61*[1]!FMainPool1Fee+I61*[1]!FMainPool2Fee+J61*[1]!FMainPool3Fee+K61*[1]!FMainPool4Fee+B61*[1]!FMainEntryFee</f>
        <v>70</v>
      </c>
      <c r="U61" s="51"/>
      <c r="V61" s="110"/>
    </row>
    <row r="62" spans="1:22" x14ac:dyDescent="0.25">
      <c r="A62" s="46">
        <f t="shared" si="1"/>
        <v>51</v>
      </c>
      <c r="B62" s="47">
        <v>1</v>
      </c>
      <c r="C62" s="5" t="s">
        <v>800</v>
      </c>
      <c r="D62" s="5" t="s">
        <v>801</v>
      </c>
      <c r="E62" s="6" t="s">
        <v>802</v>
      </c>
      <c r="F62" s="141">
        <v>4178488838</v>
      </c>
      <c r="G62" s="57" t="s">
        <v>803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>T62*N62</f>
        <v>0</v>
      </c>
      <c r="P62" s="47" t="s">
        <v>754</v>
      </c>
      <c r="Q62" s="47">
        <v>7357</v>
      </c>
      <c r="R62" s="95">
        <f>IF(OR(P62="c",P62="C"),+T62,"")</f>
        <v>160</v>
      </c>
      <c r="S62" s="95" t="str">
        <f>IF(OR(P62="$",N62=1),+T62,"")</f>
        <v/>
      </c>
      <c r="T62" s="96">
        <f>H62*[1]!FMainPool1Fee+I62*[1]!FMainPool2Fee+J62*[1]!FMainPool3Fee+K62*[1]!FMainPool4Fee+B62*[1]!FMainEntryFee</f>
        <v>160</v>
      </c>
      <c r="U62" s="51"/>
      <c r="V62" s="10"/>
    </row>
    <row r="63" spans="1:22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>T63*N63</f>
        <v>0</v>
      </c>
      <c r="P63" s="47" t="s">
        <v>754</v>
      </c>
      <c r="Q63" s="47">
        <v>4040</v>
      </c>
      <c r="R63" s="95">
        <f>IF(OR(P63="c",P63="C"),+T63,"")</f>
        <v>100</v>
      </c>
      <c r="S63" s="95" t="str">
        <f>IF(OR(P63="$",N63=1),+T63,"")</f>
        <v/>
      </c>
      <c r="T63" s="96">
        <f>H63*[1]!FMainPool1Fee+I63*[1]!FMainPool2Fee+J63*[1]!FMainPool3Fee+K63*[1]!FMainPool4Fee+B63*[1]!FMainEntryFee</f>
        <v>100</v>
      </c>
      <c r="U63" s="51"/>
      <c r="V63" s="110"/>
    </row>
    <row r="64" spans="1:22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>T64*N64</f>
        <v>0</v>
      </c>
      <c r="P64" s="47" t="s">
        <v>754</v>
      </c>
      <c r="Q64" s="47">
        <v>9990</v>
      </c>
      <c r="R64" s="95">
        <f>IF(OR(P64="c",P64="C"),+T64,"")</f>
        <v>110</v>
      </c>
      <c r="S64" s="95" t="str">
        <f>IF(OR(P64="$",N64=1),+T64,"")</f>
        <v/>
      </c>
      <c r="T64" s="96">
        <f>H64*[1]!FMainPool1Fee+I64*[1]!FMainPool2Fee+J64*[1]!FMainPool3Fee+K64*[1]!FMainPool4Fee+B64*[1]!FMainEntryFee</f>
        <v>110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755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>T65*N65</f>
        <v>0</v>
      </c>
      <c r="P65" s="47" t="s">
        <v>754</v>
      </c>
      <c r="Q65" s="47">
        <v>930</v>
      </c>
      <c r="R65" s="95">
        <f>IF(OR(P65="c",P65="C"),+T65,"")</f>
        <v>0</v>
      </c>
      <c r="S65" s="95" t="str">
        <f>IF(OR(P65="$",N65=1),+T65,"")</f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14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>T66*N66</f>
        <v>0</v>
      </c>
      <c r="P66" s="47" t="s">
        <v>754</v>
      </c>
      <c r="Q66" s="47"/>
      <c r="R66" s="95">
        <f>IF(OR(P66="c",P66="C"),+T66,"")</f>
        <v>0</v>
      </c>
      <c r="S66" s="95" t="str">
        <f>IF(OR(P66="$",N66=1),+T66,"")</f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>T67*N67</f>
        <v>0</v>
      </c>
      <c r="P67" s="47" t="s">
        <v>754</v>
      </c>
      <c r="Q67" s="47"/>
      <c r="R67" s="95">
        <f>IF(OR(P67="c",P67="C"),+T67,"")</f>
        <v>0</v>
      </c>
      <c r="S67" s="95" t="str">
        <f>IF(OR(P67="$",N67=1),+T67,"")</f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>T68*N68</f>
        <v>0</v>
      </c>
      <c r="P68" s="47" t="s">
        <v>754</v>
      </c>
      <c r="Q68" s="47"/>
      <c r="R68" s="95">
        <f>IF(OR(P68="c",P68="C"),+T68,"")</f>
        <v>0</v>
      </c>
      <c r="S68" s="95" t="str">
        <f>IF(OR(P68="$",N68=1),+T68,"")</f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>T69*N69</f>
        <v>0</v>
      </c>
      <c r="P69" s="47" t="s">
        <v>754</v>
      </c>
      <c r="Q69" s="47"/>
      <c r="R69" s="95">
        <f>IF(OR(P69="c",P69="C"),+T69,"")</f>
        <v>0</v>
      </c>
      <c r="S69" s="95" t="str">
        <f>IF(OR(P69="$",N69=1),+T69,"")</f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140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>T70*N70</f>
        <v>0</v>
      </c>
      <c r="P70" s="47" t="s">
        <v>754</v>
      </c>
      <c r="Q70" s="47"/>
      <c r="R70" s="95">
        <f>IF(OR(P70="c",P70="C"),+T70,"")</f>
        <v>0</v>
      </c>
      <c r="S70" s="95" t="str">
        <f>IF(OR(P70="$",N70=1),+T70,"")</f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>T71*N71</f>
        <v>0</v>
      </c>
      <c r="P71" s="47" t="s">
        <v>754</v>
      </c>
      <c r="Q71" s="47">
        <v>1826</v>
      </c>
      <c r="R71" s="95">
        <f>IF(OR(P71="c",P71="C"),+T71,"")</f>
        <v>0</v>
      </c>
      <c r="S71" s="95" t="str">
        <f>IF(OR(P71="$",N71=1),+T71,"")</f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>T72*N72</f>
        <v>0</v>
      </c>
      <c r="P72" s="47" t="s">
        <v>754</v>
      </c>
      <c r="Q72" s="47"/>
      <c r="R72" s="95">
        <f>IF(OR(P72="c",P72="C"),+T72,"")</f>
        <v>0</v>
      </c>
      <c r="S72" s="95" t="str">
        <f>IF(OR(P72="$",N72=1),+T72,"")</f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>T73*N73</f>
        <v>0</v>
      </c>
      <c r="P73" s="47" t="s">
        <v>754</v>
      </c>
      <c r="Q73" s="47"/>
      <c r="R73" s="95">
        <f>IF(OR(P73="c",P73="C"),+T73,"")</f>
        <v>0</v>
      </c>
      <c r="S73" s="95" t="str">
        <f>IF(OR(P73="$",N73=1),+T73,"")</f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>T74*N74</f>
        <v>0</v>
      </c>
      <c r="P74" s="47" t="s">
        <v>754</v>
      </c>
      <c r="Q74" s="47"/>
      <c r="R74" s="95">
        <f>IF(OR(P74="c",P74="C"),+T74,"")</f>
        <v>0</v>
      </c>
      <c r="S74" s="95" t="str">
        <f>IF(OR(P74="$",N74=1),+T74,"")</f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>T75*N75</f>
        <v>0</v>
      </c>
      <c r="P75" s="47" t="s">
        <v>754</v>
      </c>
      <c r="Q75" s="47"/>
      <c r="R75" s="95">
        <f>IF(OR(P75="c",P75="C"),+T75,"")</f>
        <v>0</v>
      </c>
      <c r="S75" s="95" t="str">
        <f>IF(OR(P75="$",N75=1),+T75,"")</f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2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>T76*N76</f>
        <v>0</v>
      </c>
      <c r="P76" s="47" t="s">
        <v>754</v>
      </c>
      <c r="Q76" s="47"/>
      <c r="R76" s="95">
        <f>IF(OR(P76="c",P76="C"),+T76,"")</f>
        <v>0</v>
      </c>
      <c r="S76" s="95" t="str">
        <f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2"/>
        <v>66</v>
      </c>
      <c r="B77" s="47"/>
      <c r="C77" s="15" t="s">
        <v>645</v>
      </c>
      <c r="D77" s="15" t="s">
        <v>39</v>
      </c>
      <c r="E77" s="10" t="s">
        <v>646</v>
      </c>
      <c r="F77" s="142"/>
      <c r="G77" s="15"/>
      <c r="H77" s="49"/>
      <c r="I77" s="47"/>
      <c r="J77" s="47"/>
      <c r="K77" s="47"/>
      <c r="L77" s="47"/>
      <c r="M77" s="47"/>
      <c r="N77" s="47"/>
      <c r="O77" s="94">
        <f>T77*N77</f>
        <v>0</v>
      </c>
      <c r="P77" s="47" t="s">
        <v>754</v>
      </c>
      <c r="Q77" s="47"/>
      <c r="R77" s="95">
        <f>IF(OR(P77="c",P77="C"),+T77,"")</f>
        <v>0</v>
      </c>
      <c r="S77" s="95" t="str">
        <f>IF(OR(P77="$",N77=1),+T77,"")</f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2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>T78*N78</f>
        <v>0</v>
      </c>
      <c r="P78" s="47" t="s">
        <v>754</v>
      </c>
      <c r="Q78" s="47"/>
      <c r="R78" s="95">
        <f>IF(OR(P78="c",P78="C"),+T78,"")</f>
        <v>0</v>
      </c>
      <c r="S78" s="95" t="str">
        <f>IF(OR(P78="$",N78=1),+T78,"")</f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2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>T79*N79</f>
        <v>0</v>
      </c>
      <c r="P79" s="47" t="s">
        <v>754</v>
      </c>
      <c r="Q79" s="47"/>
      <c r="R79" s="95">
        <f>IF(OR(P79="c",P79="C"),+T79,"")</f>
        <v>0</v>
      </c>
      <c r="S79" s="95" t="str">
        <f>IF(OR(P79="$",N79=1),+T79,"")</f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2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>T80*N80</f>
        <v>0</v>
      </c>
      <c r="P80" s="47" t="s">
        <v>754</v>
      </c>
      <c r="Q80" s="47"/>
      <c r="R80" s="95">
        <f>IF(OR(P80="c",P80="C"),+T80,"")</f>
        <v>0</v>
      </c>
      <c r="S80" s="95" t="str">
        <f>IF(OR(P80="$",N80=1),+T80,"")</f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2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>T81*N81</f>
        <v>0</v>
      </c>
      <c r="P81" s="47" t="s">
        <v>754</v>
      </c>
      <c r="Q81" s="47"/>
      <c r="R81" s="95">
        <f>IF(OR(P81="c",P81="C"),+T81,"")</f>
        <v>0</v>
      </c>
      <c r="S81" s="95" t="str">
        <f>IF(OR(P81="$",N81=1),+T81,"")</f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2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>T82*N82</f>
        <v>0</v>
      </c>
      <c r="P82" s="47" t="s">
        <v>754</v>
      </c>
      <c r="Q82" s="47"/>
      <c r="R82" s="95">
        <f>IF(OR(P82="c",P82="C"),+T82,"")</f>
        <v>0</v>
      </c>
      <c r="S82" s="95" t="str">
        <f>IF(OR(P82="$",N82=1),+T82,"")</f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2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>T83*N83</f>
        <v>0</v>
      </c>
      <c r="P83" s="47" t="s">
        <v>754</v>
      </c>
      <c r="Q83" s="47"/>
      <c r="R83" s="95">
        <f>IF(OR(P83="c",P83="C"),+T83,"")</f>
        <v>0</v>
      </c>
      <c r="S83" s="95" t="str">
        <f>IF(OR(P83="$",N83=1),+T83,"")</f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2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>T84*N84</f>
        <v>0</v>
      </c>
      <c r="P84" s="47" t="s">
        <v>754</v>
      </c>
      <c r="Q84" s="47"/>
      <c r="R84" s="95">
        <f>IF(OR(P84="c",P84="C"),+T84,"")</f>
        <v>0</v>
      </c>
      <c r="S84" s="95" t="str">
        <f>IF(OR(P84="$",N84=1),+T84,"")</f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2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>T85*N85</f>
        <v>0</v>
      </c>
      <c r="P85" s="47" t="s">
        <v>754</v>
      </c>
      <c r="Q85" s="47"/>
      <c r="R85" s="95">
        <f>IF(OR(P85="c",P85="C"),+T85,"")</f>
        <v>0</v>
      </c>
      <c r="S85" s="95" t="str">
        <f>IF(OR(P85="$",N85=1),+T85,"")</f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2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754</v>
      </c>
      <c r="Q86" s="47"/>
      <c r="R86" s="95">
        <f>IF(OR(P86="c",P86="C"),+T86,"")</f>
        <v>0</v>
      </c>
      <c r="S86" s="95" t="str">
        <f>IF(OR(P86="$",N86=1),+T86,"")</f>
        <v/>
      </c>
      <c r="T86" s="96"/>
      <c r="U86" s="51"/>
      <c r="V86" s="110"/>
    </row>
    <row r="87" spans="1:22" x14ac:dyDescent="0.25">
      <c r="A87" s="46">
        <f t="shared" si="2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>T87*N87</f>
        <v>0</v>
      </c>
      <c r="P87" s="47" t="s">
        <v>754</v>
      </c>
      <c r="Q87" s="47"/>
      <c r="R87" s="95">
        <f>IF(OR(P87="c",P87="C"),+T87,"")</f>
        <v>0</v>
      </c>
      <c r="S87" s="95" t="str">
        <f>IF(OR(P87="$",N87=1),+T87,"")</f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2"/>
        <v>77</v>
      </c>
      <c r="B88" s="47"/>
      <c r="C88" s="5" t="s">
        <v>66</v>
      </c>
      <c r="D88" s="5" t="s">
        <v>67</v>
      </c>
      <c r="E88" s="6" t="s">
        <v>68</v>
      </c>
      <c r="F88" s="141"/>
      <c r="G88" s="12"/>
      <c r="H88" s="49"/>
      <c r="I88" s="47"/>
      <c r="J88" s="47"/>
      <c r="K88" s="47"/>
      <c r="L88" s="47"/>
      <c r="M88" s="47"/>
      <c r="N88" s="47"/>
      <c r="O88" s="94">
        <f>T88*N88</f>
        <v>0</v>
      </c>
      <c r="P88" s="47" t="s">
        <v>754</v>
      </c>
      <c r="Q88" s="47"/>
      <c r="R88" s="95">
        <f>IF(OR(P88="c",P88="C"),+T88,"")</f>
        <v>0</v>
      </c>
      <c r="S88" s="95" t="str">
        <f>IF(OR(P88="$",N88=1),+T88,"")</f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2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>T89*N89</f>
        <v>0</v>
      </c>
      <c r="P89" s="47" t="s">
        <v>754</v>
      </c>
      <c r="Q89" s="47"/>
      <c r="R89" s="95">
        <f>IF(OR(P89="c",P89="C"),+T89,"")</f>
        <v>0</v>
      </c>
      <c r="S89" s="95" t="str">
        <f>IF(OR(P89="$",N89=1),+T89,"")</f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2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>T90*N90</f>
        <v>0</v>
      </c>
      <c r="P90" s="47" t="s">
        <v>754</v>
      </c>
      <c r="Q90" s="47"/>
      <c r="R90" s="95">
        <f>IF(OR(P90="c",P90="C"),+T90,"")</f>
        <v>0</v>
      </c>
      <c r="S90" s="95" t="str">
        <f>IF(OR(P90="$",N90=1),+T90,"")</f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2"/>
        <v>80</v>
      </c>
      <c r="B91" s="47"/>
      <c r="C91" s="7" t="s">
        <v>77</v>
      </c>
      <c r="D91" s="7" t="s">
        <v>78</v>
      </c>
      <c r="E91" s="9" t="s">
        <v>79</v>
      </c>
      <c r="F91" s="142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>T91*N91</f>
        <v>0</v>
      </c>
      <c r="P91" s="47" t="s">
        <v>754</v>
      </c>
      <c r="Q91" s="47"/>
      <c r="R91" s="95">
        <f>IF(OR(P91="c",P91="C"),+T91,"")</f>
        <v>0</v>
      </c>
      <c r="S91" s="95" t="str">
        <f>IF(OR(P91="$",N91=1),+T91,"")</f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2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>T92*N92</f>
        <v>0</v>
      </c>
      <c r="P92" s="47" t="s">
        <v>754</v>
      </c>
      <c r="Q92" s="47"/>
      <c r="R92" s="95">
        <f>IF(OR(P92="c",P92="C"),+T92,"")</f>
        <v>0</v>
      </c>
      <c r="S92" s="95" t="str">
        <f>IF(OR(P92="$",N92=1),+T92,"")</f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2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>T93*N93</f>
        <v>0</v>
      </c>
      <c r="P93" s="47" t="s">
        <v>754</v>
      </c>
      <c r="Q93" s="47"/>
      <c r="R93" s="95">
        <f>IF(OR(P93="c",P93="C"),+T93,"")</f>
        <v>0</v>
      </c>
      <c r="S93" s="95" t="str">
        <f>IF(OR(P93="$",N93=1),+T93,"")</f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2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>T94*N94</f>
        <v>0</v>
      </c>
      <c r="P94" s="47" t="s">
        <v>754</v>
      </c>
      <c r="Q94" s="47"/>
      <c r="R94" s="95">
        <f>IF(OR(P94="c",P94="C"),+T94,"")</f>
        <v>0</v>
      </c>
      <c r="S94" s="95" t="str">
        <f>IF(OR(P94="$",N94=1),+T94,"")</f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2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>T95*N95</f>
        <v>0</v>
      </c>
      <c r="P95" s="47" t="s">
        <v>754</v>
      </c>
      <c r="Q95" s="47"/>
      <c r="R95" s="95">
        <f>IF(OR(P95="c",P95="C"),+T95,"")</f>
        <v>0</v>
      </c>
      <c r="S95" s="95" t="str">
        <f>IF(OR(P95="$",N95=1),+T95,"")</f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2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>T96*N96</f>
        <v>0</v>
      </c>
      <c r="P96" s="47" t="s">
        <v>754</v>
      </c>
      <c r="Q96" s="47"/>
      <c r="R96" s="95">
        <f>IF(OR(P96="c",P96="C"),+T96,"")</f>
        <v>0</v>
      </c>
      <c r="S96" s="95" t="str">
        <f>IF(OR(P96="$",N96=1),+T96,"")</f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2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>T97*N97</f>
        <v>0</v>
      </c>
      <c r="P97" s="47" t="s">
        <v>754</v>
      </c>
      <c r="Q97" s="47"/>
      <c r="R97" s="95">
        <f>IF(OR(P97="c",P97="C"),+T97,"")</f>
        <v>0</v>
      </c>
      <c r="S97" s="95" t="str">
        <f>IF(OR(P97="$",N97=1),+T97,"")</f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2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>T98*N98</f>
        <v>0</v>
      </c>
      <c r="P98" s="47" t="s">
        <v>754</v>
      </c>
      <c r="Q98" s="47"/>
      <c r="R98" s="95">
        <f>IF(OR(P98="c",P98="C"),+T98,"")</f>
        <v>0</v>
      </c>
      <c r="S98" s="95" t="str">
        <f>IF(OR(P98="$",N98=1),+T98,"")</f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2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>T99*N99</f>
        <v>0</v>
      </c>
      <c r="P99" s="47" t="s">
        <v>754</v>
      </c>
      <c r="Q99" s="47"/>
      <c r="R99" s="95">
        <f>IF(OR(P99="c",P99="C"),+T99,"")</f>
        <v>0</v>
      </c>
      <c r="S99" s="95" t="str">
        <f>IF(OR(P99="$",N99=1),+T99,"")</f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2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>T100*N100</f>
        <v>0</v>
      </c>
      <c r="P100" s="47" t="s">
        <v>754</v>
      </c>
      <c r="Q100" s="47"/>
      <c r="R100" s="95">
        <f>IF(OR(P100="c",P100="C"),+T100,"")</f>
        <v>0</v>
      </c>
      <c r="S100" s="95" t="str">
        <f>IF(OR(P100="$",N100=1),+T100,"")</f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2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>T101*N101</f>
        <v>0</v>
      </c>
      <c r="P101" s="47" t="s">
        <v>754</v>
      </c>
      <c r="Q101" s="47"/>
      <c r="R101" s="95">
        <f>IF(OR(P101="c",P101="C"),+T101,"")</f>
        <v>0</v>
      </c>
      <c r="S101" s="95" t="str">
        <f>IF(OR(P101="$",N101=1),+T101,"")</f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2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47" t="s">
        <v>754</v>
      </c>
      <c r="Q102" s="47"/>
      <c r="R102" s="95">
        <f>IF(OR(P102="c",P102="C"),+T102,"")</f>
        <v>0</v>
      </c>
      <c r="S102" s="95" t="str">
        <f>IF(OR(P102="$",N102=1),+T102,"")</f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2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>T103*N103</f>
        <v>0</v>
      </c>
      <c r="P103" s="47" t="s">
        <v>754</v>
      </c>
      <c r="Q103" s="47"/>
      <c r="R103" s="95">
        <f>IF(OR(P103="c",P103="C"),+T103,"")</f>
        <v>0</v>
      </c>
      <c r="S103" s="95" t="str">
        <f>IF(OR(P103="$",N103=1),+T103,"")</f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2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>T104*N104</f>
        <v>0</v>
      </c>
      <c r="P104" s="47" t="s">
        <v>754</v>
      </c>
      <c r="Q104" s="47"/>
      <c r="R104" s="95">
        <f>IF(OR(P104="c",P104="C"),+T104,"")</f>
        <v>0</v>
      </c>
      <c r="S104" s="95" t="str">
        <f>IF(OR(P104="$",N104=1),+T104,"")</f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2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>T105*N105</f>
        <v>0</v>
      </c>
      <c r="P105" s="47" t="s">
        <v>754</v>
      </c>
      <c r="Q105" s="47"/>
      <c r="R105" s="95">
        <f>IF(OR(P105="c",P105="C"),+T105,"")</f>
        <v>0</v>
      </c>
      <c r="S105" s="95" t="str">
        <f>IF(OR(P105="$",N105=1),+T105,"")</f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2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>T106*N106</f>
        <v>0</v>
      </c>
      <c r="P106" s="47" t="s">
        <v>754</v>
      </c>
      <c r="Q106" s="47"/>
      <c r="R106" s="95">
        <f>IF(OR(P106="c",P106="C"),+T106,"")</f>
        <v>0</v>
      </c>
      <c r="S106" s="95" t="str">
        <f>IF(OR(P106="$",N106=1),+T106,"")</f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2"/>
        <v>96</v>
      </c>
      <c r="B107" s="47"/>
      <c r="C107" s="5" t="s">
        <v>124</v>
      </c>
      <c r="D107" s="5" t="s">
        <v>72</v>
      </c>
      <c r="E107" s="145" t="s">
        <v>125</v>
      </c>
      <c r="F107" s="14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>T107*N107</f>
        <v>0</v>
      </c>
      <c r="P107" s="47" t="s">
        <v>754</v>
      </c>
      <c r="Q107" s="47"/>
      <c r="R107" s="95">
        <f>IF(OR(P107="c",P107="C"),+T107,"")</f>
        <v>0</v>
      </c>
      <c r="S107" s="95" t="str">
        <f>IF(OR(P107="$",N107=1),+T107,"")</f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2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>T108*N108</f>
        <v>0</v>
      </c>
      <c r="P108" s="47" t="s">
        <v>754</v>
      </c>
      <c r="Q108" s="47"/>
      <c r="R108" s="95">
        <f>IF(OR(P108="c",P108="C"),+T108,"")</f>
        <v>0</v>
      </c>
      <c r="S108" s="95" t="str">
        <f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2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>T109*N109</f>
        <v>0</v>
      </c>
      <c r="P109" s="47" t="s">
        <v>754</v>
      </c>
      <c r="Q109" s="47"/>
      <c r="R109" s="95">
        <f>IF(OR(P109="c",P109="C"),+T109,"")</f>
        <v>0</v>
      </c>
      <c r="S109" s="95" t="str">
        <f>IF(OR(P109="$",N109=1),+T109,"")</f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2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>T110*N110</f>
        <v>0</v>
      </c>
      <c r="P110" s="47" t="s">
        <v>754</v>
      </c>
      <c r="Q110" s="47"/>
      <c r="R110" s="95">
        <f>IF(OR(P110="c",P110="C"),+T110,"")</f>
        <v>0</v>
      </c>
      <c r="S110" s="95" t="str">
        <f>IF(OR(P110="$",N110=1),+T110,"")</f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2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>T111*N111</f>
        <v>0</v>
      </c>
      <c r="P111" s="47" t="s">
        <v>754</v>
      </c>
      <c r="Q111" s="47"/>
      <c r="R111" s="95">
        <f>IF(OR(P111="c",P111="C"),+T111,"")</f>
        <v>0</v>
      </c>
      <c r="S111" s="95" t="str">
        <f>IF(OR(P111="$",N111=1),+T111,"")</f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2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>T112*N112</f>
        <v>0</v>
      </c>
      <c r="P112" s="47" t="s">
        <v>754</v>
      </c>
      <c r="Q112" s="47"/>
      <c r="R112" s="95">
        <f>IF(OR(P112="c",P112="C"),+T112,"")</f>
        <v>0</v>
      </c>
      <c r="S112" s="95" t="str">
        <f>IF(OR(P112="$",N112=1),+T112,"")</f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2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>T113*N113</f>
        <v>0</v>
      </c>
      <c r="P113" s="47" t="s">
        <v>754</v>
      </c>
      <c r="Q113" s="47"/>
      <c r="R113" s="95">
        <f>IF(OR(P113="c",P113="C"),+T113,"")</f>
        <v>0</v>
      </c>
      <c r="S113" s="95" t="str">
        <f>IF(OR(P113="$",N113=1),+T113,"")</f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756</v>
      </c>
    </row>
    <row r="114" spans="1:22" x14ac:dyDescent="0.25">
      <c r="A114" s="46">
        <f t="shared" si="2"/>
        <v>103</v>
      </c>
      <c r="B114" s="47"/>
      <c r="C114" s="15" t="s">
        <v>654</v>
      </c>
      <c r="D114" s="15" t="s">
        <v>45</v>
      </c>
      <c r="E114" s="10" t="s">
        <v>655</v>
      </c>
      <c r="F114" s="142"/>
      <c r="G114" s="15"/>
      <c r="H114" s="49"/>
      <c r="I114" s="47"/>
      <c r="J114" s="47"/>
      <c r="K114" s="47"/>
      <c r="L114" s="47"/>
      <c r="M114" s="47"/>
      <c r="N114" s="47"/>
      <c r="O114" s="94">
        <f>T114*N114</f>
        <v>0</v>
      </c>
      <c r="P114" s="47" t="s">
        <v>754</v>
      </c>
      <c r="Q114" s="47"/>
      <c r="R114" s="95">
        <f>IF(OR(P114="c",P114="C"),+T114,"")</f>
        <v>0</v>
      </c>
      <c r="S114" s="95" t="str">
        <f>IF(OR(P114="$",N114=1),+T114,"")</f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2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>T115*N115</f>
        <v>0</v>
      </c>
      <c r="P115" s="47" t="s">
        <v>754</v>
      </c>
      <c r="Q115" s="47"/>
      <c r="R115" s="95">
        <f>IF(OR(P115="c",P115="C"),+T115,"")</f>
        <v>0</v>
      </c>
      <c r="S115" s="95" t="str">
        <f>IF(OR(P115="$",N115=1),+T115,"")</f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2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>T116*N116</f>
        <v>0</v>
      </c>
      <c r="P116" s="47" t="s">
        <v>754</v>
      </c>
      <c r="Q116" s="47"/>
      <c r="R116" s="95">
        <f>IF(OR(P116="c",P116="C"),+T116,"")</f>
        <v>0</v>
      </c>
      <c r="S116" s="95" t="str">
        <f>IF(OR(P116="$",N116=1),+T116,"")</f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2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>T117*N117</f>
        <v>0</v>
      </c>
      <c r="P117" s="47" t="s">
        <v>754</v>
      </c>
      <c r="Q117" s="47"/>
      <c r="R117" s="95">
        <f>IF(OR(P117="c",P117="C"),+T117,"")</f>
        <v>0</v>
      </c>
      <c r="S117" s="95" t="str">
        <f>IF(OR(P117="$",N117=1),+T117,"")</f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2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>T118*N118</f>
        <v>0</v>
      </c>
      <c r="P118" s="47" t="s">
        <v>754</v>
      </c>
      <c r="Q118" s="47"/>
      <c r="R118" s="95">
        <f>IF(OR(P118="c",P118="C"),+T118,"")</f>
        <v>0</v>
      </c>
      <c r="S118" s="95" t="str">
        <f>IF(OR(P118="$",N118=1),+T118,"")</f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2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>T119*N119</f>
        <v>0</v>
      </c>
      <c r="P119" s="47" t="s">
        <v>754</v>
      </c>
      <c r="Q119" s="47"/>
      <c r="R119" s="95">
        <f>IF(OR(P119="c",P119="C"),+T119,"")</f>
        <v>0</v>
      </c>
      <c r="S119" s="95" t="str">
        <f>IF(OR(P119="$",N119=1),+T119,"")</f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2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>T120*N120</f>
        <v>0</v>
      </c>
      <c r="P120" s="47" t="s">
        <v>754</v>
      </c>
      <c r="Q120" s="47"/>
      <c r="R120" s="95">
        <f>IF(OR(P120="c",P120="C"),+T120,"")</f>
        <v>0</v>
      </c>
      <c r="S120" s="95" t="str">
        <f>IF(OR(P120="$",N120=1),+T120,"")</f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2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>T121*N121</f>
        <v>0</v>
      </c>
      <c r="P121" s="47" t="s">
        <v>754</v>
      </c>
      <c r="Q121" s="47"/>
      <c r="R121" s="95">
        <f>IF(OR(P121="c",P121="C"),+T121,"")</f>
        <v>0</v>
      </c>
      <c r="S121" s="95" t="str">
        <f>IF(OR(P121="$",N121=1),+T121,"")</f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2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>T122*N122</f>
        <v>0</v>
      </c>
      <c r="P122" s="47" t="s">
        <v>754</v>
      </c>
      <c r="Q122" s="47"/>
      <c r="R122" s="95">
        <f>IF(OR(P122="c",P122="C"),+T122,"")</f>
        <v>0</v>
      </c>
      <c r="S122" s="95" t="str">
        <f>IF(OR(P122="$",N122=1),+T122,"")</f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2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>T123*N123</f>
        <v>0</v>
      </c>
      <c r="P123" s="47" t="s">
        <v>754</v>
      </c>
      <c r="Q123" s="47"/>
      <c r="R123" s="95">
        <f>IF(OR(P123="c",P123="C"),+T123,"")</f>
        <v>0</v>
      </c>
      <c r="S123" s="95" t="str">
        <f>IF(OR(P123="$",N123=1),+T123,"")</f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2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>T124*N124</f>
        <v>0</v>
      </c>
      <c r="P124" s="47" t="s">
        <v>754</v>
      </c>
      <c r="Q124" s="47"/>
      <c r="R124" s="95">
        <f>IF(OR(P124="c",P124="C"),+T124,"")</f>
        <v>0</v>
      </c>
      <c r="S124" s="95" t="str">
        <f>IF(OR(P124="$",N124=1),+T124,"")</f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2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>T125*N125</f>
        <v>0</v>
      </c>
      <c r="P125" s="47" t="s">
        <v>754</v>
      </c>
      <c r="Q125" s="47"/>
      <c r="R125" s="95">
        <f>IF(OR(P125="c",P125="C"),+T125,"")</f>
        <v>0</v>
      </c>
      <c r="S125" s="95" t="str">
        <f>IF(OR(P125="$",N125=1),+T125,"")</f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2"/>
        <v>115</v>
      </c>
      <c r="B126" s="47"/>
      <c r="C126" s="5" t="s">
        <v>175</v>
      </c>
      <c r="D126" s="5" t="s">
        <v>72</v>
      </c>
      <c r="E126" s="6" t="s">
        <v>176</v>
      </c>
      <c r="F126" s="14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>T126*N126</f>
        <v>0</v>
      </c>
      <c r="P126" s="47" t="s">
        <v>754</v>
      </c>
      <c r="Q126" s="47"/>
      <c r="R126" s="95">
        <f>IF(OR(P126="c",P126="C"),+T126,"")</f>
        <v>0</v>
      </c>
      <c r="S126" s="95" t="str">
        <f>IF(OR(P126="$",N126=1),+T126,"")</f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2"/>
        <v>116</v>
      </c>
      <c r="B127" s="47"/>
      <c r="C127" s="5" t="s">
        <v>177</v>
      </c>
      <c r="D127" s="139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>T127*N127</f>
        <v>0</v>
      </c>
      <c r="P127" s="47" t="s">
        <v>754</v>
      </c>
      <c r="Q127" s="47"/>
      <c r="R127" s="95">
        <f>IF(OR(P127="c",P127="C"),+T127,"")</f>
        <v>0</v>
      </c>
      <c r="S127" s="95" t="str">
        <f>IF(OR(P127="$",N127=1),+T127,"")</f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2"/>
        <v>117</v>
      </c>
      <c r="B128" s="47"/>
      <c r="C128" s="7" t="s">
        <v>179</v>
      </c>
      <c r="D128" s="144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>T128*N128</f>
        <v>0</v>
      </c>
      <c r="P128" s="47" t="s">
        <v>754</v>
      </c>
      <c r="Q128" s="47"/>
      <c r="R128" s="95">
        <f>IF(OR(P128="c",P128="C"),+T128,"")</f>
        <v>0</v>
      </c>
      <c r="S128" s="95" t="str">
        <f>IF(OR(P128="$",N128=1),+T128,"")</f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775</v>
      </c>
    </row>
    <row r="129" spans="1:22" x14ac:dyDescent="0.25">
      <c r="A129" s="46">
        <f t="shared" si="2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 t="s">
        <v>754</v>
      </c>
      <c r="Q129" s="47"/>
      <c r="R129" s="95">
        <f>IF(OR(P129="c",P129="C"),+T129,"")</f>
        <v>0</v>
      </c>
      <c r="S129" s="95" t="str">
        <f>IF(OR(P129="$",N129=1),+T129,"")</f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776</v>
      </c>
    </row>
    <row r="130" spans="1:22" x14ac:dyDescent="0.25">
      <c r="A130" s="46">
        <f t="shared" si="2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 t="s">
        <v>754</v>
      </c>
      <c r="Q130" s="47"/>
      <c r="R130" s="95">
        <f>IF(OR(P130="c",P130="C"),+T130,"")</f>
        <v>0</v>
      </c>
      <c r="S130" s="95" t="str">
        <f>IF(OR(P130="$",N130=1),+T130,"")</f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2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>T131*N131</f>
        <v>0</v>
      </c>
      <c r="P131" s="47" t="s">
        <v>754</v>
      </c>
      <c r="Q131" s="47"/>
      <c r="R131" s="95">
        <f>IF(OR(P131="c",P131="C"),+T131,"")</f>
        <v>0</v>
      </c>
      <c r="S131" s="95" t="str">
        <f>IF(OR(P131="$",N131=1),+T131,"")</f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2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>T132*N132</f>
        <v>0</v>
      </c>
      <c r="P132" s="47" t="s">
        <v>754</v>
      </c>
      <c r="Q132" s="47"/>
      <c r="R132" s="95">
        <f>IF(OR(P132="c",P132="C"),+T132,"")</f>
        <v>0</v>
      </c>
      <c r="S132" s="95" t="str">
        <f>IF(OR(P132="$",N132=1),+T132,"")</f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756</v>
      </c>
    </row>
    <row r="133" spans="1:22" x14ac:dyDescent="0.25">
      <c r="A133" s="46">
        <f t="shared" si="2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>T133*N133</f>
        <v>0</v>
      </c>
      <c r="P133" s="47" t="s">
        <v>754</v>
      </c>
      <c r="Q133" s="47"/>
      <c r="R133" s="95">
        <f>IF(OR(P133="c",P133="C"),+T133,"")</f>
        <v>0</v>
      </c>
      <c r="S133" s="95" t="str">
        <f>IF(OR(P133="$",N133=1),+T133,"")</f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2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>T134*N134</f>
        <v>0</v>
      </c>
      <c r="P134" s="47" t="s">
        <v>754</v>
      </c>
      <c r="Q134" s="47"/>
      <c r="R134" s="95">
        <f>IF(OR(P134="c",P134="C"),+T134,"")</f>
        <v>0</v>
      </c>
      <c r="S134" s="95" t="str">
        <f>IF(OR(P134="$",N134=1),+T134,"")</f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2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>T135*N135</f>
        <v>0</v>
      </c>
      <c r="P135" s="47" t="s">
        <v>754</v>
      </c>
      <c r="Q135" s="47"/>
      <c r="R135" s="95">
        <f>IF(OR(P135="c",P135="C"),+T135,"")</f>
        <v>0</v>
      </c>
      <c r="S135" s="95" t="str">
        <f>IF(OR(P135="$",N135=1),+T135,"")</f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2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>T136*N136</f>
        <v>0</v>
      </c>
      <c r="P136" s="47" t="s">
        <v>754</v>
      </c>
      <c r="Q136" s="47"/>
      <c r="R136" s="95">
        <f>IF(OR(P136="c",P136="C"),+T136,"")</f>
        <v>0</v>
      </c>
      <c r="S136" s="95" t="str">
        <f>IF(OR(P136="$",N136=1),+T136,"")</f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2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>T137*N137</f>
        <v>0</v>
      </c>
      <c r="P137" s="47" t="s">
        <v>754</v>
      </c>
      <c r="Q137" s="47"/>
      <c r="R137" s="95">
        <f>IF(OR(P137="c",P137="C"),+T137,"")</f>
        <v>0</v>
      </c>
      <c r="S137" s="95" t="str">
        <f>IF(OR(P137="$",N137=1),+T137,"")</f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2"/>
        <v>127</v>
      </c>
      <c r="B138" s="47"/>
      <c r="C138" s="7" t="s">
        <v>769</v>
      </c>
      <c r="D138" s="7" t="s">
        <v>770</v>
      </c>
      <c r="E138" s="10" t="s">
        <v>771</v>
      </c>
      <c r="F138" s="10" t="s">
        <v>772</v>
      </c>
      <c r="G138" s="15" t="s">
        <v>773</v>
      </c>
      <c r="H138" s="49"/>
      <c r="I138" s="47"/>
      <c r="J138" s="47"/>
      <c r="K138" s="47"/>
      <c r="L138" s="47"/>
      <c r="M138" s="47"/>
      <c r="N138" s="47">
        <v>1</v>
      </c>
      <c r="O138" s="94">
        <f>T138*N138</f>
        <v>0</v>
      </c>
      <c r="P138" s="47" t="s">
        <v>750</v>
      </c>
      <c r="Q138" s="47"/>
      <c r="R138" s="95" t="str">
        <f>IF(OR(P138="c",P138="C"),+T138,"")</f>
        <v/>
      </c>
      <c r="S138" s="95">
        <f>IF(OR(P138="$",N138=1),+T138,"")</f>
        <v>0</v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2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>T139*N139</f>
        <v>0</v>
      </c>
      <c r="P139" s="47" t="s">
        <v>754</v>
      </c>
      <c r="Q139" s="47"/>
      <c r="R139" s="95">
        <f>IF(OR(P139="c",P139="C"),+T139,"")</f>
        <v>0</v>
      </c>
      <c r="S139" s="95" t="str">
        <f>IF(OR(P139="$",N139=1),+T139,"")</f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3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42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>T140*N140</f>
        <v>0</v>
      </c>
      <c r="P140" s="47" t="s">
        <v>754</v>
      </c>
      <c r="Q140" s="47"/>
      <c r="R140" s="95">
        <f>IF(OR(P140="c",P140="C"),+T140,"")</f>
        <v>0</v>
      </c>
      <c r="S140" s="95" t="str">
        <f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3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>T141*N141</f>
        <v>0</v>
      </c>
      <c r="P141" s="47" t="s">
        <v>754</v>
      </c>
      <c r="Q141" s="47"/>
      <c r="R141" s="95">
        <f>IF(OR(P141="c",P141="C"),+T141,"")</f>
        <v>0</v>
      </c>
      <c r="S141" s="95" t="str">
        <f>IF(OR(P141="$",N141=1),+T141,"")</f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778</v>
      </c>
    </row>
    <row r="142" spans="1:22" x14ac:dyDescent="0.25">
      <c r="A142" s="46">
        <f t="shared" si="3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>T142*N142</f>
        <v>0</v>
      </c>
      <c r="P142" s="47" t="s">
        <v>754</v>
      </c>
      <c r="Q142" s="47"/>
      <c r="R142" s="95">
        <f>IF(OR(P142="c",P142="C"),+T142,"")</f>
        <v>0</v>
      </c>
      <c r="S142" s="95" t="str">
        <f>IF(OR(P142="$",N142=1),+T142,"")</f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3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>T143*N143</f>
        <v>0</v>
      </c>
      <c r="P143" s="47" t="s">
        <v>754</v>
      </c>
      <c r="Q143" s="47"/>
      <c r="R143" s="95">
        <f>IF(OR(P143="c",P143="C"),+T143,"")</f>
        <v>0</v>
      </c>
      <c r="S143" s="95" t="str">
        <f>IF(OR(P143="$",N143=1),+T143,"")</f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3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>T144*N144</f>
        <v>0</v>
      </c>
      <c r="P144" s="47" t="s">
        <v>754</v>
      </c>
      <c r="Q144" s="47"/>
      <c r="R144" s="95">
        <f>IF(OR(P144="c",P144="C"),+T144,"")</f>
        <v>0</v>
      </c>
      <c r="S144" s="95" t="str">
        <f>IF(OR(P144="$",N144=1),+T144,"")</f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3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>T145*N145</f>
        <v>0</v>
      </c>
      <c r="P145" s="47" t="s">
        <v>754</v>
      </c>
      <c r="Q145" s="47"/>
      <c r="R145" s="95">
        <f>IF(OR(P145="c",P145="C"),+T145,"")</f>
        <v>0</v>
      </c>
      <c r="S145" s="95" t="str">
        <f>IF(OR(P145="$",N145=1),+T145,"")</f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3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>T146*N146</f>
        <v>0</v>
      </c>
      <c r="P146" s="47" t="s">
        <v>754</v>
      </c>
      <c r="Q146" s="47"/>
      <c r="R146" s="95">
        <f>IF(OR(P146="c",P146="C"),+T146,"")</f>
        <v>0</v>
      </c>
      <c r="S146" s="95" t="str">
        <f>IF(OR(P146="$",N146=1),+T146,"")</f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3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>T147*N147</f>
        <v>0</v>
      </c>
      <c r="P147" s="47" t="s">
        <v>754</v>
      </c>
      <c r="Q147" s="47"/>
      <c r="R147" s="95">
        <f>IF(OR(P147="c",P147="C"),+T147,"")</f>
        <v>0</v>
      </c>
      <c r="S147" s="95" t="str">
        <f>IF(OR(P147="$",N147=1),+T147,"")</f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3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>T148*N148</f>
        <v>0</v>
      </c>
      <c r="P148" s="47" t="s">
        <v>754</v>
      </c>
      <c r="Q148" s="47"/>
      <c r="R148" s="95">
        <f>IF(OR(P148="c",P148="C"),+T148,"")</f>
        <v>0</v>
      </c>
      <c r="S148" s="95" t="str">
        <f>IF(OR(P148="$",N148=1),+T148,"")</f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3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>T149*N149</f>
        <v>0</v>
      </c>
      <c r="P149" s="47" t="s">
        <v>754</v>
      </c>
      <c r="Q149" s="47"/>
      <c r="R149" s="95">
        <f>IF(OR(P149="c",P149="C"),+T149,"")</f>
        <v>0</v>
      </c>
      <c r="S149" s="95" t="str">
        <f>IF(OR(P149="$",N149=1),+T149,"")</f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3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>T150*N150</f>
        <v>0</v>
      </c>
      <c r="P150" s="47" t="s">
        <v>754</v>
      </c>
      <c r="Q150" s="47"/>
      <c r="R150" s="95">
        <f>IF(OR(P150="c",P150="C"),+T150,"")</f>
        <v>0</v>
      </c>
      <c r="S150" s="95" t="str">
        <f>IF(OR(P150="$",N150=1),+T150,"")</f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3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>T151*N151</f>
        <v>0</v>
      </c>
      <c r="P151" s="47" t="s">
        <v>754</v>
      </c>
      <c r="Q151" s="47"/>
      <c r="R151" s="95">
        <f>IF(OR(P151="c",P151="C"),+T151,"")</f>
        <v>0</v>
      </c>
      <c r="S151" s="95" t="str">
        <f>IF(OR(P151="$",N151=1),+T151,"")</f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3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>T152*N152</f>
        <v>0</v>
      </c>
      <c r="P152" s="47" t="s">
        <v>754</v>
      </c>
      <c r="Q152" s="47"/>
      <c r="R152" s="95">
        <f>IF(OR(P152="c",P152="C"),+T152,"")</f>
        <v>0</v>
      </c>
      <c r="S152" s="95" t="str">
        <f>IF(OR(P152="$",N152=1),+T152,"")</f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3"/>
        <v>142</v>
      </c>
      <c r="B153" s="47"/>
      <c r="C153" s="5" t="s">
        <v>257</v>
      </c>
      <c r="D153" s="5" t="s">
        <v>255</v>
      </c>
      <c r="E153" s="6" t="s">
        <v>258</v>
      </c>
      <c r="F153" s="142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>T153*N153</f>
        <v>0</v>
      </c>
      <c r="P153" s="47" t="s">
        <v>754</v>
      </c>
      <c r="Q153" s="47"/>
      <c r="R153" s="95">
        <f>IF(OR(P153="c",P153="C"),+T153,"")</f>
        <v>0</v>
      </c>
      <c r="S153" s="95" t="str">
        <f>IF(OR(P153="$",N153=1),+T153,"")</f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3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>T154*N154</f>
        <v>0</v>
      </c>
      <c r="P154" s="47" t="s">
        <v>754</v>
      </c>
      <c r="Q154" s="47" t="s">
        <v>814</v>
      </c>
      <c r="R154" s="95">
        <f>IF(OR(P154="c",P154="C"),+T154,"")</f>
        <v>0</v>
      </c>
      <c r="S154" s="95" t="str">
        <f>IF(OR(P154="$",N154=1),+T154,"")</f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3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>T155*N155</f>
        <v>0</v>
      </c>
      <c r="P155" s="47" t="s">
        <v>754</v>
      </c>
      <c r="Q155" s="47"/>
      <c r="R155" s="95">
        <f>IF(OR(P155="c",P155="C"),+T155,"")</f>
        <v>0</v>
      </c>
      <c r="S155" s="95" t="str">
        <f>IF(OR(P155="$",N155=1),+T155,"")</f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3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>T156*N156</f>
        <v>0</v>
      </c>
      <c r="P156" s="47" t="s">
        <v>754</v>
      </c>
      <c r="Q156" s="47"/>
      <c r="R156" s="95">
        <f>IF(OR(P156="c",P156="C"),+T156,"")</f>
        <v>0</v>
      </c>
      <c r="S156" s="95" t="str">
        <f>IF(OR(P156="$",N156=1),+T156,"")</f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3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>T157*N157</f>
        <v>0</v>
      </c>
      <c r="P157" s="47" t="s">
        <v>754</v>
      </c>
      <c r="Q157" s="47"/>
      <c r="R157" s="95">
        <f>IF(OR(P157="c",P157="C"),+T157,"")</f>
        <v>0</v>
      </c>
      <c r="S157" s="95" t="str">
        <f>IF(OR(P157="$",N157=1),+T157,"")</f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3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>T158*N158</f>
        <v>0</v>
      </c>
      <c r="P158" s="47" t="s">
        <v>754</v>
      </c>
      <c r="Q158" s="47"/>
      <c r="R158" s="95">
        <f>IF(OR(P158="c",P158="C"),+T158,"")</f>
        <v>0</v>
      </c>
      <c r="S158" s="95" t="str">
        <f>IF(OR(P158="$",N158=1),+T158,"")</f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3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>T159*N159</f>
        <v>0</v>
      </c>
      <c r="P159" s="47" t="s">
        <v>754</v>
      </c>
      <c r="Q159" s="47"/>
      <c r="R159" s="95">
        <f>IF(OR(P159="c",P159="C"),+T159,"")</f>
        <v>0</v>
      </c>
      <c r="S159" s="95" t="str">
        <f>IF(OR(P159="$",N159=1),+T159,"")</f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3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147" t="s">
        <v>547</v>
      </c>
      <c r="H160" s="49"/>
      <c r="I160" s="47"/>
      <c r="J160" s="47"/>
      <c r="K160" s="47"/>
      <c r="L160" s="47"/>
      <c r="M160" s="47"/>
      <c r="N160" s="47"/>
      <c r="O160" s="94">
        <f>T160*N160</f>
        <v>0</v>
      </c>
      <c r="P160" s="47" t="s">
        <v>754</v>
      </c>
      <c r="Q160" s="47"/>
      <c r="R160" s="95">
        <f>IF(OR(P160="c",P160="C"),+T160,"")</f>
        <v>0</v>
      </c>
      <c r="S160" s="95" t="str">
        <f>IF(OR(P160="$",N160=1),+T160,"")</f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3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>T161*N161</f>
        <v>0</v>
      </c>
      <c r="P161" s="47" t="s">
        <v>754</v>
      </c>
      <c r="Q161" s="47"/>
      <c r="R161" s="95">
        <f>IF(OR(P161="c",P161="C"),+T161,"")</f>
        <v>0</v>
      </c>
      <c r="S161" s="95" t="str">
        <f>IF(OR(P161="$",N161=1),+T161,"")</f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3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>T162*N162</f>
        <v>0</v>
      </c>
      <c r="P162" s="47" t="s">
        <v>754</v>
      </c>
      <c r="Q162" s="47"/>
      <c r="R162" s="95">
        <f>IF(OR(P162="c",P162="C"),+T162,"")</f>
        <v>0</v>
      </c>
      <c r="S162" s="95" t="str">
        <f>IF(OR(P162="$",N162=1),+T162,"")</f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3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>T163*N163</f>
        <v>0</v>
      </c>
      <c r="P163" s="47" t="s">
        <v>754</v>
      </c>
      <c r="Q163" s="47"/>
      <c r="R163" s="95">
        <f>IF(OR(P163="c",P163="C"),+T163,"")</f>
        <v>0</v>
      </c>
      <c r="S163" s="95" t="str">
        <f>IF(OR(P163="$",N163=1),+T163,"")</f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3"/>
        <v>153</v>
      </c>
      <c r="B164" s="47"/>
      <c r="C164" s="5" t="s">
        <v>291</v>
      </c>
      <c r="D164" s="5" t="s">
        <v>255</v>
      </c>
      <c r="E164" s="6"/>
      <c r="F164" s="48"/>
      <c r="G164" s="147" t="s">
        <v>554</v>
      </c>
      <c r="H164" s="49"/>
      <c r="I164" s="47"/>
      <c r="J164" s="47"/>
      <c r="K164" s="47"/>
      <c r="L164" s="47"/>
      <c r="M164" s="47"/>
      <c r="N164" s="47"/>
      <c r="O164" s="94">
        <f>T164*N164</f>
        <v>0</v>
      </c>
      <c r="P164" s="47" t="s">
        <v>754</v>
      </c>
      <c r="Q164" s="47"/>
      <c r="R164" s="95">
        <f>IF(OR(P164="c",P164="C"),+T164,"")</f>
        <v>0</v>
      </c>
      <c r="S164" s="95" t="str">
        <f>IF(OR(P164="$",N164=1),+T164,"")</f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790</v>
      </c>
    </row>
    <row r="165" spans="1:22" x14ac:dyDescent="0.25">
      <c r="A165" s="46">
        <f t="shared" si="3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>T165*N165</f>
        <v>0</v>
      </c>
      <c r="P165" s="47" t="s">
        <v>754</v>
      </c>
      <c r="Q165" s="47"/>
      <c r="R165" s="95">
        <f>IF(OR(P165="c",P165="C"),+T165,"")</f>
        <v>0</v>
      </c>
      <c r="S165" s="95" t="str">
        <f>IF(OR(P165="$",N165=1),+T165,"")</f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3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>T166*N166</f>
        <v>0</v>
      </c>
      <c r="P166" s="47" t="s">
        <v>754</v>
      </c>
      <c r="Q166" s="47"/>
      <c r="R166" s="95">
        <f>IF(OR(P166="c",P166="C"),+T166,"")</f>
        <v>0</v>
      </c>
      <c r="S166" s="95" t="str">
        <f>IF(OR(P166="$",N166=1),+T166,"")</f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3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>T167*N167</f>
        <v>0</v>
      </c>
      <c r="P167" s="47" t="s">
        <v>754</v>
      </c>
      <c r="Q167" s="47"/>
      <c r="R167" s="95">
        <f>IF(OR(P167="c",P167="C"),+T167,"")</f>
        <v>0</v>
      </c>
      <c r="S167" s="95" t="str">
        <f>IF(OR(P167="$",N167=1),+T167,"")</f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3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>T168*N168</f>
        <v>0</v>
      </c>
      <c r="P168" s="47" t="s">
        <v>754</v>
      </c>
      <c r="Q168" s="47"/>
      <c r="R168" s="95">
        <f>IF(OR(P168="c",P168="C"),+T168,"")</f>
        <v>0</v>
      </c>
      <c r="S168" s="95" t="str">
        <f>IF(OR(P168="$",N168=1),+T168,"")</f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3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>T169*N169</f>
        <v>0</v>
      </c>
      <c r="P169" s="47" t="s">
        <v>754</v>
      </c>
      <c r="Q169" s="47"/>
      <c r="R169" s="95">
        <f>IF(OR(P169="c",P169="C"),+T169,"")</f>
        <v>0</v>
      </c>
      <c r="S169" s="95" t="str">
        <f>IF(OR(P169="$",N169=1),+T169,"")</f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791</v>
      </c>
    </row>
    <row r="170" spans="1:22" x14ac:dyDescent="0.25">
      <c r="A170" s="46">
        <f t="shared" si="3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>T170*N170</f>
        <v>0</v>
      </c>
      <c r="P170" s="47" t="s">
        <v>754</v>
      </c>
      <c r="Q170" s="47"/>
      <c r="R170" s="95">
        <f>IF(OR(P170="c",P170="C"),+T170,"")</f>
        <v>0</v>
      </c>
      <c r="S170" s="95" t="str">
        <f>IF(OR(P170="$",N170=1),+T170,"")</f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792</v>
      </c>
    </row>
    <row r="171" spans="1:22" x14ac:dyDescent="0.25">
      <c r="A171" s="46">
        <f t="shared" si="3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>T171*N171</f>
        <v>0</v>
      </c>
      <c r="P171" s="47" t="s">
        <v>754</v>
      </c>
      <c r="Q171" s="47"/>
      <c r="R171" s="95">
        <f>IF(OR(P171="c",P171="C"),+T171,"")</f>
        <v>0</v>
      </c>
      <c r="S171" s="95" t="str">
        <f>IF(OR(P171="$",N171=1),+T171,"")</f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3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>T172*N172</f>
        <v>0</v>
      </c>
      <c r="P172" s="47" t="s">
        <v>754</v>
      </c>
      <c r="Q172" s="47"/>
      <c r="R172" s="95">
        <f>IF(OR(P172="c",P172="C"),+T172,"")</f>
        <v>0</v>
      </c>
      <c r="S172" s="95" t="str">
        <f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3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>T173*N173</f>
        <v>0</v>
      </c>
      <c r="P173" s="47" t="s">
        <v>754</v>
      </c>
      <c r="Q173" s="47"/>
      <c r="R173" s="95">
        <f>IF(OR(P173="c",P173="C"),+T173,"")</f>
        <v>0</v>
      </c>
      <c r="S173" s="95" t="str">
        <f>IF(OR(P173="$",N173=1),+T173,"")</f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3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>T174*N174</f>
        <v>0</v>
      </c>
      <c r="P174" s="47" t="s">
        <v>754</v>
      </c>
      <c r="Q174" s="47"/>
      <c r="R174" s="95">
        <f>IF(OR(P174="c",P174="C"),+T174,"")</f>
        <v>0</v>
      </c>
      <c r="S174" s="95" t="str">
        <f>IF(OR(P174="$",N174=1),+T174,"")</f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3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>T175*N175</f>
        <v>0</v>
      </c>
      <c r="P175" s="47" t="s">
        <v>754</v>
      </c>
      <c r="Q175" s="47"/>
      <c r="R175" s="95">
        <f>IF(OR(P175="c",P175="C"),+T175,"")</f>
        <v>0</v>
      </c>
      <c r="S175" s="95" t="str">
        <f>IF(OR(P175="$",N175=1),+T175,"")</f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3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>T176*N176</f>
        <v>0</v>
      </c>
      <c r="P176" s="47" t="s">
        <v>754</v>
      </c>
      <c r="Q176" s="47"/>
      <c r="R176" s="95">
        <f>IF(OR(P176="c",P176="C"),+T176,"")</f>
        <v>0</v>
      </c>
      <c r="S176" s="95" t="str">
        <f>IF(OR(P176="$",N176=1),+T176,"")</f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3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>T177*N177</f>
        <v>0</v>
      </c>
      <c r="P177" s="47" t="s">
        <v>754</v>
      </c>
      <c r="Q177" s="47"/>
      <c r="R177" s="95">
        <f>IF(OR(P177="c",P177="C"),+T177,"")</f>
        <v>0</v>
      </c>
      <c r="S177" s="95" t="str">
        <f>IF(OR(P177="$",N177=1),+T177,"")</f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3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>T178*N178</f>
        <v>0</v>
      </c>
      <c r="P178" s="47" t="s">
        <v>754</v>
      </c>
      <c r="Q178" s="47"/>
      <c r="R178" s="95">
        <f>IF(OR(P178="c",P178="C"),+T178,"")</f>
        <v>0</v>
      </c>
      <c r="S178" s="95" t="str">
        <f>IF(OR(P178="$",N178=1),+T178,"")</f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3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>T179*N179</f>
        <v>0</v>
      </c>
      <c r="P179" s="47" t="s">
        <v>754</v>
      </c>
      <c r="Q179" s="47"/>
      <c r="R179" s="95">
        <f>IF(OR(P179="c",P179="C"),+T179,"")</f>
        <v>0</v>
      </c>
      <c r="S179" s="95" t="str">
        <f>IF(OR(P179="$",N179=1),+T179,"")</f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3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>T180*N180</f>
        <v>0</v>
      </c>
      <c r="P180" s="47" t="s">
        <v>754</v>
      </c>
      <c r="Q180" s="47"/>
      <c r="R180" s="95">
        <f>IF(OR(P180="c",P180="C"),+T180,"")</f>
        <v>0</v>
      </c>
      <c r="S180" s="95" t="str">
        <f>IF(OR(P180="$",N180=1),+T180,"")</f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756</v>
      </c>
    </row>
    <row r="181" spans="1:22" x14ac:dyDescent="0.25">
      <c r="A181" s="46">
        <f t="shared" si="3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>T181*N181</f>
        <v>0</v>
      </c>
      <c r="P181" s="47" t="s">
        <v>754</v>
      </c>
      <c r="Q181" s="47"/>
      <c r="R181" s="95">
        <f>IF(OR(P181="c",P181="C"),+T181,"")</f>
        <v>0</v>
      </c>
      <c r="S181" s="95" t="str">
        <f>IF(OR(P181="$",N181=1),+T181,"")</f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3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>T182*N182</f>
        <v>0</v>
      </c>
      <c r="P182" s="47" t="s">
        <v>754</v>
      </c>
      <c r="Q182" s="47"/>
      <c r="R182" s="95">
        <f>IF(OR(P182="c",P182="C"),+T182,"")</f>
        <v>0</v>
      </c>
      <c r="S182" s="95" t="str">
        <f>IF(OR(P182="$",N182=1),+T182,"")</f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3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>T183*N183</f>
        <v>0</v>
      </c>
      <c r="P183" s="47" t="s">
        <v>754</v>
      </c>
      <c r="Q183" s="47"/>
      <c r="R183" s="95">
        <f>IF(OR(P183="c",P183="C"),+T183,"")</f>
        <v>0</v>
      </c>
      <c r="S183" s="95" t="str">
        <f>IF(OR(P183="$",N183=1),+T183,"")</f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3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>T184*N184</f>
        <v>0</v>
      </c>
      <c r="P184" s="47" t="s">
        <v>754</v>
      </c>
      <c r="Q184" s="47"/>
      <c r="R184" s="95">
        <f>IF(OR(P184="c",P184="C"),+T184,"")</f>
        <v>0</v>
      </c>
      <c r="S184" s="95" t="str">
        <f>IF(OR(P184="$",N184=1),+T184,"")</f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3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>T185*N185</f>
        <v>0</v>
      </c>
      <c r="P185" s="47" t="s">
        <v>754</v>
      </c>
      <c r="Q185" s="47"/>
      <c r="R185" s="95">
        <f>IF(OR(P185="c",P185="C"),+T185,"")</f>
        <v>0</v>
      </c>
      <c r="S185" s="95" t="str">
        <f>IF(OR(P185="$",N185=1),+T185,"")</f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3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>T186*N186</f>
        <v>0</v>
      </c>
      <c r="P186" s="47" t="s">
        <v>754</v>
      </c>
      <c r="Q186" s="47"/>
      <c r="R186" s="95">
        <f>IF(OR(P186="c",P186="C"),+T186,"")</f>
        <v>0</v>
      </c>
      <c r="S186" s="95" t="str">
        <f>IF(OR(P186="$",N186=1),+T186,"")</f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3"/>
        <v>176</v>
      </c>
      <c r="B187" s="47"/>
      <c r="C187" s="14" t="s">
        <v>793</v>
      </c>
      <c r="D187" s="14" t="s">
        <v>45</v>
      </c>
      <c r="E187" s="6" t="s">
        <v>794</v>
      </c>
      <c r="F187" s="48" t="s">
        <v>795</v>
      </c>
      <c r="G187" s="12" t="s">
        <v>796</v>
      </c>
      <c r="H187" s="49"/>
      <c r="I187" s="47"/>
      <c r="J187" s="47"/>
      <c r="K187" s="47"/>
      <c r="L187" s="47"/>
      <c r="M187" s="47"/>
      <c r="N187" s="47"/>
      <c r="O187" s="94">
        <f>T187*N187</f>
        <v>0</v>
      </c>
      <c r="P187" s="47" t="s">
        <v>754</v>
      </c>
      <c r="Q187" s="47"/>
      <c r="R187" s="95">
        <f>IF(OR(P187="c",P187="C"),+T187,"")</f>
        <v>0</v>
      </c>
      <c r="S187" s="95" t="str">
        <f>IF(OR(P187="$",N187=1),+T187,"")</f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797</v>
      </c>
    </row>
    <row r="188" spans="1:22" x14ac:dyDescent="0.25">
      <c r="A188" s="46">
        <f t="shared" si="3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>T188*N188</f>
        <v>0</v>
      </c>
      <c r="P188" s="47" t="s">
        <v>754</v>
      </c>
      <c r="Q188" s="47"/>
      <c r="R188" s="95">
        <f>IF(OR(P188="c",P188="C"),+T188,"")</f>
        <v>0</v>
      </c>
      <c r="S188" s="95" t="str">
        <f>IF(OR(P188="$",N188=1),+T188,"")</f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798</v>
      </c>
    </row>
    <row r="189" spans="1:22" x14ac:dyDescent="0.25">
      <c r="A189" s="46">
        <f t="shared" si="3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>T189*N189</f>
        <v>0</v>
      </c>
      <c r="P189" s="47" t="s">
        <v>754</v>
      </c>
      <c r="Q189" s="47"/>
      <c r="R189" s="95">
        <f>IF(OR(P189="c",P189="C"),+T189,"")</f>
        <v>0</v>
      </c>
      <c r="S189" s="95" t="str">
        <f>IF(OR(P189="$",N189=1),+T189,"")</f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3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>T190*N190</f>
        <v>0</v>
      </c>
      <c r="P190" s="47" t="s">
        <v>754</v>
      </c>
      <c r="Q190" s="47"/>
      <c r="R190" s="95">
        <f>IF(OR(P190="c",P190="C"),+T190,"")</f>
        <v>0</v>
      </c>
      <c r="S190" s="95" t="str">
        <f>IF(OR(P190="$",N190=1),+T190,"")</f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3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>T191*N191</f>
        <v>0</v>
      </c>
      <c r="P191" s="47" t="s">
        <v>754</v>
      </c>
      <c r="Q191" s="47"/>
      <c r="R191" s="95">
        <f>IF(OR(P191="c",P191="C"),+T191,"")</f>
        <v>0</v>
      </c>
      <c r="S191" s="95" t="str">
        <f>IF(OR(P191="$",N191=1),+T191,"")</f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3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>T192*N192</f>
        <v>0</v>
      </c>
      <c r="P192" s="47" t="s">
        <v>754</v>
      </c>
      <c r="Q192" s="47"/>
      <c r="R192" s="95">
        <f>IF(OR(P192="c",P192="C"),+T192,"")</f>
        <v>0</v>
      </c>
      <c r="S192" s="95" t="str">
        <f>IF(OR(P192="$",N192=1),+T192,"")</f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3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>T193*N193</f>
        <v>0</v>
      </c>
      <c r="P193" s="47" t="s">
        <v>754</v>
      </c>
      <c r="Q193" s="47"/>
      <c r="R193" s="95">
        <f>IF(OR(P193="c",P193="C"),+T193,"")</f>
        <v>0</v>
      </c>
      <c r="S193" s="95" t="str">
        <f>IF(OR(P193="$",N193=1),+T193,"")</f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3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>T194*N194</f>
        <v>0</v>
      </c>
      <c r="P194" s="47" t="s">
        <v>754</v>
      </c>
      <c r="Q194" s="47"/>
      <c r="R194" s="95">
        <f>IF(OR(P194="c",P194="C"),+T194,"")</f>
        <v>0</v>
      </c>
      <c r="S194" s="95" t="str">
        <f>IF(OR(P194="$",N194=1),+T194,"")</f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3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>T195*N195</f>
        <v>0</v>
      </c>
      <c r="P195" s="47" t="s">
        <v>754</v>
      </c>
      <c r="Q195" s="47"/>
      <c r="R195" s="95">
        <f>IF(OR(P195="c",P195="C"),+T195,"")</f>
        <v>0</v>
      </c>
      <c r="S195" s="95" t="str">
        <f>IF(OR(P195="$",N195=1),+T195,"")</f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3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>T196*N196</f>
        <v>0</v>
      </c>
      <c r="P196" s="47" t="s">
        <v>754</v>
      </c>
      <c r="Q196" s="47"/>
      <c r="R196" s="95">
        <f>IF(OR(P196="c",P196="C"),+T196,"")</f>
        <v>0</v>
      </c>
      <c r="S196" s="95" t="str">
        <f>IF(OR(P196="$",N196=1),+T196,"")</f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3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>T197*N197</f>
        <v>0</v>
      </c>
      <c r="P197" s="47" t="s">
        <v>754</v>
      </c>
      <c r="Q197" s="47"/>
      <c r="R197" s="95">
        <f>IF(OR(P197="c",P197="C"),+T197,"")</f>
        <v>0</v>
      </c>
      <c r="S197" s="95" t="str">
        <f>IF(OR(P197="$",N197=1),+T197,"")</f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3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>T198*N198</f>
        <v>0</v>
      </c>
      <c r="P198" s="47" t="s">
        <v>754</v>
      </c>
      <c r="Q198" s="47"/>
      <c r="R198" s="95">
        <f>IF(OR(P198="c",P198="C"),+T198,"")</f>
        <v>0</v>
      </c>
      <c r="S198" s="95" t="str">
        <f>IF(OR(P198="$",N198=1),+T198,"")</f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3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>T199*N199</f>
        <v>0</v>
      </c>
      <c r="P199" s="47" t="s">
        <v>754</v>
      </c>
      <c r="Q199" s="47"/>
      <c r="R199" s="95">
        <f>IF(OR(P199="c",P199="C"),+T199,"")</f>
        <v>0</v>
      </c>
      <c r="S199" s="95" t="str">
        <f>IF(OR(P199="$",N199=1),+T199,"")</f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3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>T200*N200</f>
        <v>0</v>
      </c>
      <c r="P200" s="47" t="s">
        <v>754</v>
      </c>
      <c r="Q200" s="47"/>
      <c r="R200" s="95">
        <f>IF(OR(P200="c",P200="C"),+T200,"")</f>
        <v>0</v>
      </c>
      <c r="S200" s="95" t="str">
        <f>IF(OR(P200="$",N200=1),+T200,"")</f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3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>T201*N201</f>
        <v>0</v>
      </c>
      <c r="P201" s="47" t="s">
        <v>754</v>
      </c>
      <c r="Q201" s="47"/>
      <c r="R201" s="95">
        <f>IF(OR(P201="c",P201="C"),+T201,"")</f>
        <v>0</v>
      </c>
      <c r="S201" s="95" t="str">
        <f>IF(OR(P201="$",N201=1),+T201,"")</f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3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>T202*N202</f>
        <v>0</v>
      </c>
      <c r="P202" s="47" t="s">
        <v>754</v>
      </c>
      <c r="Q202" s="47"/>
      <c r="R202" s="95">
        <f>IF(OR(P202="c",P202="C"),+T202,"")</f>
        <v>0</v>
      </c>
      <c r="S202" s="95" t="str">
        <f>IF(OR(P202="$",N202=1),+T202,"")</f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3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>T203*N203</f>
        <v>0</v>
      </c>
      <c r="P203" s="47" t="s">
        <v>754</v>
      </c>
      <c r="Q203" s="47"/>
      <c r="R203" s="95">
        <f>IF(OR(P203="c",P203="C"),+T203,"")</f>
        <v>0</v>
      </c>
      <c r="S203" s="95" t="str">
        <f>IF(OR(P203="$",N203=1),+T203,"")</f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4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>T204*N204</f>
        <v>0</v>
      </c>
      <c r="P204" s="47" t="s">
        <v>754</v>
      </c>
      <c r="Q204" s="47"/>
      <c r="R204" s="95">
        <f>IF(OR(P204="c",P204="C"),+T204,"")</f>
        <v>0</v>
      </c>
      <c r="S204" s="95" t="str">
        <f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4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>T205*N205</f>
        <v>0</v>
      </c>
      <c r="P205" s="47" t="s">
        <v>754</v>
      </c>
      <c r="Q205" s="47"/>
      <c r="R205" s="95">
        <f>IF(OR(P205="c",P205="C"),+T205,"")</f>
        <v>0</v>
      </c>
      <c r="S205" s="95" t="str">
        <f>IF(OR(P205="$",N205=1),+T205,"")</f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4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>T206*N206</f>
        <v>0</v>
      </c>
      <c r="P206" s="47" t="s">
        <v>754</v>
      </c>
      <c r="Q206" s="47"/>
      <c r="R206" s="95">
        <f>IF(OR(P206="c",P206="C"),+T206,"")</f>
        <v>0</v>
      </c>
      <c r="S206" s="95" t="str">
        <f>IF(OR(P206="$",N206=1),+T206,"")</f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4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>T207*N207</f>
        <v>0</v>
      </c>
      <c r="P207" s="47" t="s">
        <v>754</v>
      </c>
      <c r="Q207" s="47"/>
      <c r="R207" s="95">
        <f>IF(OR(P207="c",P207="C"),+T207,"")</f>
        <v>0</v>
      </c>
      <c r="S207" s="95" t="str">
        <f>IF(OR(P207="$",N207=1),+T207,"")</f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4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>T208*N208</f>
        <v>0</v>
      </c>
      <c r="P208" s="47" t="s">
        <v>754</v>
      </c>
      <c r="Q208" s="47"/>
      <c r="R208" s="95">
        <f>IF(OR(P208="c",P208="C"),+T208,"")</f>
        <v>0</v>
      </c>
      <c r="S208" s="95" t="str">
        <f>IF(OR(P208="$",N208=1),+T208,"")</f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4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>T209*N209</f>
        <v>0</v>
      </c>
      <c r="P209" s="47" t="s">
        <v>754</v>
      </c>
      <c r="Q209" s="47"/>
      <c r="R209" s="95">
        <f>IF(OR(P209="c",P209="C"),+T209,"")</f>
        <v>0</v>
      </c>
      <c r="S209" s="95" t="str">
        <f>IF(OR(P209="$",N209=1),+T209,"")</f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4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>T210*N210</f>
        <v>0</v>
      </c>
      <c r="P210" s="47" t="s">
        <v>754</v>
      </c>
      <c r="Q210" s="47"/>
      <c r="R210" s="95">
        <f>IF(OR(P210="c",P210="C"),+T210,"")</f>
        <v>0</v>
      </c>
      <c r="S210" s="95" t="str">
        <f>IF(OR(P210="$",N210=1),+T210,"")</f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4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5">T211*N211</f>
        <v>0</v>
      </c>
      <c r="P211" s="47"/>
      <c r="Q211" s="47"/>
      <c r="R211" s="95" t="str">
        <f t="shared" ref="R211:R220" si="6">IF(OR(P211="c",P211="C"),+T211,"")</f>
        <v/>
      </c>
      <c r="S211" s="95" t="str">
        <f t="shared" ref="S211:S220" si="7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4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5"/>
        <v>0</v>
      </c>
      <c r="P212" s="47"/>
      <c r="Q212" s="47"/>
      <c r="R212" s="95" t="str">
        <f t="shared" si="6"/>
        <v/>
      </c>
      <c r="S212" s="95" t="str">
        <f t="shared" si="7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4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5"/>
        <v>0</v>
      </c>
      <c r="P213" s="47"/>
      <c r="Q213" s="47"/>
      <c r="R213" s="95" t="str">
        <f t="shared" si="6"/>
        <v/>
      </c>
      <c r="S213" s="95" t="str">
        <f t="shared" si="7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4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5"/>
        <v>0</v>
      </c>
      <c r="P214" s="47"/>
      <c r="Q214" s="47"/>
      <c r="R214" s="95" t="str">
        <f t="shared" si="6"/>
        <v/>
      </c>
      <c r="S214" s="95" t="str">
        <f t="shared" si="7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4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5"/>
        <v>0</v>
      </c>
      <c r="P215" s="47"/>
      <c r="Q215" s="47"/>
      <c r="R215" s="95" t="str">
        <f t="shared" si="6"/>
        <v/>
      </c>
      <c r="S215" s="95" t="str">
        <f t="shared" si="7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4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5"/>
        <v>0</v>
      </c>
      <c r="P216" s="47"/>
      <c r="Q216" s="47"/>
      <c r="R216" s="95" t="str">
        <f t="shared" si="6"/>
        <v/>
      </c>
      <c r="S216" s="95" t="str">
        <f t="shared" si="7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4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5"/>
        <v>0</v>
      </c>
      <c r="P217" s="47"/>
      <c r="Q217" s="47"/>
      <c r="R217" s="95" t="str">
        <f t="shared" si="6"/>
        <v/>
      </c>
      <c r="S217" s="95" t="str">
        <f t="shared" si="7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4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5"/>
        <v>0</v>
      </c>
      <c r="P218" s="47"/>
      <c r="Q218" s="47"/>
      <c r="R218" s="95" t="str">
        <f t="shared" si="6"/>
        <v/>
      </c>
      <c r="S218" s="95" t="str">
        <f t="shared" si="7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4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5"/>
        <v>0</v>
      </c>
      <c r="P219" s="47"/>
      <c r="Q219" s="47"/>
      <c r="R219" s="95" t="str">
        <f t="shared" si="6"/>
        <v/>
      </c>
      <c r="S219" s="95" t="str">
        <f t="shared" si="7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4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5"/>
        <v>0</v>
      </c>
      <c r="P220" s="47"/>
      <c r="Q220" s="47"/>
      <c r="R220" s="95" t="str">
        <f t="shared" si="6"/>
        <v/>
      </c>
      <c r="S220" s="95" t="str">
        <f t="shared" si="7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4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8">T221*N221</f>
        <v>0</v>
      </c>
      <c r="P221" s="50"/>
      <c r="Q221" s="50"/>
      <c r="R221" s="95" t="str">
        <f t="shared" ref="R221:R267" si="9">IF(OR(P221="c",P221="C"),+T221,"")</f>
        <v/>
      </c>
      <c r="S221" s="95" t="str">
        <f t="shared" ref="S221:S267" si="10">IF(OR(P221="$",N221=1),+T221,"")</f>
        <v/>
      </c>
      <c r="T221" s="96">
        <f t="shared" ref="T221:T267" si="11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4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8"/>
        <v>0</v>
      </c>
      <c r="P222" s="50"/>
      <c r="Q222" s="50"/>
      <c r="R222" s="95" t="str">
        <f t="shared" si="9"/>
        <v/>
      </c>
      <c r="S222" s="95" t="str">
        <f t="shared" si="10"/>
        <v/>
      </c>
      <c r="T222" s="96">
        <f t="shared" si="11"/>
        <v>0</v>
      </c>
      <c r="U222" s="51"/>
    </row>
    <row r="223" spans="1:22" x14ac:dyDescent="0.25">
      <c r="A223" s="46">
        <f t="shared" si="4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8"/>
        <v>0</v>
      </c>
      <c r="P223" s="50"/>
      <c r="Q223" s="50"/>
      <c r="R223" s="95" t="str">
        <f t="shared" si="9"/>
        <v/>
      </c>
      <c r="S223" s="95" t="str">
        <f t="shared" si="10"/>
        <v/>
      </c>
      <c r="T223" s="96">
        <f t="shared" si="11"/>
        <v>0</v>
      </c>
      <c r="U223" s="51"/>
    </row>
    <row r="224" spans="1:22" x14ac:dyDescent="0.25">
      <c r="A224" s="46">
        <f t="shared" si="4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8"/>
        <v>0</v>
      </c>
      <c r="P224" s="50"/>
      <c r="Q224" s="50"/>
      <c r="R224" s="95" t="str">
        <f t="shared" si="9"/>
        <v/>
      </c>
      <c r="S224" s="95" t="str">
        <f t="shared" si="10"/>
        <v/>
      </c>
      <c r="T224" s="96">
        <f t="shared" si="11"/>
        <v>0</v>
      </c>
      <c r="U224" s="51"/>
    </row>
    <row r="225" spans="1:21" x14ac:dyDescent="0.25">
      <c r="A225" s="46">
        <f t="shared" si="4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8"/>
        <v>0</v>
      </c>
      <c r="P225" s="50"/>
      <c r="Q225" s="50"/>
      <c r="R225" s="95" t="str">
        <f t="shared" si="9"/>
        <v/>
      </c>
      <c r="S225" s="95" t="str">
        <f t="shared" si="10"/>
        <v/>
      </c>
      <c r="T225" s="96">
        <f t="shared" si="11"/>
        <v>0</v>
      </c>
      <c r="U225" s="51"/>
    </row>
    <row r="226" spans="1:21" x14ac:dyDescent="0.25">
      <c r="A226" s="46">
        <f t="shared" si="4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8"/>
        <v>0</v>
      </c>
      <c r="P226" s="50"/>
      <c r="Q226" s="50"/>
      <c r="R226" s="95" t="str">
        <f t="shared" si="9"/>
        <v/>
      </c>
      <c r="S226" s="95" t="str">
        <f t="shared" si="10"/>
        <v/>
      </c>
      <c r="T226" s="96">
        <f t="shared" si="11"/>
        <v>0</v>
      </c>
      <c r="U226" s="51"/>
    </row>
    <row r="227" spans="1:21" x14ac:dyDescent="0.25">
      <c r="A227" s="46">
        <f t="shared" si="4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8"/>
        <v>0</v>
      </c>
      <c r="P227" s="50"/>
      <c r="Q227" s="50"/>
      <c r="R227" s="95" t="str">
        <f t="shared" si="9"/>
        <v/>
      </c>
      <c r="S227" s="95" t="str">
        <f t="shared" si="10"/>
        <v/>
      </c>
      <c r="T227" s="96">
        <f t="shared" si="11"/>
        <v>0</v>
      </c>
      <c r="U227" s="51"/>
    </row>
    <row r="228" spans="1:21" x14ac:dyDescent="0.25">
      <c r="A228" s="46">
        <f t="shared" si="4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8"/>
        <v>0</v>
      </c>
      <c r="P228" s="50"/>
      <c r="Q228" s="50"/>
      <c r="R228" s="95" t="str">
        <f t="shared" si="9"/>
        <v/>
      </c>
      <c r="S228" s="95" t="str">
        <f t="shared" si="10"/>
        <v/>
      </c>
      <c r="T228" s="96">
        <f t="shared" si="11"/>
        <v>0</v>
      </c>
      <c r="U228" s="51"/>
    </row>
    <row r="229" spans="1:21" x14ac:dyDescent="0.25">
      <c r="A229" s="46">
        <f t="shared" si="4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8"/>
        <v>0</v>
      </c>
      <c r="P229" s="50"/>
      <c r="Q229" s="50"/>
      <c r="R229" s="95" t="str">
        <f t="shared" si="9"/>
        <v/>
      </c>
      <c r="S229" s="95" t="str">
        <f t="shared" si="10"/>
        <v/>
      </c>
      <c r="T229" s="96">
        <f t="shared" si="11"/>
        <v>0</v>
      </c>
      <c r="U229" s="51"/>
    </row>
    <row r="230" spans="1:21" x14ac:dyDescent="0.25">
      <c r="A230" s="46">
        <f t="shared" si="4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8"/>
        <v>0</v>
      </c>
      <c r="P230" s="50"/>
      <c r="Q230" s="50"/>
      <c r="R230" s="95" t="str">
        <f t="shared" si="9"/>
        <v/>
      </c>
      <c r="S230" s="95" t="str">
        <f t="shared" si="10"/>
        <v/>
      </c>
      <c r="T230" s="96">
        <f t="shared" si="11"/>
        <v>0</v>
      </c>
      <c r="U230" s="51"/>
    </row>
    <row r="231" spans="1:21" x14ac:dyDescent="0.25">
      <c r="A231" s="46">
        <f t="shared" si="4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8"/>
        <v>0</v>
      </c>
      <c r="P231" s="50"/>
      <c r="Q231" s="50"/>
      <c r="R231" s="95" t="str">
        <f t="shared" si="9"/>
        <v/>
      </c>
      <c r="S231" s="95" t="str">
        <f t="shared" si="10"/>
        <v/>
      </c>
      <c r="T231" s="96">
        <f t="shared" si="11"/>
        <v>0</v>
      </c>
      <c r="U231" s="51"/>
    </row>
    <row r="232" spans="1:21" x14ac:dyDescent="0.25">
      <c r="A232" s="46">
        <f t="shared" si="4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8"/>
        <v>0</v>
      </c>
      <c r="P232" s="50"/>
      <c r="Q232" s="50"/>
      <c r="R232" s="95" t="str">
        <f t="shared" si="9"/>
        <v/>
      </c>
      <c r="S232" s="95" t="str">
        <f t="shared" si="10"/>
        <v/>
      </c>
      <c r="T232" s="96">
        <f t="shared" si="11"/>
        <v>0</v>
      </c>
      <c r="U232" s="51"/>
    </row>
    <row r="233" spans="1:21" x14ac:dyDescent="0.25">
      <c r="A233" s="46">
        <f t="shared" si="4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8"/>
        <v>0</v>
      </c>
      <c r="P233" s="50"/>
      <c r="Q233" s="50"/>
      <c r="R233" s="95" t="str">
        <f t="shared" si="9"/>
        <v/>
      </c>
      <c r="S233" s="95" t="str">
        <f t="shared" si="10"/>
        <v/>
      </c>
      <c r="T233" s="96">
        <f t="shared" si="11"/>
        <v>0</v>
      </c>
      <c r="U233" s="51"/>
    </row>
    <row r="234" spans="1:21" x14ac:dyDescent="0.25">
      <c r="A234" s="46">
        <f t="shared" si="4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8"/>
        <v>0</v>
      </c>
      <c r="P234" s="50"/>
      <c r="Q234" s="50"/>
      <c r="R234" s="95" t="str">
        <f t="shared" si="9"/>
        <v/>
      </c>
      <c r="S234" s="95" t="str">
        <f t="shared" si="10"/>
        <v/>
      </c>
      <c r="T234" s="96">
        <f t="shared" si="11"/>
        <v>0</v>
      </c>
      <c r="U234" s="51"/>
    </row>
    <row r="235" spans="1:21" x14ac:dyDescent="0.25">
      <c r="A235" s="46">
        <f t="shared" si="4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8"/>
        <v>0</v>
      </c>
      <c r="P235" s="50"/>
      <c r="Q235" s="50"/>
      <c r="R235" s="95" t="str">
        <f t="shared" si="9"/>
        <v/>
      </c>
      <c r="S235" s="95" t="str">
        <f t="shared" si="10"/>
        <v/>
      </c>
      <c r="T235" s="96">
        <f t="shared" si="11"/>
        <v>0</v>
      </c>
      <c r="U235" s="51"/>
    </row>
    <row r="236" spans="1:21" x14ac:dyDescent="0.25">
      <c r="A236" s="46">
        <f t="shared" si="4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8"/>
        <v>0</v>
      </c>
      <c r="P236" s="50"/>
      <c r="Q236" s="50"/>
      <c r="R236" s="95" t="str">
        <f t="shared" si="9"/>
        <v/>
      </c>
      <c r="S236" s="95" t="str">
        <f t="shared" si="10"/>
        <v/>
      </c>
      <c r="T236" s="96">
        <f t="shared" si="11"/>
        <v>0</v>
      </c>
      <c r="U236" s="51"/>
    </row>
    <row r="237" spans="1:21" x14ac:dyDescent="0.25">
      <c r="A237" s="46">
        <f t="shared" si="4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8"/>
        <v>0</v>
      </c>
      <c r="P237" s="50"/>
      <c r="Q237" s="50"/>
      <c r="R237" s="95" t="str">
        <f t="shared" si="9"/>
        <v/>
      </c>
      <c r="S237" s="95" t="str">
        <f t="shared" si="10"/>
        <v/>
      </c>
      <c r="T237" s="96">
        <f t="shared" si="11"/>
        <v>0</v>
      </c>
      <c r="U237" s="51"/>
    </row>
    <row r="238" spans="1:21" x14ac:dyDescent="0.25">
      <c r="A238" s="46">
        <f t="shared" si="4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8"/>
        <v>0</v>
      </c>
      <c r="P238" s="50"/>
      <c r="Q238" s="50"/>
      <c r="R238" s="95" t="str">
        <f t="shared" si="9"/>
        <v/>
      </c>
      <c r="S238" s="95" t="str">
        <f t="shared" si="10"/>
        <v/>
      </c>
      <c r="T238" s="96">
        <f t="shared" si="11"/>
        <v>0</v>
      </c>
      <c r="U238" s="51"/>
    </row>
    <row r="239" spans="1:21" x14ac:dyDescent="0.25">
      <c r="A239" s="46">
        <f t="shared" si="4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8"/>
        <v>0</v>
      </c>
      <c r="P239" s="50"/>
      <c r="Q239" s="50"/>
      <c r="R239" s="95" t="str">
        <f t="shared" si="9"/>
        <v/>
      </c>
      <c r="S239" s="95" t="str">
        <f t="shared" si="10"/>
        <v/>
      </c>
      <c r="T239" s="96">
        <f t="shared" si="11"/>
        <v>0</v>
      </c>
      <c r="U239" s="51"/>
    </row>
    <row r="240" spans="1:21" x14ac:dyDescent="0.25">
      <c r="A240" s="46">
        <f t="shared" si="4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8"/>
        <v>0</v>
      </c>
      <c r="P240" s="50"/>
      <c r="Q240" s="50"/>
      <c r="R240" s="95" t="str">
        <f t="shared" si="9"/>
        <v/>
      </c>
      <c r="S240" s="95" t="str">
        <f t="shared" si="10"/>
        <v/>
      </c>
      <c r="T240" s="96">
        <f t="shared" si="11"/>
        <v>0</v>
      </c>
      <c r="U240" s="51"/>
    </row>
    <row r="241" spans="1:21" x14ac:dyDescent="0.25">
      <c r="A241" s="46">
        <f t="shared" si="4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8"/>
        <v>0</v>
      </c>
      <c r="P241" s="50"/>
      <c r="Q241" s="50"/>
      <c r="R241" s="95" t="str">
        <f t="shared" si="9"/>
        <v/>
      </c>
      <c r="S241" s="95" t="str">
        <f t="shared" si="10"/>
        <v/>
      </c>
      <c r="T241" s="96">
        <f t="shared" si="11"/>
        <v>0</v>
      </c>
      <c r="U241" s="51"/>
    </row>
    <row r="242" spans="1:21" x14ac:dyDescent="0.25">
      <c r="A242" s="46">
        <f t="shared" si="4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8"/>
        <v>0</v>
      </c>
      <c r="P242" s="50"/>
      <c r="Q242" s="50"/>
      <c r="R242" s="95" t="str">
        <f t="shared" si="9"/>
        <v/>
      </c>
      <c r="S242" s="95" t="str">
        <f t="shared" si="10"/>
        <v/>
      </c>
      <c r="T242" s="96">
        <f t="shared" si="11"/>
        <v>0</v>
      </c>
      <c r="U242" s="51"/>
    </row>
    <row r="243" spans="1:21" x14ac:dyDescent="0.25">
      <c r="A243" s="46">
        <f t="shared" si="4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8"/>
        <v>0</v>
      </c>
      <c r="P243" s="50"/>
      <c r="Q243" s="50"/>
      <c r="R243" s="95" t="str">
        <f t="shared" si="9"/>
        <v/>
      </c>
      <c r="S243" s="95" t="str">
        <f t="shared" si="10"/>
        <v/>
      </c>
      <c r="T243" s="96">
        <f t="shared" si="11"/>
        <v>0</v>
      </c>
      <c r="U243" s="51"/>
    </row>
    <row r="244" spans="1:21" x14ac:dyDescent="0.25">
      <c r="A244" s="46">
        <f t="shared" si="4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8"/>
        <v>0</v>
      </c>
      <c r="P244" s="50"/>
      <c r="Q244" s="50"/>
      <c r="R244" s="95" t="str">
        <f t="shared" si="9"/>
        <v/>
      </c>
      <c r="S244" s="95" t="str">
        <f t="shared" si="10"/>
        <v/>
      </c>
      <c r="T244" s="96">
        <f t="shared" si="11"/>
        <v>0</v>
      </c>
      <c r="U244" s="51"/>
    </row>
    <row r="245" spans="1:21" x14ac:dyDescent="0.25">
      <c r="A245" s="46">
        <f t="shared" si="4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8"/>
        <v>0</v>
      </c>
      <c r="P245" s="50"/>
      <c r="Q245" s="50"/>
      <c r="R245" s="95" t="str">
        <f t="shared" si="9"/>
        <v/>
      </c>
      <c r="S245" s="95" t="str">
        <f t="shared" si="10"/>
        <v/>
      </c>
      <c r="T245" s="96">
        <f t="shared" si="11"/>
        <v>0</v>
      </c>
      <c r="U245" s="51"/>
    </row>
    <row r="246" spans="1:21" x14ac:dyDescent="0.25">
      <c r="A246" s="46">
        <f t="shared" si="4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8"/>
        <v>0</v>
      </c>
      <c r="P246" s="50"/>
      <c r="Q246" s="50"/>
      <c r="R246" s="95" t="str">
        <f t="shared" si="9"/>
        <v/>
      </c>
      <c r="S246" s="95" t="str">
        <f t="shared" si="10"/>
        <v/>
      </c>
      <c r="T246" s="96">
        <f t="shared" si="11"/>
        <v>0</v>
      </c>
      <c r="U246" s="51"/>
    </row>
    <row r="247" spans="1:21" x14ac:dyDescent="0.25">
      <c r="A247" s="46">
        <f t="shared" si="4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8"/>
        <v>0</v>
      </c>
      <c r="P247" s="50"/>
      <c r="Q247" s="50"/>
      <c r="R247" s="95" t="str">
        <f t="shared" si="9"/>
        <v/>
      </c>
      <c r="S247" s="95" t="str">
        <f t="shared" si="10"/>
        <v/>
      </c>
      <c r="T247" s="96">
        <f t="shared" si="11"/>
        <v>0</v>
      </c>
      <c r="U247" s="51"/>
    </row>
    <row r="248" spans="1:21" x14ac:dyDescent="0.25">
      <c r="A248" s="46">
        <f t="shared" si="4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8"/>
        <v>0</v>
      </c>
      <c r="P248" s="50"/>
      <c r="Q248" s="50"/>
      <c r="R248" s="95" t="str">
        <f t="shared" si="9"/>
        <v/>
      </c>
      <c r="S248" s="95" t="str">
        <f t="shared" si="10"/>
        <v/>
      </c>
      <c r="T248" s="96">
        <f t="shared" si="11"/>
        <v>0</v>
      </c>
      <c r="U248" s="51"/>
    </row>
    <row r="249" spans="1:21" x14ac:dyDescent="0.25">
      <c r="A249" s="46">
        <f t="shared" si="4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8"/>
        <v>0</v>
      </c>
      <c r="P249" s="50"/>
      <c r="Q249" s="50"/>
      <c r="R249" s="95" t="str">
        <f t="shared" si="9"/>
        <v/>
      </c>
      <c r="S249" s="95" t="str">
        <f t="shared" si="10"/>
        <v/>
      </c>
      <c r="T249" s="96">
        <f t="shared" si="11"/>
        <v>0</v>
      </c>
      <c r="U249" s="51"/>
    </row>
    <row r="250" spans="1:21" x14ac:dyDescent="0.25">
      <c r="A250" s="46">
        <f t="shared" si="4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8"/>
        <v>0</v>
      </c>
      <c r="P250" s="50"/>
      <c r="Q250" s="50"/>
      <c r="R250" s="95" t="str">
        <f t="shared" si="9"/>
        <v/>
      </c>
      <c r="S250" s="95" t="str">
        <f t="shared" si="10"/>
        <v/>
      </c>
      <c r="T250" s="96">
        <f t="shared" si="11"/>
        <v>0</v>
      </c>
      <c r="U250" s="51"/>
    </row>
    <row r="251" spans="1:21" x14ac:dyDescent="0.25">
      <c r="A251" s="46">
        <f t="shared" si="4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8"/>
        <v>0</v>
      </c>
      <c r="P251" s="50"/>
      <c r="Q251" s="50"/>
      <c r="R251" s="95" t="str">
        <f t="shared" si="9"/>
        <v/>
      </c>
      <c r="S251" s="95" t="str">
        <f t="shared" si="10"/>
        <v/>
      </c>
      <c r="T251" s="96">
        <f t="shared" si="11"/>
        <v>0</v>
      </c>
      <c r="U251" s="51"/>
    </row>
    <row r="252" spans="1:21" x14ac:dyDescent="0.25">
      <c r="A252" s="46">
        <f t="shared" si="4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8"/>
        <v>0</v>
      </c>
      <c r="P252" s="50"/>
      <c r="Q252" s="50"/>
      <c r="R252" s="95" t="str">
        <f t="shared" si="9"/>
        <v/>
      </c>
      <c r="S252" s="95" t="str">
        <f t="shared" si="10"/>
        <v/>
      </c>
      <c r="T252" s="96">
        <f t="shared" si="11"/>
        <v>0</v>
      </c>
      <c r="U252" s="51"/>
    </row>
    <row r="253" spans="1:21" x14ac:dyDescent="0.25">
      <c r="A253" s="46">
        <f t="shared" si="4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8"/>
        <v>0</v>
      </c>
      <c r="P253" s="50"/>
      <c r="Q253" s="50"/>
      <c r="R253" s="95" t="str">
        <f t="shared" si="9"/>
        <v/>
      </c>
      <c r="S253" s="95" t="str">
        <f t="shared" si="10"/>
        <v/>
      </c>
      <c r="T253" s="96">
        <f t="shared" si="11"/>
        <v>0</v>
      </c>
      <c r="U253" s="51"/>
    </row>
    <row r="254" spans="1:21" x14ac:dyDescent="0.25">
      <c r="A254" s="46">
        <f t="shared" si="4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8"/>
        <v>0</v>
      </c>
      <c r="P254" s="50"/>
      <c r="Q254" s="50"/>
      <c r="R254" s="95" t="str">
        <f t="shared" si="9"/>
        <v/>
      </c>
      <c r="S254" s="95" t="str">
        <f t="shared" si="10"/>
        <v/>
      </c>
      <c r="T254" s="96">
        <f t="shared" si="11"/>
        <v>0</v>
      </c>
      <c r="U254" s="51"/>
    </row>
    <row r="255" spans="1:21" x14ac:dyDescent="0.25">
      <c r="A255" s="46">
        <f t="shared" si="4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8"/>
        <v>0</v>
      </c>
      <c r="P255" s="50"/>
      <c r="Q255" s="50"/>
      <c r="R255" s="95" t="str">
        <f t="shared" si="9"/>
        <v/>
      </c>
      <c r="S255" s="95" t="str">
        <f t="shared" si="10"/>
        <v/>
      </c>
      <c r="T255" s="96">
        <f t="shared" si="11"/>
        <v>0</v>
      </c>
      <c r="U255" s="51"/>
    </row>
    <row r="256" spans="1:21" x14ac:dyDescent="0.25">
      <c r="A256" s="46">
        <f t="shared" si="4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8"/>
        <v>0</v>
      </c>
      <c r="P256" s="50"/>
      <c r="Q256" s="50"/>
      <c r="R256" s="95" t="str">
        <f t="shared" si="9"/>
        <v/>
      </c>
      <c r="S256" s="95" t="str">
        <f t="shared" si="10"/>
        <v/>
      </c>
      <c r="T256" s="96">
        <f t="shared" si="11"/>
        <v>0</v>
      </c>
      <c r="U256" s="51"/>
    </row>
    <row r="257" spans="1:21" x14ac:dyDescent="0.25">
      <c r="A257" s="46">
        <f t="shared" si="4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8"/>
        <v>0</v>
      </c>
      <c r="P257" s="50"/>
      <c r="Q257" s="50"/>
      <c r="R257" s="95" t="str">
        <f t="shared" si="9"/>
        <v/>
      </c>
      <c r="S257" s="95" t="str">
        <f t="shared" si="10"/>
        <v/>
      </c>
      <c r="T257" s="96">
        <f t="shared" si="11"/>
        <v>0</v>
      </c>
      <c r="U257" s="51"/>
    </row>
    <row r="258" spans="1:21" x14ac:dyDescent="0.25">
      <c r="A258" s="46">
        <f t="shared" si="4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8"/>
        <v>0</v>
      </c>
      <c r="P258" s="50"/>
      <c r="Q258" s="50"/>
      <c r="R258" s="95" t="str">
        <f t="shared" si="9"/>
        <v/>
      </c>
      <c r="S258" s="95" t="str">
        <f t="shared" si="10"/>
        <v/>
      </c>
      <c r="T258" s="96">
        <f t="shared" si="11"/>
        <v>0</v>
      </c>
      <c r="U258" s="51"/>
    </row>
    <row r="259" spans="1:21" x14ac:dyDescent="0.25">
      <c r="A259" s="46">
        <f t="shared" si="4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8"/>
        <v>0</v>
      </c>
      <c r="P259" s="50"/>
      <c r="Q259" s="50"/>
      <c r="R259" s="95" t="str">
        <f t="shared" si="9"/>
        <v/>
      </c>
      <c r="S259" s="95" t="str">
        <f t="shared" si="10"/>
        <v/>
      </c>
      <c r="T259" s="96">
        <f t="shared" si="11"/>
        <v>0</v>
      </c>
      <c r="U259" s="51"/>
    </row>
    <row r="260" spans="1:21" x14ac:dyDescent="0.25">
      <c r="A260" s="46">
        <f t="shared" si="4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8"/>
        <v>0</v>
      </c>
      <c r="P260" s="50"/>
      <c r="Q260" s="50"/>
      <c r="R260" s="95" t="str">
        <f t="shared" si="9"/>
        <v/>
      </c>
      <c r="S260" s="95" t="str">
        <f t="shared" si="10"/>
        <v/>
      </c>
      <c r="T260" s="96">
        <f t="shared" si="11"/>
        <v>0</v>
      </c>
      <c r="U260" s="51"/>
    </row>
    <row r="261" spans="1:21" x14ac:dyDescent="0.25">
      <c r="A261" s="46">
        <f t="shared" si="4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8"/>
        <v>0</v>
      </c>
      <c r="P261" s="50"/>
      <c r="Q261" s="50"/>
      <c r="R261" s="95" t="str">
        <f t="shared" si="9"/>
        <v/>
      </c>
      <c r="S261" s="95" t="str">
        <f t="shared" si="10"/>
        <v/>
      </c>
      <c r="T261" s="96">
        <f t="shared" si="11"/>
        <v>0</v>
      </c>
      <c r="U261" s="51"/>
    </row>
    <row r="262" spans="1:21" x14ac:dyDescent="0.25">
      <c r="A262" s="46">
        <f t="shared" si="4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8"/>
        <v>0</v>
      </c>
      <c r="P262" s="50"/>
      <c r="Q262" s="50"/>
      <c r="R262" s="95" t="str">
        <f t="shared" si="9"/>
        <v/>
      </c>
      <c r="S262" s="95" t="str">
        <f t="shared" si="10"/>
        <v/>
      </c>
      <c r="T262" s="96">
        <f t="shared" si="11"/>
        <v>0</v>
      </c>
      <c r="U262" s="51"/>
    </row>
    <row r="263" spans="1:21" x14ac:dyDescent="0.25">
      <c r="A263" s="46">
        <f t="shared" si="4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8"/>
        <v>0</v>
      </c>
      <c r="P263" s="50"/>
      <c r="Q263" s="50"/>
      <c r="R263" s="95" t="str">
        <f t="shared" si="9"/>
        <v/>
      </c>
      <c r="S263" s="95" t="str">
        <f t="shared" si="10"/>
        <v/>
      </c>
      <c r="T263" s="96">
        <f t="shared" si="11"/>
        <v>0</v>
      </c>
      <c r="U263" s="51"/>
    </row>
    <row r="264" spans="1:21" x14ac:dyDescent="0.25">
      <c r="A264" s="46">
        <f t="shared" si="4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8"/>
        <v>0</v>
      </c>
      <c r="P264" s="50"/>
      <c r="Q264" s="50"/>
      <c r="R264" s="95" t="str">
        <f t="shared" si="9"/>
        <v/>
      </c>
      <c r="S264" s="95" t="str">
        <f t="shared" si="10"/>
        <v/>
      </c>
      <c r="T264" s="96">
        <f t="shared" si="11"/>
        <v>0</v>
      </c>
      <c r="U264" s="51"/>
    </row>
    <row r="265" spans="1:21" x14ac:dyDescent="0.25">
      <c r="A265" s="46">
        <f t="shared" si="4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8"/>
        <v>0</v>
      </c>
      <c r="P265" s="50"/>
      <c r="Q265" s="50"/>
      <c r="R265" s="95" t="str">
        <f t="shared" si="9"/>
        <v/>
      </c>
      <c r="S265" s="95" t="str">
        <f t="shared" si="10"/>
        <v/>
      </c>
      <c r="T265" s="96">
        <f t="shared" si="11"/>
        <v>0</v>
      </c>
      <c r="U265" s="51"/>
    </row>
    <row r="266" spans="1:21" x14ac:dyDescent="0.25">
      <c r="A266" s="46">
        <f t="shared" si="4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8"/>
        <v>0</v>
      </c>
      <c r="P266" s="50"/>
      <c r="Q266" s="50"/>
      <c r="R266" s="95" t="str">
        <f t="shared" si="9"/>
        <v/>
      </c>
      <c r="S266" s="95" t="str">
        <f t="shared" si="10"/>
        <v/>
      </c>
      <c r="T266" s="96">
        <f t="shared" si="11"/>
        <v>0</v>
      </c>
      <c r="U266" s="51"/>
    </row>
    <row r="267" spans="1:21" x14ac:dyDescent="0.25">
      <c r="A267" s="46">
        <f t="shared" si="4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8"/>
        <v>0</v>
      </c>
      <c r="P267" s="50"/>
      <c r="Q267" s="50"/>
      <c r="R267" s="95" t="str">
        <f t="shared" si="9"/>
        <v/>
      </c>
      <c r="S267" s="95" t="str">
        <f t="shared" si="10"/>
        <v/>
      </c>
      <c r="T267" s="96">
        <f t="shared" si="11"/>
        <v>0</v>
      </c>
      <c r="U267" s="51"/>
    </row>
    <row r="268" spans="1:21" x14ac:dyDescent="0.25">
      <c r="A268" s="46">
        <f t="shared" ref="A268:A331" si="12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3">T268*N268</f>
        <v>0</v>
      </c>
      <c r="P268" s="50"/>
      <c r="Q268" s="50"/>
      <c r="R268" s="95" t="str">
        <f t="shared" ref="R268:R331" si="14">IF(OR(P268="c",P268="C"),+T268,"")</f>
        <v/>
      </c>
      <c r="S268" s="95" t="str">
        <f t="shared" ref="S268:S331" si="15">IF(OR(P268="$",N268=1),+T268,"")</f>
        <v/>
      </c>
      <c r="T268" s="96">
        <f t="shared" ref="T268:T331" si="16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2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3"/>
        <v>0</v>
      </c>
      <c r="P269" s="50"/>
      <c r="Q269" s="50"/>
      <c r="R269" s="95" t="str">
        <f t="shared" si="14"/>
        <v/>
      </c>
      <c r="S269" s="95" t="str">
        <f t="shared" si="15"/>
        <v/>
      </c>
      <c r="T269" s="96">
        <f t="shared" si="16"/>
        <v>0</v>
      </c>
      <c r="U269" s="51"/>
    </row>
    <row r="270" spans="1:21" x14ac:dyDescent="0.25">
      <c r="A270" s="46">
        <f t="shared" si="12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3"/>
        <v>0</v>
      </c>
      <c r="P270" s="50"/>
      <c r="Q270" s="50"/>
      <c r="R270" s="95" t="str">
        <f t="shared" si="14"/>
        <v/>
      </c>
      <c r="S270" s="95" t="str">
        <f t="shared" si="15"/>
        <v/>
      </c>
      <c r="T270" s="96">
        <f t="shared" si="16"/>
        <v>0</v>
      </c>
      <c r="U270" s="51"/>
    </row>
    <row r="271" spans="1:21" x14ac:dyDescent="0.25">
      <c r="A271" s="46">
        <f t="shared" si="12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3"/>
        <v>0</v>
      </c>
      <c r="P271" s="50"/>
      <c r="Q271" s="50"/>
      <c r="R271" s="95" t="str">
        <f t="shared" si="14"/>
        <v/>
      </c>
      <c r="S271" s="95" t="str">
        <f t="shared" si="15"/>
        <v/>
      </c>
      <c r="T271" s="96">
        <f t="shared" si="16"/>
        <v>0</v>
      </c>
      <c r="U271" s="51"/>
    </row>
    <row r="272" spans="1:21" x14ac:dyDescent="0.25">
      <c r="A272" s="46">
        <f t="shared" si="12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3"/>
        <v>0</v>
      </c>
      <c r="P272" s="50"/>
      <c r="Q272" s="50"/>
      <c r="R272" s="95" t="str">
        <f t="shared" si="14"/>
        <v/>
      </c>
      <c r="S272" s="95" t="str">
        <f t="shared" si="15"/>
        <v/>
      </c>
      <c r="T272" s="96">
        <f t="shared" si="16"/>
        <v>0</v>
      </c>
      <c r="U272" s="51"/>
    </row>
    <row r="273" spans="1:21" x14ac:dyDescent="0.25">
      <c r="A273" s="46">
        <f t="shared" si="12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3"/>
        <v>0</v>
      </c>
      <c r="P273" s="50"/>
      <c r="Q273" s="50"/>
      <c r="R273" s="95" t="str">
        <f t="shared" si="14"/>
        <v/>
      </c>
      <c r="S273" s="95" t="str">
        <f t="shared" si="15"/>
        <v/>
      </c>
      <c r="T273" s="96">
        <f t="shared" si="16"/>
        <v>0</v>
      </c>
      <c r="U273" s="51"/>
    </row>
    <row r="274" spans="1:21" x14ac:dyDescent="0.25">
      <c r="A274" s="46">
        <f t="shared" si="12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3"/>
        <v>0</v>
      </c>
      <c r="P274" s="50"/>
      <c r="Q274" s="50"/>
      <c r="R274" s="95" t="str">
        <f t="shared" si="14"/>
        <v/>
      </c>
      <c r="S274" s="95" t="str">
        <f t="shared" si="15"/>
        <v/>
      </c>
      <c r="T274" s="96">
        <f t="shared" si="16"/>
        <v>0</v>
      </c>
      <c r="U274" s="51"/>
    </row>
    <row r="275" spans="1:21" x14ac:dyDescent="0.25">
      <c r="A275" s="46">
        <f t="shared" si="12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3"/>
        <v>0</v>
      </c>
      <c r="P275" s="50"/>
      <c r="Q275" s="50"/>
      <c r="R275" s="95" t="str">
        <f t="shared" si="14"/>
        <v/>
      </c>
      <c r="S275" s="95" t="str">
        <f t="shared" si="15"/>
        <v/>
      </c>
      <c r="T275" s="96">
        <f t="shared" si="16"/>
        <v>0</v>
      </c>
      <c r="U275" s="51"/>
    </row>
    <row r="276" spans="1:21" x14ac:dyDescent="0.25">
      <c r="A276" s="46">
        <f t="shared" si="12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3"/>
        <v>0</v>
      </c>
      <c r="P276" s="50"/>
      <c r="Q276" s="50"/>
      <c r="R276" s="95" t="str">
        <f t="shared" si="14"/>
        <v/>
      </c>
      <c r="S276" s="95" t="str">
        <f t="shared" si="15"/>
        <v/>
      </c>
      <c r="T276" s="96">
        <f t="shared" si="16"/>
        <v>0</v>
      </c>
      <c r="U276" s="51"/>
    </row>
    <row r="277" spans="1:21" x14ac:dyDescent="0.25">
      <c r="A277" s="46">
        <f t="shared" si="12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3"/>
        <v>0</v>
      </c>
      <c r="P277" s="50"/>
      <c r="Q277" s="50"/>
      <c r="R277" s="95" t="str">
        <f t="shared" si="14"/>
        <v/>
      </c>
      <c r="S277" s="95" t="str">
        <f t="shared" si="15"/>
        <v/>
      </c>
      <c r="T277" s="96">
        <f t="shared" si="16"/>
        <v>0</v>
      </c>
      <c r="U277" s="51"/>
    </row>
    <row r="278" spans="1:21" x14ac:dyDescent="0.25">
      <c r="A278" s="46">
        <f t="shared" si="12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3"/>
        <v>0</v>
      </c>
      <c r="P278" s="50"/>
      <c r="Q278" s="50"/>
      <c r="R278" s="95" t="str">
        <f t="shared" si="14"/>
        <v/>
      </c>
      <c r="S278" s="95" t="str">
        <f t="shared" si="15"/>
        <v/>
      </c>
      <c r="T278" s="96">
        <f t="shared" si="16"/>
        <v>0</v>
      </c>
      <c r="U278" s="51"/>
    </row>
    <row r="279" spans="1:21" x14ac:dyDescent="0.25">
      <c r="A279" s="46">
        <f t="shared" si="12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3"/>
        <v>0</v>
      </c>
      <c r="P279" s="50"/>
      <c r="Q279" s="50"/>
      <c r="R279" s="95" t="str">
        <f t="shared" si="14"/>
        <v/>
      </c>
      <c r="S279" s="95" t="str">
        <f t="shared" si="15"/>
        <v/>
      </c>
      <c r="T279" s="96">
        <f t="shared" si="16"/>
        <v>0</v>
      </c>
      <c r="U279" s="51"/>
    </row>
    <row r="280" spans="1:21" x14ac:dyDescent="0.25">
      <c r="A280" s="46">
        <f t="shared" si="12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3"/>
        <v>0</v>
      </c>
      <c r="P280" s="50"/>
      <c r="Q280" s="50"/>
      <c r="R280" s="95" t="str">
        <f t="shared" si="14"/>
        <v/>
      </c>
      <c r="S280" s="95" t="str">
        <f t="shared" si="15"/>
        <v/>
      </c>
      <c r="T280" s="96">
        <f t="shared" si="16"/>
        <v>0</v>
      </c>
      <c r="U280" s="51"/>
    </row>
    <row r="281" spans="1:21" x14ac:dyDescent="0.25">
      <c r="A281" s="46">
        <f t="shared" si="12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3"/>
        <v>0</v>
      </c>
      <c r="P281" s="50"/>
      <c r="Q281" s="50"/>
      <c r="R281" s="95" t="str">
        <f t="shared" si="14"/>
        <v/>
      </c>
      <c r="S281" s="95" t="str">
        <f t="shared" si="15"/>
        <v/>
      </c>
      <c r="T281" s="96">
        <f t="shared" si="16"/>
        <v>0</v>
      </c>
      <c r="U281" s="51"/>
    </row>
    <row r="282" spans="1:21" x14ac:dyDescent="0.25">
      <c r="A282" s="46">
        <f t="shared" si="12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3"/>
        <v>0</v>
      </c>
      <c r="P282" s="50"/>
      <c r="Q282" s="50"/>
      <c r="R282" s="95" t="str">
        <f t="shared" si="14"/>
        <v/>
      </c>
      <c r="S282" s="95" t="str">
        <f t="shared" si="15"/>
        <v/>
      </c>
      <c r="T282" s="96">
        <f t="shared" si="16"/>
        <v>0</v>
      </c>
      <c r="U282" s="51"/>
    </row>
    <row r="283" spans="1:21" x14ac:dyDescent="0.25">
      <c r="A283" s="46">
        <f t="shared" si="12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3"/>
        <v>0</v>
      </c>
      <c r="P283" s="50"/>
      <c r="Q283" s="50"/>
      <c r="R283" s="95" t="str">
        <f t="shared" si="14"/>
        <v/>
      </c>
      <c r="S283" s="95" t="str">
        <f t="shared" si="15"/>
        <v/>
      </c>
      <c r="T283" s="96">
        <f t="shared" si="16"/>
        <v>0</v>
      </c>
      <c r="U283" s="51"/>
    </row>
    <row r="284" spans="1:21" x14ac:dyDescent="0.25">
      <c r="A284" s="46">
        <f t="shared" si="12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3"/>
        <v>0</v>
      </c>
      <c r="P284" s="50"/>
      <c r="Q284" s="50"/>
      <c r="R284" s="95" t="str">
        <f t="shared" si="14"/>
        <v/>
      </c>
      <c r="S284" s="95" t="str">
        <f t="shared" si="15"/>
        <v/>
      </c>
      <c r="T284" s="96">
        <f t="shared" si="16"/>
        <v>0</v>
      </c>
      <c r="U284" s="51"/>
    </row>
    <row r="285" spans="1:21" x14ac:dyDescent="0.25">
      <c r="A285" s="46">
        <f t="shared" si="12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3"/>
        <v>0</v>
      </c>
      <c r="P285" s="50"/>
      <c r="Q285" s="50"/>
      <c r="R285" s="95" t="str">
        <f t="shared" si="14"/>
        <v/>
      </c>
      <c r="S285" s="95" t="str">
        <f t="shared" si="15"/>
        <v/>
      </c>
      <c r="T285" s="96">
        <f t="shared" si="16"/>
        <v>0</v>
      </c>
      <c r="U285" s="51"/>
    </row>
    <row r="286" spans="1:21" x14ac:dyDescent="0.25">
      <c r="A286" s="46">
        <f t="shared" si="12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3"/>
        <v>0</v>
      </c>
      <c r="P286" s="50"/>
      <c r="Q286" s="50"/>
      <c r="R286" s="95" t="str">
        <f t="shared" si="14"/>
        <v/>
      </c>
      <c r="S286" s="95" t="str">
        <f t="shared" si="15"/>
        <v/>
      </c>
      <c r="T286" s="96">
        <f t="shared" si="16"/>
        <v>0</v>
      </c>
      <c r="U286" s="51"/>
    </row>
    <row r="287" spans="1:21" x14ac:dyDescent="0.25">
      <c r="A287" s="46">
        <f t="shared" si="12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3"/>
        <v>0</v>
      </c>
      <c r="P287" s="50"/>
      <c r="Q287" s="50"/>
      <c r="R287" s="95" t="str">
        <f t="shared" si="14"/>
        <v/>
      </c>
      <c r="S287" s="95" t="str">
        <f t="shared" si="15"/>
        <v/>
      </c>
      <c r="T287" s="96">
        <f t="shared" si="16"/>
        <v>0</v>
      </c>
      <c r="U287" s="51"/>
    </row>
    <row r="288" spans="1:21" x14ac:dyDescent="0.25">
      <c r="A288" s="46">
        <f t="shared" si="12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3"/>
        <v>0</v>
      </c>
      <c r="P288" s="50"/>
      <c r="Q288" s="50"/>
      <c r="R288" s="95" t="str">
        <f t="shared" si="14"/>
        <v/>
      </c>
      <c r="S288" s="95" t="str">
        <f t="shared" si="15"/>
        <v/>
      </c>
      <c r="T288" s="96">
        <f t="shared" si="16"/>
        <v>0</v>
      </c>
      <c r="U288" s="51"/>
    </row>
    <row r="289" spans="1:21" x14ac:dyDescent="0.25">
      <c r="A289" s="46">
        <f t="shared" si="12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3"/>
        <v>0</v>
      </c>
      <c r="P289" s="50"/>
      <c r="Q289" s="50"/>
      <c r="R289" s="95" t="str">
        <f t="shared" si="14"/>
        <v/>
      </c>
      <c r="S289" s="95" t="str">
        <f t="shared" si="15"/>
        <v/>
      </c>
      <c r="T289" s="96">
        <f t="shared" si="16"/>
        <v>0</v>
      </c>
      <c r="U289" s="51"/>
    </row>
    <row r="290" spans="1:21" x14ac:dyDescent="0.25">
      <c r="A290" s="46">
        <f t="shared" si="12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3"/>
        <v>0</v>
      </c>
      <c r="P290" s="50"/>
      <c r="Q290" s="50"/>
      <c r="R290" s="95" t="str">
        <f t="shared" si="14"/>
        <v/>
      </c>
      <c r="S290" s="95" t="str">
        <f t="shared" si="15"/>
        <v/>
      </c>
      <c r="T290" s="96">
        <f t="shared" si="16"/>
        <v>0</v>
      </c>
      <c r="U290" s="51"/>
    </row>
    <row r="291" spans="1:21" x14ac:dyDescent="0.25">
      <c r="A291" s="46">
        <f t="shared" si="12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3"/>
        <v>0</v>
      </c>
      <c r="P291" s="50"/>
      <c r="Q291" s="50"/>
      <c r="R291" s="95" t="str">
        <f t="shared" si="14"/>
        <v/>
      </c>
      <c r="S291" s="95" t="str">
        <f t="shared" si="15"/>
        <v/>
      </c>
      <c r="T291" s="96">
        <f t="shared" si="16"/>
        <v>0</v>
      </c>
      <c r="U291" s="51"/>
    </row>
    <row r="292" spans="1:21" x14ac:dyDescent="0.25">
      <c r="A292" s="46">
        <f t="shared" si="12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3"/>
        <v>0</v>
      </c>
      <c r="P292" s="50"/>
      <c r="Q292" s="50"/>
      <c r="R292" s="95" t="str">
        <f t="shared" si="14"/>
        <v/>
      </c>
      <c r="S292" s="95" t="str">
        <f t="shared" si="15"/>
        <v/>
      </c>
      <c r="T292" s="96">
        <f t="shared" si="16"/>
        <v>0</v>
      </c>
      <c r="U292" s="51"/>
    </row>
    <row r="293" spans="1:21" x14ac:dyDescent="0.25">
      <c r="A293" s="46">
        <f t="shared" si="12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3"/>
        <v>0</v>
      </c>
      <c r="P293" s="50"/>
      <c r="Q293" s="50"/>
      <c r="R293" s="95" t="str">
        <f t="shared" si="14"/>
        <v/>
      </c>
      <c r="S293" s="95" t="str">
        <f t="shared" si="15"/>
        <v/>
      </c>
      <c r="T293" s="96">
        <f t="shared" si="16"/>
        <v>0</v>
      </c>
      <c r="U293" s="51"/>
    </row>
    <row r="294" spans="1:21" x14ac:dyDescent="0.25">
      <c r="A294" s="46">
        <f t="shared" si="12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3"/>
        <v>0</v>
      </c>
      <c r="P294" s="50"/>
      <c r="Q294" s="50"/>
      <c r="R294" s="95" t="str">
        <f t="shared" si="14"/>
        <v/>
      </c>
      <c r="S294" s="95" t="str">
        <f t="shared" si="15"/>
        <v/>
      </c>
      <c r="T294" s="96">
        <f t="shared" si="16"/>
        <v>0</v>
      </c>
      <c r="U294" s="51"/>
    </row>
    <row r="295" spans="1:21" x14ac:dyDescent="0.25">
      <c r="A295" s="46">
        <f t="shared" si="12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3"/>
        <v>0</v>
      </c>
      <c r="P295" s="50"/>
      <c r="Q295" s="50"/>
      <c r="R295" s="95" t="str">
        <f t="shared" si="14"/>
        <v/>
      </c>
      <c r="S295" s="95" t="str">
        <f t="shared" si="15"/>
        <v/>
      </c>
      <c r="T295" s="96">
        <f t="shared" si="16"/>
        <v>0</v>
      </c>
      <c r="U295" s="51"/>
    </row>
    <row r="296" spans="1:21" x14ac:dyDescent="0.25">
      <c r="A296" s="46">
        <f t="shared" si="12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3"/>
        <v>0</v>
      </c>
      <c r="P296" s="50"/>
      <c r="Q296" s="50"/>
      <c r="R296" s="95" t="str">
        <f t="shared" si="14"/>
        <v/>
      </c>
      <c r="S296" s="95" t="str">
        <f t="shared" si="15"/>
        <v/>
      </c>
      <c r="T296" s="96">
        <f t="shared" si="16"/>
        <v>0</v>
      </c>
      <c r="U296" s="51"/>
    </row>
    <row r="297" spans="1:21" x14ac:dyDescent="0.25">
      <c r="A297" s="46">
        <f t="shared" si="12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3"/>
        <v>0</v>
      </c>
      <c r="P297" s="50"/>
      <c r="Q297" s="50"/>
      <c r="R297" s="95" t="str">
        <f t="shared" si="14"/>
        <v/>
      </c>
      <c r="S297" s="95" t="str">
        <f t="shared" si="15"/>
        <v/>
      </c>
      <c r="T297" s="96">
        <f t="shared" si="16"/>
        <v>0</v>
      </c>
      <c r="U297" s="51"/>
    </row>
    <row r="298" spans="1:21" x14ac:dyDescent="0.25">
      <c r="A298" s="46">
        <f t="shared" si="12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3"/>
        <v>0</v>
      </c>
      <c r="P298" s="50"/>
      <c r="Q298" s="50"/>
      <c r="R298" s="95" t="str">
        <f t="shared" si="14"/>
        <v/>
      </c>
      <c r="S298" s="95" t="str">
        <f t="shared" si="15"/>
        <v/>
      </c>
      <c r="T298" s="96">
        <f t="shared" si="16"/>
        <v>0</v>
      </c>
      <c r="U298" s="51"/>
    </row>
    <row r="299" spans="1:21" x14ac:dyDescent="0.25">
      <c r="A299" s="46">
        <f t="shared" si="12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3"/>
        <v>0</v>
      </c>
      <c r="P299" s="50"/>
      <c r="Q299" s="50"/>
      <c r="R299" s="95" t="str">
        <f t="shared" si="14"/>
        <v/>
      </c>
      <c r="S299" s="95" t="str">
        <f t="shared" si="15"/>
        <v/>
      </c>
      <c r="T299" s="96">
        <f t="shared" si="16"/>
        <v>0</v>
      </c>
      <c r="U299" s="51"/>
    </row>
    <row r="300" spans="1:21" x14ac:dyDescent="0.25">
      <c r="A300" s="46">
        <f t="shared" si="12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3"/>
        <v>0</v>
      </c>
      <c r="P300" s="50"/>
      <c r="Q300" s="50"/>
      <c r="R300" s="95" t="str">
        <f t="shared" si="14"/>
        <v/>
      </c>
      <c r="S300" s="95" t="str">
        <f t="shared" si="15"/>
        <v/>
      </c>
      <c r="T300" s="96">
        <f t="shared" si="16"/>
        <v>0</v>
      </c>
      <c r="U300" s="51"/>
    </row>
    <row r="301" spans="1:21" x14ac:dyDescent="0.25">
      <c r="A301" s="46">
        <f t="shared" si="12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3"/>
        <v>0</v>
      </c>
      <c r="P301" s="50"/>
      <c r="Q301" s="50"/>
      <c r="R301" s="95" t="str">
        <f t="shared" si="14"/>
        <v/>
      </c>
      <c r="S301" s="95" t="str">
        <f t="shared" si="15"/>
        <v/>
      </c>
      <c r="T301" s="96">
        <f t="shared" si="16"/>
        <v>0</v>
      </c>
      <c r="U301" s="51"/>
    </row>
    <row r="302" spans="1:21" x14ac:dyDescent="0.25">
      <c r="A302" s="46">
        <f t="shared" si="12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3"/>
        <v>0</v>
      </c>
      <c r="P302" s="50"/>
      <c r="Q302" s="50"/>
      <c r="R302" s="95" t="str">
        <f t="shared" si="14"/>
        <v/>
      </c>
      <c r="S302" s="95" t="str">
        <f t="shared" si="15"/>
        <v/>
      </c>
      <c r="T302" s="96">
        <f t="shared" si="16"/>
        <v>0</v>
      </c>
      <c r="U302" s="51"/>
    </row>
    <row r="303" spans="1:21" x14ac:dyDescent="0.25">
      <c r="A303" s="46">
        <f t="shared" si="12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3"/>
        <v>0</v>
      </c>
      <c r="P303" s="50"/>
      <c r="Q303" s="50"/>
      <c r="R303" s="95" t="str">
        <f t="shared" si="14"/>
        <v/>
      </c>
      <c r="S303" s="95" t="str">
        <f t="shared" si="15"/>
        <v/>
      </c>
      <c r="T303" s="96">
        <f t="shared" si="16"/>
        <v>0</v>
      </c>
      <c r="U303" s="51"/>
    </row>
    <row r="304" spans="1:21" x14ac:dyDescent="0.25">
      <c r="A304" s="46">
        <f t="shared" si="12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3"/>
        <v>0</v>
      </c>
      <c r="P304" s="50"/>
      <c r="Q304" s="50"/>
      <c r="R304" s="95" t="str">
        <f t="shared" si="14"/>
        <v/>
      </c>
      <c r="S304" s="95" t="str">
        <f t="shared" si="15"/>
        <v/>
      </c>
      <c r="T304" s="96">
        <f t="shared" si="16"/>
        <v>0</v>
      </c>
      <c r="U304" s="51"/>
    </row>
    <row r="305" spans="1:21" x14ac:dyDescent="0.25">
      <c r="A305" s="46">
        <f t="shared" si="12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3"/>
        <v>0</v>
      </c>
      <c r="P305" s="50"/>
      <c r="Q305" s="50"/>
      <c r="R305" s="95" t="str">
        <f t="shared" si="14"/>
        <v/>
      </c>
      <c r="S305" s="95" t="str">
        <f t="shared" si="15"/>
        <v/>
      </c>
      <c r="T305" s="96">
        <f t="shared" si="16"/>
        <v>0</v>
      </c>
      <c r="U305" s="51"/>
    </row>
    <row r="306" spans="1:21" x14ac:dyDescent="0.25">
      <c r="A306" s="46">
        <f t="shared" si="12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3"/>
        <v>0</v>
      </c>
      <c r="P306" s="50"/>
      <c r="Q306" s="50"/>
      <c r="R306" s="95" t="str">
        <f t="shared" si="14"/>
        <v/>
      </c>
      <c r="S306" s="95" t="str">
        <f t="shared" si="15"/>
        <v/>
      </c>
      <c r="T306" s="96">
        <f t="shared" si="16"/>
        <v>0</v>
      </c>
      <c r="U306" s="51"/>
    </row>
    <row r="307" spans="1:21" x14ac:dyDescent="0.25">
      <c r="A307" s="46">
        <f t="shared" si="12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3"/>
        <v>0</v>
      </c>
      <c r="P307" s="50"/>
      <c r="Q307" s="50"/>
      <c r="R307" s="95" t="str">
        <f t="shared" si="14"/>
        <v/>
      </c>
      <c r="S307" s="95" t="str">
        <f t="shared" si="15"/>
        <v/>
      </c>
      <c r="T307" s="96">
        <f t="shared" si="16"/>
        <v>0</v>
      </c>
      <c r="U307" s="51"/>
    </row>
    <row r="308" spans="1:21" x14ac:dyDescent="0.25">
      <c r="A308" s="46">
        <f t="shared" si="12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3"/>
        <v>0</v>
      </c>
      <c r="P308" s="50"/>
      <c r="Q308" s="50"/>
      <c r="R308" s="95" t="str">
        <f t="shared" si="14"/>
        <v/>
      </c>
      <c r="S308" s="95" t="str">
        <f t="shared" si="15"/>
        <v/>
      </c>
      <c r="T308" s="96">
        <f t="shared" si="16"/>
        <v>0</v>
      </c>
      <c r="U308" s="51"/>
    </row>
    <row r="309" spans="1:21" x14ac:dyDescent="0.25">
      <c r="A309" s="46">
        <f t="shared" si="12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3"/>
        <v>0</v>
      </c>
      <c r="P309" s="50"/>
      <c r="Q309" s="50"/>
      <c r="R309" s="95" t="str">
        <f t="shared" si="14"/>
        <v/>
      </c>
      <c r="S309" s="95" t="str">
        <f t="shared" si="15"/>
        <v/>
      </c>
      <c r="T309" s="96">
        <f t="shared" si="16"/>
        <v>0</v>
      </c>
      <c r="U309" s="51"/>
    </row>
    <row r="310" spans="1:21" x14ac:dyDescent="0.25">
      <c r="A310" s="46">
        <f t="shared" si="12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3"/>
        <v>0</v>
      </c>
      <c r="P310" s="50"/>
      <c r="Q310" s="50"/>
      <c r="R310" s="95" t="str">
        <f t="shared" si="14"/>
        <v/>
      </c>
      <c r="S310" s="95" t="str">
        <f t="shared" si="15"/>
        <v/>
      </c>
      <c r="T310" s="96">
        <f t="shared" si="16"/>
        <v>0</v>
      </c>
      <c r="U310" s="51"/>
    </row>
    <row r="311" spans="1:21" x14ac:dyDescent="0.25">
      <c r="A311" s="46">
        <f t="shared" si="12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3"/>
        <v>0</v>
      </c>
      <c r="P311" s="50"/>
      <c r="Q311" s="50"/>
      <c r="R311" s="95" t="str">
        <f t="shared" si="14"/>
        <v/>
      </c>
      <c r="S311" s="95" t="str">
        <f t="shared" si="15"/>
        <v/>
      </c>
      <c r="T311" s="96">
        <f t="shared" si="16"/>
        <v>0</v>
      </c>
      <c r="U311" s="51"/>
    </row>
    <row r="312" spans="1:21" x14ac:dyDescent="0.25">
      <c r="A312" s="46">
        <f t="shared" si="12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3"/>
        <v>0</v>
      </c>
      <c r="P312" s="50"/>
      <c r="Q312" s="50"/>
      <c r="R312" s="95" t="str">
        <f t="shared" si="14"/>
        <v/>
      </c>
      <c r="S312" s="95" t="str">
        <f t="shared" si="15"/>
        <v/>
      </c>
      <c r="T312" s="96">
        <f t="shared" si="16"/>
        <v>0</v>
      </c>
      <c r="U312" s="51"/>
    </row>
    <row r="313" spans="1:21" x14ac:dyDescent="0.25">
      <c r="A313" s="46">
        <f t="shared" si="12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3"/>
        <v>0</v>
      </c>
      <c r="P313" s="50"/>
      <c r="Q313" s="50"/>
      <c r="R313" s="95" t="str">
        <f t="shared" si="14"/>
        <v/>
      </c>
      <c r="S313" s="95" t="str">
        <f t="shared" si="15"/>
        <v/>
      </c>
      <c r="T313" s="96">
        <f t="shared" si="16"/>
        <v>0</v>
      </c>
      <c r="U313" s="51"/>
    </row>
    <row r="314" spans="1:21" x14ac:dyDescent="0.25">
      <c r="A314" s="46">
        <f t="shared" si="12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3"/>
        <v>0</v>
      </c>
      <c r="P314" s="50"/>
      <c r="Q314" s="50"/>
      <c r="R314" s="95" t="str">
        <f t="shared" si="14"/>
        <v/>
      </c>
      <c r="S314" s="95" t="str">
        <f t="shared" si="15"/>
        <v/>
      </c>
      <c r="T314" s="96">
        <f t="shared" si="16"/>
        <v>0</v>
      </c>
      <c r="U314" s="51"/>
    </row>
    <row r="315" spans="1:21" x14ac:dyDescent="0.25">
      <c r="A315" s="46">
        <f t="shared" si="12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3"/>
        <v>0</v>
      </c>
      <c r="P315" s="50"/>
      <c r="Q315" s="50"/>
      <c r="R315" s="95" t="str">
        <f t="shared" si="14"/>
        <v/>
      </c>
      <c r="S315" s="95" t="str">
        <f t="shared" si="15"/>
        <v/>
      </c>
      <c r="T315" s="96">
        <f t="shared" si="16"/>
        <v>0</v>
      </c>
      <c r="U315" s="51"/>
    </row>
    <row r="316" spans="1:21" x14ac:dyDescent="0.25">
      <c r="A316" s="46">
        <f t="shared" si="12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3"/>
        <v>0</v>
      </c>
      <c r="P316" s="50"/>
      <c r="Q316" s="50"/>
      <c r="R316" s="95" t="str">
        <f t="shared" si="14"/>
        <v/>
      </c>
      <c r="S316" s="95" t="str">
        <f t="shared" si="15"/>
        <v/>
      </c>
      <c r="T316" s="96">
        <f t="shared" si="16"/>
        <v>0</v>
      </c>
      <c r="U316" s="51"/>
    </row>
    <row r="317" spans="1:21" x14ac:dyDescent="0.25">
      <c r="A317" s="46">
        <f t="shared" si="12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3"/>
        <v>0</v>
      </c>
      <c r="P317" s="50"/>
      <c r="Q317" s="50"/>
      <c r="R317" s="95" t="str">
        <f t="shared" si="14"/>
        <v/>
      </c>
      <c r="S317" s="95" t="str">
        <f t="shared" si="15"/>
        <v/>
      </c>
      <c r="T317" s="96">
        <f t="shared" si="16"/>
        <v>0</v>
      </c>
      <c r="U317" s="51"/>
    </row>
    <row r="318" spans="1:21" x14ac:dyDescent="0.25">
      <c r="A318" s="46">
        <f t="shared" si="12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3"/>
        <v>0</v>
      </c>
      <c r="P318" s="50"/>
      <c r="Q318" s="50"/>
      <c r="R318" s="95" t="str">
        <f t="shared" si="14"/>
        <v/>
      </c>
      <c r="S318" s="95" t="str">
        <f t="shared" si="15"/>
        <v/>
      </c>
      <c r="T318" s="96">
        <f t="shared" si="16"/>
        <v>0</v>
      </c>
      <c r="U318" s="51"/>
    </row>
    <row r="319" spans="1:21" x14ac:dyDescent="0.25">
      <c r="A319" s="46">
        <f t="shared" si="12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3"/>
        <v>0</v>
      </c>
      <c r="P319" s="50"/>
      <c r="Q319" s="50"/>
      <c r="R319" s="95" t="str">
        <f t="shared" si="14"/>
        <v/>
      </c>
      <c r="S319" s="95" t="str">
        <f t="shared" si="15"/>
        <v/>
      </c>
      <c r="T319" s="96">
        <f t="shared" si="16"/>
        <v>0</v>
      </c>
      <c r="U319" s="51"/>
    </row>
    <row r="320" spans="1:21" x14ac:dyDescent="0.25">
      <c r="A320" s="46">
        <f t="shared" si="12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3"/>
        <v>0</v>
      </c>
      <c r="P320" s="50"/>
      <c r="Q320" s="50"/>
      <c r="R320" s="95" t="str">
        <f t="shared" si="14"/>
        <v/>
      </c>
      <c r="S320" s="95" t="str">
        <f t="shared" si="15"/>
        <v/>
      </c>
      <c r="T320" s="96">
        <f t="shared" si="16"/>
        <v>0</v>
      </c>
      <c r="U320" s="51"/>
    </row>
    <row r="321" spans="1:21" x14ac:dyDescent="0.25">
      <c r="A321" s="46">
        <f t="shared" si="12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3"/>
        <v>0</v>
      </c>
      <c r="P321" s="50"/>
      <c r="Q321" s="50"/>
      <c r="R321" s="95" t="str">
        <f t="shared" si="14"/>
        <v/>
      </c>
      <c r="S321" s="95" t="str">
        <f t="shared" si="15"/>
        <v/>
      </c>
      <c r="T321" s="96">
        <f t="shared" si="16"/>
        <v>0</v>
      </c>
      <c r="U321" s="51"/>
    </row>
    <row r="322" spans="1:21" x14ac:dyDescent="0.25">
      <c r="A322" s="46">
        <f t="shared" si="12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3"/>
        <v>0</v>
      </c>
      <c r="P322" s="50"/>
      <c r="Q322" s="50"/>
      <c r="R322" s="95" t="str">
        <f t="shared" si="14"/>
        <v/>
      </c>
      <c r="S322" s="95" t="str">
        <f t="shared" si="15"/>
        <v/>
      </c>
      <c r="T322" s="96">
        <f t="shared" si="16"/>
        <v>0</v>
      </c>
      <c r="U322" s="51"/>
    </row>
    <row r="323" spans="1:21" x14ac:dyDescent="0.25">
      <c r="A323" s="46">
        <f t="shared" si="12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3"/>
        <v>0</v>
      </c>
      <c r="P323" s="50"/>
      <c r="Q323" s="50"/>
      <c r="R323" s="95" t="str">
        <f t="shared" si="14"/>
        <v/>
      </c>
      <c r="S323" s="95" t="str">
        <f t="shared" si="15"/>
        <v/>
      </c>
      <c r="T323" s="96">
        <f t="shared" si="16"/>
        <v>0</v>
      </c>
      <c r="U323" s="51"/>
    </row>
    <row r="324" spans="1:21" x14ac:dyDescent="0.25">
      <c r="A324" s="46">
        <f t="shared" si="12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3"/>
        <v>0</v>
      </c>
      <c r="P324" s="50"/>
      <c r="Q324" s="50"/>
      <c r="R324" s="95" t="str">
        <f t="shared" si="14"/>
        <v/>
      </c>
      <c r="S324" s="95" t="str">
        <f t="shared" si="15"/>
        <v/>
      </c>
      <c r="T324" s="96">
        <f t="shared" si="16"/>
        <v>0</v>
      </c>
      <c r="U324" s="51"/>
    </row>
    <row r="325" spans="1:21" x14ac:dyDescent="0.25">
      <c r="A325" s="46">
        <f t="shared" si="12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3"/>
        <v>0</v>
      </c>
      <c r="P325" s="50"/>
      <c r="Q325" s="50"/>
      <c r="R325" s="95" t="str">
        <f t="shared" si="14"/>
        <v/>
      </c>
      <c r="S325" s="95" t="str">
        <f t="shared" si="15"/>
        <v/>
      </c>
      <c r="T325" s="96">
        <f t="shared" si="16"/>
        <v>0</v>
      </c>
      <c r="U325" s="51"/>
    </row>
    <row r="326" spans="1:21" x14ac:dyDescent="0.25">
      <c r="A326" s="46">
        <f t="shared" si="12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3"/>
        <v>0</v>
      </c>
      <c r="P326" s="50"/>
      <c r="Q326" s="50"/>
      <c r="R326" s="95" t="str">
        <f t="shared" si="14"/>
        <v/>
      </c>
      <c r="S326" s="95" t="str">
        <f t="shared" si="15"/>
        <v/>
      </c>
      <c r="T326" s="96">
        <f t="shared" si="16"/>
        <v>0</v>
      </c>
      <c r="U326" s="51"/>
    </row>
    <row r="327" spans="1:21" x14ac:dyDescent="0.25">
      <c r="A327" s="46">
        <f t="shared" si="12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3"/>
        <v>0</v>
      </c>
      <c r="P327" s="50"/>
      <c r="Q327" s="50"/>
      <c r="R327" s="95" t="str">
        <f t="shared" si="14"/>
        <v/>
      </c>
      <c r="S327" s="95" t="str">
        <f t="shared" si="15"/>
        <v/>
      </c>
      <c r="T327" s="96">
        <f t="shared" si="16"/>
        <v>0</v>
      </c>
      <c r="U327" s="51"/>
    </row>
    <row r="328" spans="1:21" x14ac:dyDescent="0.25">
      <c r="A328" s="46">
        <f t="shared" si="12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3"/>
        <v>0</v>
      </c>
      <c r="P328" s="50"/>
      <c r="Q328" s="50"/>
      <c r="R328" s="95" t="str">
        <f t="shared" si="14"/>
        <v/>
      </c>
      <c r="S328" s="95" t="str">
        <f t="shared" si="15"/>
        <v/>
      </c>
      <c r="T328" s="96">
        <f t="shared" si="16"/>
        <v>0</v>
      </c>
      <c r="U328" s="51"/>
    </row>
    <row r="329" spans="1:21" x14ac:dyDescent="0.25">
      <c r="A329" s="46">
        <f t="shared" si="12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3"/>
        <v>0</v>
      </c>
      <c r="P329" s="50"/>
      <c r="Q329" s="50"/>
      <c r="R329" s="95" t="str">
        <f t="shared" si="14"/>
        <v/>
      </c>
      <c r="S329" s="95" t="str">
        <f t="shared" si="15"/>
        <v/>
      </c>
      <c r="T329" s="96">
        <f t="shared" si="16"/>
        <v>0</v>
      </c>
      <c r="U329" s="51"/>
    </row>
    <row r="330" spans="1:21" x14ac:dyDescent="0.25">
      <c r="A330" s="46">
        <f t="shared" si="12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3"/>
        <v>0</v>
      </c>
      <c r="P330" s="50"/>
      <c r="Q330" s="50"/>
      <c r="R330" s="95" t="str">
        <f t="shared" si="14"/>
        <v/>
      </c>
      <c r="S330" s="95" t="str">
        <f t="shared" si="15"/>
        <v/>
      </c>
      <c r="T330" s="96">
        <f t="shared" si="16"/>
        <v>0</v>
      </c>
      <c r="U330" s="51"/>
    </row>
    <row r="331" spans="1:21" x14ac:dyDescent="0.25">
      <c r="A331" s="46">
        <f t="shared" si="12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3"/>
        <v>0</v>
      </c>
      <c r="P331" s="50"/>
      <c r="Q331" s="50"/>
      <c r="R331" s="95" t="str">
        <f t="shared" si="14"/>
        <v/>
      </c>
      <c r="S331" s="95" t="str">
        <f t="shared" si="15"/>
        <v/>
      </c>
      <c r="T331" s="96">
        <f t="shared" si="16"/>
        <v>0</v>
      </c>
      <c r="U331" s="51"/>
    </row>
    <row r="332" spans="1:21" x14ac:dyDescent="0.25">
      <c r="A332" s="46">
        <f t="shared" ref="A332:A395" si="17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8">T332*N332</f>
        <v>0</v>
      </c>
      <c r="P332" s="50"/>
      <c r="Q332" s="50"/>
      <c r="R332" s="95" t="str">
        <f t="shared" ref="R332:R395" si="19">IF(OR(P332="c",P332="C"),+T332,"")</f>
        <v/>
      </c>
      <c r="S332" s="95" t="str">
        <f t="shared" ref="S332:S395" si="20">IF(OR(P332="$",N332=1),+T332,"")</f>
        <v/>
      </c>
      <c r="T332" s="96">
        <f t="shared" ref="T332:T395" si="21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7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8"/>
        <v>0</v>
      </c>
      <c r="P333" s="50"/>
      <c r="Q333" s="50"/>
      <c r="R333" s="95" t="str">
        <f t="shared" si="19"/>
        <v/>
      </c>
      <c r="S333" s="95" t="str">
        <f t="shared" si="20"/>
        <v/>
      </c>
      <c r="T333" s="96">
        <f t="shared" si="21"/>
        <v>0</v>
      </c>
      <c r="U333" s="51"/>
    </row>
    <row r="334" spans="1:21" x14ac:dyDescent="0.25">
      <c r="A334" s="46">
        <f t="shared" si="17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8"/>
        <v>0</v>
      </c>
      <c r="P334" s="50"/>
      <c r="Q334" s="50"/>
      <c r="R334" s="95" t="str">
        <f t="shared" si="19"/>
        <v/>
      </c>
      <c r="S334" s="95" t="str">
        <f t="shared" si="20"/>
        <v/>
      </c>
      <c r="T334" s="96">
        <f t="shared" si="21"/>
        <v>0</v>
      </c>
      <c r="U334" s="51"/>
    </row>
    <row r="335" spans="1:21" x14ac:dyDescent="0.25">
      <c r="A335" s="46">
        <f t="shared" si="17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8"/>
        <v>0</v>
      </c>
      <c r="P335" s="50"/>
      <c r="Q335" s="50"/>
      <c r="R335" s="95" t="str">
        <f t="shared" si="19"/>
        <v/>
      </c>
      <c r="S335" s="95" t="str">
        <f t="shared" si="20"/>
        <v/>
      </c>
      <c r="T335" s="96">
        <f t="shared" si="21"/>
        <v>0</v>
      </c>
      <c r="U335" s="51"/>
    </row>
    <row r="336" spans="1:21" x14ac:dyDescent="0.25">
      <c r="A336" s="46">
        <f t="shared" si="17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8"/>
        <v>0</v>
      </c>
      <c r="P336" s="50"/>
      <c r="Q336" s="50"/>
      <c r="R336" s="95" t="str">
        <f t="shared" si="19"/>
        <v/>
      </c>
      <c r="S336" s="95" t="str">
        <f t="shared" si="20"/>
        <v/>
      </c>
      <c r="T336" s="96">
        <f t="shared" si="21"/>
        <v>0</v>
      </c>
      <c r="U336" s="51"/>
    </row>
    <row r="337" spans="1:21" x14ac:dyDescent="0.25">
      <c r="A337" s="46">
        <f t="shared" si="17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8"/>
        <v>0</v>
      </c>
      <c r="P337" s="50"/>
      <c r="Q337" s="50"/>
      <c r="R337" s="95" t="str">
        <f t="shared" si="19"/>
        <v/>
      </c>
      <c r="S337" s="95" t="str">
        <f t="shared" si="20"/>
        <v/>
      </c>
      <c r="T337" s="96">
        <f t="shared" si="21"/>
        <v>0</v>
      </c>
      <c r="U337" s="51"/>
    </row>
    <row r="338" spans="1:21" x14ac:dyDescent="0.25">
      <c r="A338" s="46">
        <f t="shared" si="17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8"/>
        <v>0</v>
      </c>
      <c r="P338" s="50"/>
      <c r="Q338" s="50"/>
      <c r="R338" s="95" t="str">
        <f t="shared" si="19"/>
        <v/>
      </c>
      <c r="S338" s="95" t="str">
        <f t="shared" si="20"/>
        <v/>
      </c>
      <c r="T338" s="96">
        <f t="shared" si="21"/>
        <v>0</v>
      </c>
      <c r="U338" s="51"/>
    </row>
    <row r="339" spans="1:21" x14ac:dyDescent="0.25">
      <c r="A339" s="46">
        <f t="shared" si="17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8"/>
        <v>0</v>
      </c>
      <c r="P339" s="50"/>
      <c r="Q339" s="50"/>
      <c r="R339" s="95" t="str">
        <f t="shared" si="19"/>
        <v/>
      </c>
      <c r="S339" s="95" t="str">
        <f t="shared" si="20"/>
        <v/>
      </c>
      <c r="T339" s="96">
        <f t="shared" si="21"/>
        <v>0</v>
      </c>
      <c r="U339" s="51"/>
    </row>
    <row r="340" spans="1:21" x14ac:dyDescent="0.25">
      <c r="A340" s="46">
        <f t="shared" si="17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8"/>
        <v>0</v>
      </c>
      <c r="P340" s="50"/>
      <c r="Q340" s="50"/>
      <c r="R340" s="95" t="str">
        <f t="shared" si="19"/>
        <v/>
      </c>
      <c r="S340" s="95" t="str">
        <f t="shared" si="20"/>
        <v/>
      </c>
      <c r="T340" s="96">
        <f t="shared" si="21"/>
        <v>0</v>
      </c>
      <c r="U340" s="51"/>
    </row>
    <row r="341" spans="1:21" x14ac:dyDescent="0.25">
      <c r="A341" s="46">
        <f t="shared" si="17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8"/>
        <v>0</v>
      </c>
      <c r="P341" s="50"/>
      <c r="Q341" s="50"/>
      <c r="R341" s="95" t="str">
        <f t="shared" si="19"/>
        <v/>
      </c>
      <c r="S341" s="95" t="str">
        <f t="shared" si="20"/>
        <v/>
      </c>
      <c r="T341" s="96">
        <f t="shared" si="21"/>
        <v>0</v>
      </c>
      <c r="U341" s="51"/>
    </row>
    <row r="342" spans="1:21" x14ac:dyDescent="0.25">
      <c r="A342" s="46">
        <f t="shared" si="17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8"/>
        <v>0</v>
      </c>
      <c r="P342" s="50"/>
      <c r="Q342" s="50"/>
      <c r="R342" s="95" t="str">
        <f t="shared" si="19"/>
        <v/>
      </c>
      <c r="S342" s="95" t="str">
        <f t="shared" si="20"/>
        <v/>
      </c>
      <c r="T342" s="96">
        <f t="shared" si="21"/>
        <v>0</v>
      </c>
      <c r="U342" s="51"/>
    </row>
    <row r="343" spans="1:21" x14ac:dyDescent="0.25">
      <c r="A343" s="46">
        <f t="shared" si="17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8"/>
        <v>0</v>
      </c>
      <c r="P343" s="50"/>
      <c r="Q343" s="50"/>
      <c r="R343" s="95" t="str">
        <f t="shared" si="19"/>
        <v/>
      </c>
      <c r="S343" s="95" t="str">
        <f t="shared" si="20"/>
        <v/>
      </c>
      <c r="T343" s="96">
        <f t="shared" si="21"/>
        <v>0</v>
      </c>
      <c r="U343" s="51"/>
    </row>
    <row r="344" spans="1:21" x14ac:dyDescent="0.25">
      <c r="A344" s="46">
        <f t="shared" si="17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8"/>
        <v>0</v>
      </c>
      <c r="P344" s="50"/>
      <c r="Q344" s="50"/>
      <c r="R344" s="95" t="str">
        <f t="shared" si="19"/>
        <v/>
      </c>
      <c r="S344" s="95" t="str">
        <f t="shared" si="20"/>
        <v/>
      </c>
      <c r="T344" s="96">
        <f t="shared" si="21"/>
        <v>0</v>
      </c>
      <c r="U344" s="51"/>
    </row>
    <row r="345" spans="1:21" x14ac:dyDescent="0.25">
      <c r="A345" s="46">
        <f t="shared" si="17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8"/>
        <v>0</v>
      </c>
      <c r="P345" s="50"/>
      <c r="Q345" s="50"/>
      <c r="R345" s="95" t="str">
        <f t="shared" si="19"/>
        <v/>
      </c>
      <c r="S345" s="95" t="str">
        <f t="shared" si="20"/>
        <v/>
      </c>
      <c r="T345" s="96">
        <f t="shared" si="21"/>
        <v>0</v>
      </c>
      <c r="U345" s="51"/>
    </row>
    <row r="346" spans="1:21" x14ac:dyDescent="0.25">
      <c r="A346" s="46">
        <f t="shared" si="17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8"/>
        <v>0</v>
      </c>
      <c r="P346" s="50"/>
      <c r="Q346" s="50"/>
      <c r="R346" s="95" t="str">
        <f t="shared" si="19"/>
        <v/>
      </c>
      <c r="S346" s="95" t="str">
        <f t="shared" si="20"/>
        <v/>
      </c>
      <c r="T346" s="96">
        <f t="shared" si="21"/>
        <v>0</v>
      </c>
      <c r="U346" s="51"/>
    </row>
    <row r="347" spans="1:21" x14ac:dyDescent="0.25">
      <c r="A347" s="46">
        <f t="shared" si="17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8"/>
        <v>0</v>
      </c>
      <c r="P347" s="50"/>
      <c r="Q347" s="50"/>
      <c r="R347" s="95" t="str">
        <f t="shared" si="19"/>
        <v/>
      </c>
      <c r="S347" s="95" t="str">
        <f t="shared" si="20"/>
        <v/>
      </c>
      <c r="T347" s="96">
        <f t="shared" si="21"/>
        <v>0</v>
      </c>
      <c r="U347" s="51"/>
    </row>
    <row r="348" spans="1:21" x14ac:dyDescent="0.25">
      <c r="A348" s="46">
        <f t="shared" si="17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8"/>
        <v>0</v>
      </c>
      <c r="P348" s="50"/>
      <c r="Q348" s="50"/>
      <c r="R348" s="95" t="str">
        <f t="shared" si="19"/>
        <v/>
      </c>
      <c r="S348" s="95" t="str">
        <f t="shared" si="20"/>
        <v/>
      </c>
      <c r="T348" s="96">
        <f t="shared" si="21"/>
        <v>0</v>
      </c>
      <c r="U348" s="51"/>
    </row>
    <row r="349" spans="1:21" x14ac:dyDescent="0.25">
      <c r="A349" s="46">
        <f t="shared" si="17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8"/>
        <v>0</v>
      </c>
      <c r="P349" s="50"/>
      <c r="Q349" s="50"/>
      <c r="R349" s="95" t="str">
        <f t="shared" si="19"/>
        <v/>
      </c>
      <c r="S349" s="95" t="str">
        <f t="shared" si="20"/>
        <v/>
      </c>
      <c r="T349" s="96">
        <f t="shared" si="21"/>
        <v>0</v>
      </c>
      <c r="U349" s="51"/>
    </row>
    <row r="350" spans="1:21" x14ac:dyDescent="0.25">
      <c r="A350" s="46">
        <f t="shared" si="17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8"/>
        <v>0</v>
      </c>
      <c r="P350" s="50"/>
      <c r="Q350" s="50"/>
      <c r="R350" s="95" t="str">
        <f t="shared" si="19"/>
        <v/>
      </c>
      <c r="S350" s="95" t="str">
        <f t="shared" si="20"/>
        <v/>
      </c>
      <c r="T350" s="96">
        <f t="shared" si="21"/>
        <v>0</v>
      </c>
      <c r="U350" s="51"/>
    </row>
    <row r="351" spans="1:21" x14ac:dyDescent="0.25">
      <c r="A351" s="46">
        <f t="shared" si="17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8"/>
        <v>0</v>
      </c>
      <c r="P351" s="50"/>
      <c r="Q351" s="50"/>
      <c r="R351" s="95" t="str">
        <f t="shared" si="19"/>
        <v/>
      </c>
      <c r="S351" s="95" t="str">
        <f t="shared" si="20"/>
        <v/>
      </c>
      <c r="T351" s="96">
        <f t="shared" si="21"/>
        <v>0</v>
      </c>
      <c r="U351" s="51"/>
    </row>
    <row r="352" spans="1:21" x14ac:dyDescent="0.25">
      <c r="A352" s="46">
        <f t="shared" si="17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8"/>
        <v>0</v>
      </c>
      <c r="P352" s="50"/>
      <c r="Q352" s="50"/>
      <c r="R352" s="95" t="str">
        <f t="shared" si="19"/>
        <v/>
      </c>
      <c r="S352" s="95" t="str">
        <f t="shared" si="20"/>
        <v/>
      </c>
      <c r="T352" s="96">
        <f t="shared" si="21"/>
        <v>0</v>
      </c>
      <c r="U352" s="51"/>
    </row>
    <row r="353" spans="1:21" x14ac:dyDescent="0.25">
      <c r="A353" s="46">
        <f t="shared" si="17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8"/>
        <v>0</v>
      </c>
      <c r="P353" s="50"/>
      <c r="Q353" s="50"/>
      <c r="R353" s="95" t="str">
        <f t="shared" si="19"/>
        <v/>
      </c>
      <c r="S353" s="95" t="str">
        <f t="shared" si="20"/>
        <v/>
      </c>
      <c r="T353" s="96">
        <f t="shared" si="21"/>
        <v>0</v>
      </c>
      <c r="U353" s="51"/>
    </row>
    <row r="354" spans="1:21" x14ac:dyDescent="0.25">
      <c r="A354" s="46">
        <f t="shared" si="17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8"/>
        <v>0</v>
      </c>
      <c r="P354" s="50"/>
      <c r="Q354" s="50"/>
      <c r="R354" s="95" t="str">
        <f t="shared" si="19"/>
        <v/>
      </c>
      <c r="S354" s="95" t="str">
        <f t="shared" si="20"/>
        <v/>
      </c>
      <c r="T354" s="96">
        <f t="shared" si="21"/>
        <v>0</v>
      </c>
      <c r="U354" s="51"/>
    </row>
    <row r="355" spans="1:21" x14ac:dyDescent="0.25">
      <c r="A355" s="46">
        <f t="shared" si="17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8"/>
        <v>0</v>
      </c>
      <c r="P355" s="50"/>
      <c r="Q355" s="50"/>
      <c r="R355" s="95" t="str">
        <f t="shared" si="19"/>
        <v/>
      </c>
      <c r="S355" s="95" t="str">
        <f t="shared" si="20"/>
        <v/>
      </c>
      <c r="T355" s="96">
        <f t="shared" si="21"/>
        <v>0</v>
      </c>
      <c r="U355" s="51"/>
    </row>
    <row r="356" spans="1:21" x14ac:dyDescent="0.25">
      <c r="A356" s="46">
        <f t="shared" si="17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8"/>
        <v>0</v>
      </c>
      <c r="P356" s="50"/>
      <c r="Q356" s="50"/>
      <c r="R356" s="95" t="str">
        <f t="shared" si="19"/>
        <v/>
      </c>
      <c r="S356" s="95" t="str">
        <f t="shared" si="20"/>
        <v/>
      </c>
      <c r="T356" s="96">
        <f t="shared" si="21"/>
        <v>0</v>
      </c>
      <c r="U356" s="51"/>
    </row>
    <row r="357" spans="1:21" x14ac:dyDescent="0.25">
      <c r="A357" s="46">
        <f t="shared" si="17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8"/>
        <v>0</v>
      </c>
      <c r="P357" s="50"/>
      <c r="Q357" s="50"/>
      <c r="R357" s="95" t="str">
        <f t="shared" si="19"/>
        <v/>
      </c>
      <c r="S357" s="95" t="str">
        <f t="shared" si="20"/>
        <v/>
      </c>
      <c r="T357" s="96">
        <f t="shared" si="21"/>
        <v>0</v>
      </c>
      <c r="U357" s="51"/>
    </row>
    <row r="358" spans="1:21" x14ac:dyDescent="0.25">
      <c r="A358" s="46">
        <f t="shared" si="17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8"/>
        <v>0</v>
      </c>
      <c r="P358" s="50"/>
      <c r="Q358" s="50"/>
      <c r="R358" s="95" t="str">
        <f t="shared" si="19"/>
        <v/>
      </c>
      <c r="S358" s="95" t="str">
        <f t="shared" si="20"/>
        <v/>
      </c>
      <c r="T358" s="96">
        <f t="shared" si="21"/>
        <v>0</v>
      </c>
      <c r="U358" s="51"/>
    </row>
    <row r="359" spans="1:21" x14ac:dyDescent="0.25">
      <c r="A359" s="46">
        <f t="shared" si="17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8"/>
        <v>0</v>
      </c>
      <c r="P359" s="50"/>
      <c r="Q359" s="50"/>
      <c r="R359" s="95" t="str">
        <f t="shared" si="19"/>
        <v/>
      </c>
      <c r="S359" s="95" t="str">
        <f t="shared" si="20"/>
        <v/>
      </c>
      <c r="T359" s="96">
        <f t="shared" si="21"/>
        <v>0</v>
      </c>
      <c r="U359" s="51"/>
    </row>
    <row r="360" spans="1:21" x14ac:dyDescent="0.25">
      <c r="A360" s="46">
        <f t="shared" si="17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8"/>
        <v>0</v>
      </c>
      <c r="P360" s="50"/>
      <c r="Q360" s="50"/>
      <c r="R360" s="95" t="str">
        <f t="shared" si="19"/>
        <v/>
      </c>
      <c r="S360" s="95" t="str">
        <f t="shared" si="20"/>
        <v/>
      </c>
      <c r="T360" s="96">
        <f t="shared" si="21"/>
        <v>0</v>
      </c>
      <c r="U360" s="51"/>
    </row>
    <row r="361" spans="1:21" x14ac:dyDescent="0.25">
      <c r="A361" s="46">
        <f t="shared" si="17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8"/>
        <v>0</v>
      </c>
      <c r="P361" s="50"/>
      <c r="Q361" s="50"/>
      <c r="R361" s="95" t="str">
        <f t="shared" si="19"/>
        <v/>
      </c>
      <c r="S361" s="95" t="str">
        <f t="shared" si="20"/>
        <v/>
      </c>
      <c r="T361" s="96">
        <f t="shared" si="21"/>
        <v>0</v>
      </c>
      <c r="U361" s="51"/>
    </row>
    <row r="362" spans="1:21" x14ac:dyDescent="0.25">
      <c r="A362" s="46">
        <f t="shared" si="17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8"/>
        <v>0</v>
      </c>
      <c r="P362" s="50"/>
      <c r="Q362" s="50"/>
      <c r="R362" s="95" t="str">
        <f t="shared" si="19"/>
        <v/>
      </c>
      <c r="S362" s="95" t="str">
        <f t="shared" si="20"/>
        <v/>
      </c>
      <c r="T362" s="96">
        <f t="shared" si="21"/>
        <v>0</v>
      </c>
      <c r="U362" s="51"/>
    </row>
    <row r="363" spans="1:21" x14ac:dyDescent="0.25">
      <c r="A363" s="46">
        <f t="shared" si="17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8"/>
        <v>0</v>
      </c>
      <c r="P363" s="50"/>
      <c r="Q363" s="50"/>
      <c r="R363" s="95" t="str">
        <f t="shared" si="19"/>
        <v/>
      </c>
      <c r="S363" s="95" t="str">
        <f t="shared" si="20"/>
        <v/>
      </c>
      <c r="T363" s="96">
        <f t="shared" si="21"/>
        <v>0</v>
      </c>
      <c r="U363" s="51"/>
    </row>
    <row r="364" spans="1:21" x14ac:dyDescent="0.25">
      <c r="A364" s="46">
        <f t="shared" si="17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8"/>
        <v>0</v>
      </c>
      <c r="P364" s="50"/>
      <c r="Q364" s="50"/>
      <c r="R364" s="95" t="str">
        <f t="shared" si="19"/>
        <v/>
      </c>
      <c r="S364" s="95" t="str">
        <f t="shared" si="20"/>
        <v/>
      </c>
      <c r="T364" s="96">
        <f t="shared" si="21"/>
        <v>0</v>
      </c>
      <c r="U364" s="51"/>
    </row>
    <row r="365" spans="1:21" x14ac:dyDescent="0.25">
      <c r="A365" s="46">
        <f t="shared" si="17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8"/>
        <v>0</v>
      </c>
      <c r="P365" s="50"/>
      <c r="Q365" s="50"/>
      <c r="R365" s="95" t="str">
        <f t="shared" si="19"/>
        <v/>
      </c>
      <c r="S365" s="95" t="str">
        <f t="shared" si="20"/>
        <v/>
      </c>
      <c r="T365" s="96">
        <f t="shared" si="21"/>
        <v>0</v>
      </c>
      <c r="U365" s="51"/>
    </row>
    <row r="366" spans="1:21" x14ac:dyDescent="0.25">
      <c r="A366" s="46">
        <f t="shared" si="17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8"/>
        <v>0</v>
      </c>
      <c r="P366" s="50"/>
      <c r="Q366" s="50"/>
      <c r="R366" s="95" t="str">
        <f t="shared" si="19"/>
        <v/>
      </c>
      <c r="S366" s="95" t="str">
        <f t="shared" si="20"/>
        <v/>
      </c>
      <c r="T366" s="96">
        <f t="shared" si="21"/>
        <v>0</v>
      </c>
      <c r="U366" s="51"/>
    </row>
    <row r="367" spans="1:21" x14ac:dyDescent="0.25">
      <c r="A367" s="46">
        <f t="shared" si="17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8"/>
        <v>0</v>
      </c>
      <c r="P367" s="50"/>
      <c r="Q367" s="50"/>
      <c r="R367" s="95" t="str">
        <f t="shared" si="19"/>
        <v/>
      </c>
      <c r="S367" s="95" t="str">
        <f t="shared" si="20"/>
        <v/>
      </c>
      <c r="T367" s="96">
        <f t="shared" si="21"/>
        <v>0</v>
      </c>
      <c r="U367" s="51"/>
    </row>
    <row r="368" spans="1:21" x14ac:dyDescent="0.25">
      <c r="A368" s="46">
        <f t="shared" si="17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8"/>
        <v>0</v>
      </c>
      <c r="P368" s="50"/>
      <c r="Q368" s="50"/>
      <c r="R368" s="95" t="str">
        <f t="shared" si="19"/>
        <v/>
      </c>
      <c r="S368" s="95" t="str">
        <f t="shared" si="20"/>
        <v/>
      </c>
      <c r="T368" s="96">
        <f t="shared" si="21"/>
        <v>0</v>
      </c>
      <c r="U368" s="51"/>
    </row>
    <row r="369" spans="1:21" x14ac:dyDescent="0.25">
      <c r="A369" s="46">
        <f t="shared" si="17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8"/>
        <v>0</v>
      </c>
      <c r="P369" s="50"/>
      <c r="Q369" s="50"/>
      <c r="R369" s="95" t="str">
        <f t="shared" si="19"/>
        <v/>
      </c>
      <c r="S369" s="95" t="str">
        <f t="shared" si="20"/>
        <v/>
      </c>
      <c r="T369" s="96">
        <f t="shared" si="21"/>
        <v>0</v>
      </c>
      <c r="U369" s="51"/>
    </row>
    <row r="370" spans="1:21" x14ac:dyDescent="0.25">
      <c r="A370" s="46">
        <f t="shared" si="17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8"/>
        <v>0</v>
      </c>
      <c r="P370" s="50"/>
      <c r="Q370" s="50"/>
      <c r="R370" s="95" t="str">
        <f t="shared" si="19"/>
        <v/>
      </c>
      <c r="S370" s="95" t="str">
        <f t="shared" si="20"/>
        <v/>
      </c>
      <c r="T370" s="96">
        <f t="shared" si="21"/>
        <v>0</v>
      </c>
      <c r="U370" s="51"/>
    </row>
    <row r="371" spans="1:21" x14ac:dyDescent="0.25">
      <c r="A371" s="46">
        <f t="shared" si="17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8"/>
        <v>0</v>
      </c>
      <c r="P371" s="50"/>
      <c r="Q371" s="50"/>
      <c r="R371" s="95" t="str">
        <f t="shared" si="19"/>
        <v/>
      </c>
      <c r="S371" s="95" t="str">
        <f t="shared" si="20"/>
        <v/>
      </c>
      <c r="T371" s="96">
        <f t="shared" si="21"/>
        <v>0</v>
      </c>
      <c r="U371" s="51"/>
    </row>
    <row r="372" spans="1:21" x14ac:dyDescent="0.25">
      <c r="A372" s="46">
        <f t="shared" si="17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8"/>
        <v>0</v>
      </c>
      <c r="P372" s="50"/>
      <c r="Q372" s="50"/>
      <c r="R372" s="95" t="str">
        <f t="shared" si="19"/>
        <v/>
      </c>
      <c r="S372" s="95" t="str">
        <f t="shared" si="20"/>
        <v/>
      </c>
      <c r="T372" s="96">
        <f t="shared" si="21"/>
        <v>0</v>
      </c>
      <c r="U372" s="51"/>
    </row>
    <row r="373" spans="1:21" x14ac:dyDescent="0.25">
      <c r="A373" s="46">
        <f t="shared" si="17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8"/>
        <v>0</v>
      </c>
      <c r="P373" s="50"/>
      <c r="Q373" s="50"/>
      <c r="R373" s="95" t="str">
        <f t="shared" si="19"/>
        <v/>
      </c>
      <c r="S373" s="95" t="str">
        <f t="shared" si="20"/>
        <v/>
      </c>
      <c r="T373" s="96">
        <f t="shared" si="21"/>
        <v>0</v>
      </c>
      <c r="U373" s="51"/>
    </row>
    <row r="374" spans="1:21" x14ac:dyDescent="0.25">
      <c r="A374" s="46">
        <f t="shared" si="17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8"/>
        <v>0</v>
      </c>
      <c r="P374" s="50"/>
      <c r="Q374" s="50"/>
      <c r="R374" s="95" t="str">
        <f t="shared" si="19"/>
        <v/>
      </c>
      <c r="S374" s="95" t="str">
        <f t="shared" si="20"/>
        <v/>
      </c>
      <c r="T374" s="96">
        <f t="shared" si="21"/>
        <v>0</v>
      </c>
      <c r="U374" s="51"/>
    </row>
    <row r="375" spans="1:21" x14ac:dyDescent="0.25">
      <c r="A375" s="46">
        <f t="shared" si="17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8"/>
        <v>0</v>
      </c>
      <c r="P375" s="50"/>
      <c r="Q375" s="50"/>
      <c r="R375" s="95" t="str">
        <f t="shared" si="19"/>
        <v/>
      </c>
      <c r="S375" s="95" t="str">
        <f t="shared" si="20"/>
        <v/>
      </c>
      <c r="T375" s="96">
        <f t="shared" si="21"/>
        <v>0</v>
      </c>
      <c r="U375" s="51"/>
    </row>
    <row r="376" spans="1:21" x14ac:dyDescent="0.25">
      <c r="A376" s="46">
        <f t="shared" si="17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8"/>
        <v>0</v>
      </c>
      <c r="P376" s="50"/>
      <c r="Q376" s="50"/>
      <c r="R376" s="95" t="str">
        <f t="shared" si="19"/>
        <v/>
      </c>
      <c r="S376" s="95" t="str">
        <f t="shared" si="20"/>
        <v/>
      </c>
      <c r="T376" s="96">
        <f t="shared" si="21"/>
        <v>0</v>
      </c>
      <c r="U376" s="51"/>
    </row>
    <row r="377" spans="1:21" x14ac:dyDescent="0.25">
      <c r="A377" s="46">
        <f t="shared" si="17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8"/>
        <v>0</v>
      </c>
      <c r="P377" s="50"/>
      <c r="Q377" s="50"/>
      <c r="R377" s="95" t="str">
        <f t="shared" si="19"/>
        <v/>
      </c>
      <c r="S377" s="95" t="str">
        <f t="shared" si="20"/>
        <v/>
      </c>
      <c r="T377" s="96">
        <f t="shared" si="21"/>
        <v>0</v>
      </c>
      <c r="U377" s="51"/>
    </row>
    <row r="378" spans="1:21" x14ac:dyDescent="0.25">
      <c r="A378" s="46">
        <f t="shared" si="17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8"/>
        <v>0</v>
      </c>
      <c r="P378" s="50"/>
      <c r="Q378" s="50"/>
      <c r="R378" s="95" t="str">
        <f t="shared" si="19"/>
        <v/>
      </c>
      <c r="S378" s="95" t="str">
        <f t="shared" si="20"/>
        <v/>
      </c>
      <c r="T378" s="96">
        <f t="shared" si="21"/>
        <v>0</v>
      </c>
      <c r="U378" s="51"/>
    </row>
    <row r="379" spans="1:21" x14ac:dyDescent="0.25">
      <c r="A379" s="46">
        <f t="shared" si="17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8"/>
        <v>0</v>
      </c>
      <c r="P379" s="50"/>
      <c r="Q379" s="50"/>
      <c r="R379" s="95" t="str">
        <f t="shared" si="19"/>
        <v/>
      </c>
      <c r="S379" s="95" t="str">
        <f t="shared" si="20"/>
        <v/>
      </c>
      <c r="T379" s="96">
        <f t="shared" si="21"/>
        <v>0</v>
      </c>
      <c r="U379" s="51"/>
    </row>
    <row r="380" spans="1:21" x14ac:dyDescent="0.25">
      <c r="A380" s="46">
        <f t="shared" si="17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8"/>
        <v>0</v>
      </c>
      <c r="P380" s="50"/>
      <c r="Q380" s="50"/>
      <c r="R380" s="95" t="str">
        <f t="shared" si="19"/>
        <v/>
      </c>
      <c r="S380" s="95" t="str">
        <f t="shared" si="20"/>
        <v/>
      </c>
      <c r="T380" s="96">
        <f t="shared" si="21"/>
        <v>0</v>
      </c>
      <c r="U380" s="51"/>
    </row>
    <row r="381" spans="1:21" x14ac:dyDescent="0.25">
      <c r="A381" s="46">
        <f t="shared" si="17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8"/>
        <v>0</v>
      </c>
      <c r="P381" s="50"/>
      <c r="Q381" s="50"/>
      <c r="R381" s="95" t="str">
        <f t="shared" si="19"/>
        <v/>
      </c>
      <c r="S381" s="95" t="str">
        <f t="shared" si="20"/>
        <v/>
      </c>
      <c r="T381" s="96">
        <f t="shared" si="21"/>
        <v>0</v>
      </c>
      <c r="U381" s="51"/>
    </row>
    <row r="382" spans="1:21" x14ac:dyDescent="0.25">
      <c r="A382" s="46">
        <f t="shared" si="17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8"/>
        <v>0</v>
      </c>
      <c r="P382" s="50"/>
      <c r="Q382" s="50"/>
      <c r="R382" s="95" t="str">
        <f t="shared" si="19"/>
        <v/>
      </c>
      <c r="S382" s="95" t="str">
        <f t="shared" si="20"/>
        <v/>
      </c>
      <c r="T382" s="96">
        <f t="shared" si="21"/>
        <v>0</v>
      </c>
      <c r="U382" s="51"/>
    </row>
    <row r="383" spans="1:21" x14ac:dyDescent="0.25">
      <c r="A383" s="46">
        <f t="shared" si="17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8"/>
        <v>0</v>
      </c>
      <c r="P383" s="50"/>
      <c r="Q383" s="50"/>
      <c r="R383" s="95" t="str">
        <f t="shared" si="19"/>
        <v/>
      </c>
      <c r="S383" s="95" t="str">
        <f t="shared" si="20"/>
        <v/>
      </c>
      <c r="T383" s="96">
        <f t="shared" si="21"/>
        <v>0</v>
      </c>
      <c r="U383" s="51"/>
    </row>
    <row r="384" spans="1:21" x14ac:dyDescent="0.25">
      <c r="A384" s="46">
        <f t="shared" si="17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8"/>
        <v>0</v>
      </c>
      <c r="P384" s="50"/>
      <c r="Q384" s="50"/>
      <c r="R384" s="95" t="str">
        <f t="shared" si="19"/>
        <v/>
      </c>
      <c r="S384" s="95" t="str">
        <f t="shared" si="20"/>
        <v/>
      </c>
      <c r="T384" s="96">
        <f t="shared" si="21"/>
        <v>0</v>
      </c>
      <c r="U384" s="51"/>
    </row>
    <row r="385" spans="1:21" x14ac:dyDescent="0.25">
      <c r="A385" s="46">
        <f t="shared" si="17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8"/>
        <v>0</v>
      </c>
      <c r="P385" s="50"/>
      <c r="Q385" s="50"/>
      <c r="R385" s="95" t="str">
        <f t="shared" si="19"/>
        <v/>
      </c>
      <c r="S385" s="95" t="str">
        <f t="shared" si="20"/>
        <v/>
      </c>
      <c r="T385" s="96">
        <f t="shared" si="21"/>
        <v>0</v>
      </c>
      <c r="U385" s="51"/>
    </row>
    <row r="386" spans="1:21" x14ac:dyDescent="0.25">
      <c r="A386" s="46">
        <f t="shared" si="17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8"/>
        <v>0</v>
      </c>
      <c r="P386" s="50"/>
      <c r="Q386" s="50"/>
      <c r="R386" s="95" t="str">
        <f t="shared" si="19"/>
        <v/>
      </c>
      <c r="S386" s="95" t="str">
        <f t="shared" si="20"/>
        <v/>
      </c>
      <c r="T386" s="96">
        <f t="shared" si="21"/>
        <v>0</v>
      </c>
      <c r="U386" s="51"/>
    </row>
    <row r="387" spans="1:21" x14ac:dyDescent="0.25">
      <c r="A387" s="46">
        <f t="shared" si="17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8"/>
        <v>0</v>
      </c>
      <c r="P387" s="50"/>
      <c r="Q387" s="50"/>
      <c r="R387" s="95" t="str">
        <f t="shared" si="19"/>
        <v/>
      </c>
      <c r="S387" s="95" t="str">
        <f t="shared" si="20"/>
        <v/>
      </c>
      <c r="T387" s="96">
        <f t="shared" si="21"/>
        <v>0</v>
      </c>
      <c r="U387" s="51"/>
    </row>
    <row r="388" spans="1:21" x14ac:dyDescent="0.25">
      <c r="A388" s="46">
        <f t="shared" si="17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8"/>
        <v>0</v>
      </c>
      <c r="P388" s="50"/>
      <c r="Q388" s="50"/>
      <c r="R388" s="95" t="str">
        <f t="shared" si="19"/>
        <v/>
      </c>
      <c r="S388" s="95" t="str">
        <f t="shared" si="20"/>
        <v/>
      </c>
      <c r="T388" s="96">
        <f t="shared" si="21"/>
        <v>0</v>
      </c>
      <c r="U388" s="51"/>
    </row>
    <row r="389" spans="1:21" x14ac:dyDescent="0.25">
      <c r="A389" s="46">
        <f t="shared" si="17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8"/>
        <v>0</v>
      </c>
      <c r="P389" s="50"/>
      <c r="Q389" s="50"/>
      <c r="R389" s="95" t="str">
        <f t="shared" si="19"/>
        <v/>
      </c>
      <c r="S389" s="95" t="str">
        <f t="shared" si="20"/>
        <v/>
      </c>
      <c r="T389" s="96">
        <f t="shared" si="21"/>
        <v>0</v>
      </c>
      <c r="U389" s="51"/>
    </row>
    <row r="390" spans="1:21" x14ac:dyDescent="0.25">
      <c r="A390" s="46">
        <f t="shared" si="17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8"/>
        <v>0</v>
      </c>
      <c r="P390" s="50"/>
      <c r="Q390" s="50"/>
      <c r="R390" s="95" t="str">
        <f t="shared" si="19"/>
        <v/>
      </c>
      <c r="S390" s="95" t="str">
        <f t="shared" si="20"/>
        <v/>
      </c>
      <c r="T390" s="96">
        <f t="shared" si="21"/>
        <v>0</v>
      </c>
      <c r="U390" s="51"/>
    </row>
    <row r="391" spans="1:21" x14ac:dyDescent="0.25">
      <c r="A391" s="46">
        <f t="shared" si="17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8"/>
        <v>0</v>
      </c>
      <c r="P391" s="50"/>
      <c r="Q391" s="50"/>
      <c r="R391" s="95" t="str">
        <f t="shared" si="19"/>
        <v/>
      </c>
      <c r="S391" s="95" t="str">
        <f t="shared" si="20"/>
        <v/>
      </c>
      <c r="T391" s="96">
        <f t="shared" si="21"/>
        <v>0</v>
      </c>
      <c r="U391" s="51"/>
    </row>
    <row r="392" spans="1:21" x14ac:dyDescent="0.25">
      <c r="A392" s="46">
        <f t="shared" si="17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8"/>
        <v>0</v>
      </c>
      <c r="P392" s="50"/>
      <c r="Q392" s="50"/>
      <c r="R392" s="95" t="str">
        <f t="shared" si="19"/>
        <v/>
      </c>
      <c r="S392" s="95" t="str">
        <f t="shared" si="20"/>
        <v/>
      </c>
      <c r="T392" s="96">
        <f t="shared" si="21"/>
        <v>0</v>
      </c>
      <c r="U392" s="51"/>
    </row>
    <row r="393" spans="1:21" x14ac:dyDescent="0.25">
      <c r="A393" s="46">
        <f t="shared" si="17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8"/>
        <v>0</v>
      </c>
      <c r="P393" s="50"/>
      <c r="Q393" s="50"/>
      <c r="R393" s="95" t="str">
        <f t="shared" si="19"/>
        <v/>
      </c>
      <c r="S393" s="95" t="str">
        <f t="shared" si="20"/>
        <v/>
      </c>
      <c r="T393" s="96">
        <f t="shared" si="21"/>
        <v>0</v>
      </c>
      <c r="U393" s="51"/>
    </row>
    <row r="394" spans="1:21" x14ac:dyDescent="0.25">
      <c r="A394" s="46">
        <f t="shared" si="17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8"/>
        <v>0</v>
      </c>
      <c r="P394" s="50"/>
      <c r="Q394" s="50"/>
      <c r="R394" s="95" t="str">
        <f t="shared" si="19"/>
        <v/>
      </c>
      <c r="S394" s="95" t="str">
        <f t="shared" si="20"/>
        <v/>
      </c>
      <c r="T394" s="96">
        <f t="shared" si="21"/>
        <v>0</v>
      </c>
      <c r="U394" s="51"/>
    </row>
    <row r="395" spans="1:21" x14ac:dyDescent="0.25">
      <c r="A395" s="46">
        <f t="shared" si="17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8"/>
        <v>0</v>
      </c>
      <c r="P395" s="50"/>
      <c r="Q395" s="50"/>
      <c r="R395" s="95" t="str">
        <f t="shared" si="19"/>
        <v/>
      </c>
      <c r="S395" s="95" t="str">
        <f t="shared" si="20"/>
        <v/>
      </c>
      <c r="T395" s="96">
        <f t="shared" si="21"/>
        <v>0</v>
      </c>
      <c r="U395" s="51"/>
    </row>
    <row r="396" spans="1:21" x14ac:dyDescent="0.25">
      <c r="A396" s="46">
        <f t="shared" ref="A396:A411" si="22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3">T396*N396</f>
        <v>0</v>
      </c>
      <c r="P396" s="50"/>
      <c r="Q396" s="50"/>
      <c r="R396" s="95" t="str">
        <f t="shared" ref="R396:R411" si="24">IF(OR(P396="c",P396="C"),+T396,"")</f>
        <v/>
      </c>
      <c r="S396" s="95" t="str">
        <f t="shared" ref="S396:S411" si="25">IF(OR(P396="$",N396=1),+T396,"")</f>
        <v/>
      </c>
      <c r="T396" s="96">
        <f t="shared" ref="T396:T411" si="26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2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3"/>
        <v>0</v>
      </c>
      <c r="P397" s="50"/>
      <c r="Q397" s="50"/>
      <c r="R397" s="95" t="str">
        <f t="shared" si="24"/>
        <v/>
      </c>
      <c r="S397" s="95" t="str">
        <f t="shared" si="25"/>
        <v/>
      </c>
      <c r="T397" s="96">
        <f t="shared" si="26"/>
        <v>0</v>
      </c>
      <c r="U397" s="51"/>
    </row>
    <row r="398" spans="1:21" x14ac:dyDescent="0.25">
      <c r="A398" s="46">
        <f t="shared" si="22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3"/>
        <v>0</v>
      </c>
      <c r="P398" s="50"/>
      <c r="Q398" s="50"/>
      <c r="R398" s="95" t="str">
        <f t="shared" si="24"/>
        <v/>
      </c>
      <c r="S398" s="95" t="str">
        <f t="shared" si="25"/>
        <v/>
      </c>
      <c r="T398" s="96">
        <f t="shared" si="26"/>
        <v>0</v>
      </c>
      <c r="U398" s="51"/>
    </row>
    <row r="399" spans="1:21" x14ac:dyDescent="0.25">
      <c r="A399" s="46">
        <f t="shared" si="22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3"/>
        <v>0</v>
      </c>
      <c r="P399" s="50"/>
      <c r="Q399" s="50"/>
      <c r="R399" s="95" t="str">
        <f t="shared" si="24"/>
        <v/>
      </c>
      <c r="S399" s="95" t="str">
        <f t="shared" si="25"/>
        <v/>
      </c>
      <c r="T399" s="96">
        <f t="shared" si="26"/>
        <v>0</v>
      </c>
      <c r="U399" s="51"/>
    </row>
    <row r="400" spans="1:21" x14ac:dyDescent="0.25">
      <c r="A400" s="46">
        <f t="shared" si="22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3"/>
        <v>0</v>
      </c>
      <c r="P400" s="50"/>
      <c r="Q400" s="50"/>
      <c r="R400" s="95" t="str">
        <f t="shared" si="24"/>
        <v/>
      </c>
      <c r="S400" s="95" t="str">
        <f t="shared" si="25"/>
        <v/>
      </c>
      <c r="T400" s="96">
        <f t="shared" si="26"/>
        <v>0</v>
      </c>
      <c r="U400" s="51"/>
    </row>
    <row r="401" spans="1:21" x14ac:dyDescent="0.25">
      <c r="A401" s="46">
        <f t="shared" si="22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3"/>
        <v>0</v>
      </c>
      <c r="P401" s="50"/>
      <c r="Q401" s="50"/>
      <c r="R401" s="95" t="str">
        <f t="shared" si="24"/>
        <v/>
      </c>
      <c r="S401" s="95" t="str">
        <f t="shared" si="25"/>
        <v/>
      </c>
      <c r="T401" s="96">
        <f t="shared" si="26"/>
        <v>0</v>
      </c>
      <c r="U401" s="51"/>
    </row>
    <row r="402" spans="1:21" x14ac:dyDescent="0.25">
      <c r="A402" s="46">
        <f t="shared" si="22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3"/>
        <v>0</v>
      </c>
      <c r="P402" s="50"/>
      <c r="Q402" s="50"/>
      <c r="R402" s="95" t="str">
        <f t="shared" si="24"/>
        <v/>
      </c>
      <c r="S402" s="95" t="str">
        <f t="shared" si="25"/>
        <v/>
      </c>
      <c r="T402" s="96">
        <f t="shared" si="26"/>
        <v>0</v>
      </c>
      <c r="U402" s="51"/>
    </row>
    <row r="403" spans="1:21" x14ac:dyDescent="0.25">
      <c r="A403" s="46">
        <f t="shared" si="22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3"/>
        <v>0</v>
      </c>
      <c r="P403" s="50"/>
      <c r="Q403" s="50"/>
      <c r="R403" s="95" t="str">
        <f t="shared" si="24"/>
        <v/>
      </c>
      <c r="S403" s="95" t="str">
        <f t="shared" si="25"/>
        <v/>
      </c>
      <c r="T403" s="96">
        <f t="shared" si="26"/>
        <v>0</v>
      </c>
      <c r="U403" s="51"/>
    </row>
    <row r="404" spans="1:21" x14ac:dyDescent="0.25">
      <c r="A404" s="46">
        <f t="shared" si="22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3"/>
        <v>0</v>
      </c>
      <c r="P404" s="50"/>
      <c r="Q404" s="50"/>
      <c r="R404" s="95" t="str">
        <f t="shared" si="24"/>
        <v/>
      </c>
      <c r="S404" s="95" t="str">
        <f t="shared" si="25"/>
        <v/>
      </c>
      <c r="T404" s="96">
        <f t="shared" si="26"/>
        <v>0</v>
      </c>
      <c r="U404" s="51"/>
    </row>
    <row r="405" spans="1:21" x14ac:dyDescent="0.25">
      <c r="A405" s="46">
        <f t="shared" si="22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3"/>
        <v>0</v>
      </c>
      <c r="P405" s="50"/>
      <c r="Q405" s="50"/>
      <c r="R405" s="95" t="str">
        <f t="shared" si="24"/>
        <v/>
      </c>
      <c r="S405" s="95" t="str">
        <f t="shared" si="25"/>
        <v/>
      </c>
      <c r="T405" s="96">
        <f t="shared" si="26"/>
        <v>0</v>
      </c>
      <c r="U405" s="51"/>
    </row>
    <row r="406" spans="1:21" x14ac:dyDescent="0.25">
      <c r="A406" s="46">
        <f t="shared" si="22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3"/>
        <v>0</v>
      </c>
      <c r="P406" s="50"/>
      <c r="Q406" s="50"/>
      <c r="R406" s="95" t="str">
        <f t="shared" si="24"/>
        <v/>
      </c>
      <c r="S406" s="95" t="str">
        <f t="shared" si="25"/>
        <v/>
      </c>
      <c r="T406" s="96">
        <f t="shared" si="26"/>
        <v>0</v>
      </c>
      <c r="U406" s="51"/>
    </row>
    <row r="407" spans="1:21" x14ac:dyDescent="0.25">
      <c r="A407" s="46">
        <f t="shared" si="22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3"/>
        <v>0</v>
      </c>
      <c r="P407" s="50"/>
      <c r="Q407" s="50"/>
      <c r="R407" s="95" t="str">
        <f t="shared" si="24"/>
        <v/>
      </c>
      <c r="S407" s="95" t="str">
        <f t="shared" si="25"/>
        <v/>
      </c>
      <c r="T407" s="96">
        <f t="shared" si="26"/>
        <v>0</v>
      </c>
      <c r="U407" s="51"/>
    </row>
    <row r="408" spans="1:21" x14ac:dyDescent="0.25">
      <c r="A408" s="46">
        <f t="shared" si="22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3"/>
        <v>0</v>
      </c>
      <c r="P408" s="50"/>
      <c r="Q408" s="50"/>
      <c r="R408" s="95" t="str">
        <f t="shared" si="24"/>
        <v/>
      </c>
      <c r="S408" s="95" t="str">
        <f t="shared" si="25"/>
        <v/>
      </c>
      <c r="T408" s="96">
        <f t="shared" si="26"/>
        <v>0</v>
      </c>
      <c r="U408" s="51"/>
    </row>
    <row r="409" spans="1:21" x14ac:dyDescent="0.25">
      <c r="A409" s="46">
        <f t="shared" si="22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3"/>
        <v>0</v>
      </c>
      <c r="P409" s="50"/>
      <c r="Q409" s="50"/>
      <c r="R409" s="95" t="str">
        <f t="shared" si="24"/>
        <v/>
      </c>
      <c r="S409" s="95" t="str">
        <f t="shared" si="25"/>
        <v/>
      </c>
      <c r="T409" s="96">
        <f t="shared" si="26"/>
        <v>0</v>
      </c>
      <c r="U409" s="51"/>
    </row>
    <row r="410" spans="1:21" x14ac:dyDescent="0.25">
      <c r="A410" s="46">
        <f t="shared" si="22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3"/>
        <v>0</v>
      </c>
      <c r="P410" s="50"/>
      <c r="Q410" s="50"/>
      <c r="R410" s="95" t="str">
        <f t="shared" si="24"/>
        <v/>
      </c>
      <c r="S410" s="95" t="str">
        <f t="shared" si="25"/>
        <v/>
      </c>
      <c r="T410" s="96">
        <f t="shared" si="26"/>
        <v>0</v>
      </c>
      <c r="U410" s="51"/>
    </row>
    <row r="411" spans="1:21" x14ac:dyDescent="0.25">
      <c r="A411" s="46">
        <f t="shared" si="22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3"/>
        <v>0</v>
      </c>
      <c r="P411" s="50"/>
      <c r="Q411" s="50"/>
      <c r="R411" s="95" t="str">
        <f t="shared" si="24"/>
        <v/>
      </c>
      <c r="S411" s="95" t="str">
        <f t="shared" si="25"/>
        <v/>
      </c>
      <c r="T411" s="96">
        <f t="shared" si="26"/>
        <v>0</v>
      </c>
      <c r="U411" s="51"/>
    </row>
  </sheetData>
  <sheetProtection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747</v>
      </c>
      <c r="B5" s="5"/>
      <c r="C5" s="6" t="s">
        <v>748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769</v>
      </c>
      <c r="B9" s="7" t="s">
        <v>770</v>
      </c>
      <c r="C9" s="10" t="s">
        <v>771</v>
      </c>
      <c r="D9" s="49"/>
      <c r="E9" s="47"/>
      <c r="F9" s="47"/>
      <c r="G9" s="47"/>
      <c r="H9" s="47"/>
      <c r="I9" s="47"/>
      <c r="J9" s="47">
        <v>1</v>
      </c>
      <c r="K9" s="94">
        <v>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2026-04-17T04:51:07Z</dcterms:modified>
</cp:coreProperties>
</file>