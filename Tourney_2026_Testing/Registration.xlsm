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1D34FD23-AFCC-4020-9699-877287E66343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R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81" i="1" l="1"/>
  <c r="R137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<sst xmlns="http://schemas.openxmlformats.org/spreadsheetml/2006/main" count="1820" uniqueCount="815">
  <si>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</si>
  <si>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</si>
  <si>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</si>
  <si>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</si>
  <si>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</si>
  <si>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</si>
  <si>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</si>
  <si>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</si>
  <si>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</si>
  <si>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</si>
  <si>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</si>
  <si>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</si>
  <si>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</si>
  <si>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</si>
  <si>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</si>
  <si>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</si>
  <si>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</si>
  <si>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</si>
  <si>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</si>
  <si>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</si>
  <si>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</si>
  <si>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</si>
  <si>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</si>
  <si>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</si>
  <si>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</si>
  <si>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</si>
  <si>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</si>
  <si>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</si>
  <si>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</si>
  <si>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</si>
  <si>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</si>
  <si>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</si>
  <si>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</si>
  <si>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</si>
  <si>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</si>
  <si>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</si>
  <si>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</si>
  <si>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</si>
  <si>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</si>
  <si>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</si>
  <si>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</si>
  <si>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</si>
  <si>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</si>
  <si>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</si>
  <si>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</si>
  <si>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</si>
  <si>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</si>
  <si>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</si>
  <si>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</si>
  <si>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</si>
  <si>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</si>
  <si>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</si>
  <si>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</si>
  <si>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</si>
  <si>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</si>
  <si>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</si>
  <si>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</si>
  <si>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</si>
  <si>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</si>
  <si>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</si>
  <si>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</si>
  <si>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</si>
  <si>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</si>
  <si>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</si>
  <si>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</si>
  <si>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</si>
  <si>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</si>
  <si>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</si>
  <si>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</si>
  <si>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</si>
  <si>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</si>
  <si>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</si>
  <si>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</si>
  <si>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</si>
  <si>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</si>
  <si>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</si>
  <si>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</si>
  <si>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</si>
  <si>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</si>
  <si>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</si>
  <si>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</si>
  <si>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</si>
  <si>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</si>
  <si>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</si>
  <si>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</si>
  <si>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</si>
  <si>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</si>
  <si>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</si>
  <si>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</si>
  <si>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</si>
  <si>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</si>
  <si>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</si>
  <si>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</si>
  <si>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</si>
  <si>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</si>
  <si>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</si>
  <si>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</si>
  <si>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</si>
  <si>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</si>
  <si>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</si>
  <si>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</si>
  <si>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</si>
  <si>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</si>
  <si>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</si>
  <si>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</si>
  <si>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</si>
  <si>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</si>
  <si>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</si>
  <si>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</si>
  <si>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</si>
  <si>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</si>
  <si>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</si>
  <si>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</si>
  <si>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</si>
  <si>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</si>
  <si>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</si>
  <si>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</si>
  <si>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</si>
  <si>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</si>
  <si>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</si>
  <si>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</si>
  <si>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</si>
  <si>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</si>
  <si>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</si>
  <si>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</si>
  <si>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</si>
  <si>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</si>
  <si>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</si>
  <si>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</si>
  <si>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</si>
  <si>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</si>
  <si>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</si>
  <si>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</si>
  <si>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</si>
  <si>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</si>
  <si>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</si>
  <si>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</si>
  <si>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</si>
  <si>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</si>
  <si>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</si>
  <si>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</si>
  <si>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</si>
  <si>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</si>
  <si>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</si>
  <si>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</si>
  <si>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</si>
  <si>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</si>
  <si>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</si>
  <si>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</si>
  <si>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</si>
  <si>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</si>
  <si>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</si>
  <si>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</si>
  <si>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</si>
  <si>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</si>
  <si>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</si>
  <si>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</si>
  <si>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</si>
  <si>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</si>
  <si>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</si>
  <si>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</si>
  <si>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</si>
  <si>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</si>
  <si>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</si>
  <si>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</si>
  <si>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</si>
  <si>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</si>
  <si>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</si>
  <si>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</si>
  <si>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</si>
  <si>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</si>
  <si>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</si>
  <si>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</si>
  <si>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</si>
  <si>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</si>
  <si>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</si>
  <si>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</si>
  <si>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</si>
  <si>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</si>
  <si>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</si>
  <si>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</si>
  <si>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</si>
  <si>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</si>
  <si>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</si>
  <si>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</si>
  <si>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</si>
  <si>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</si>
  <si>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</si>
  <si>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</si>
  <si>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</si>
  <si>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</si>
  <si>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</si>
  <si>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</si>
  <si>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</si>
  <si>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</si>
  <si>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</si>
  <si>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</si>
  <si>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</si>
  <si>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</si>
  <si>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</si>
  <si>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</si>
  <si>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</si>
  <si>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</si>
  <si>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</si>
  <si>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</si>
  <si>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</si>
  <si>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</si>
  <si>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</si>
  <si>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</si>
  <si>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</si>
  <si>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</si>
  <si>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</si>
  <si>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</si>
  <si>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</si>
  <si>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</si>
  <si>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</si>
  <si>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</si>
  <si>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</si>
  <si>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</si>
  <si>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</si>
  <si>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</si>
  <si>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</si>
  <si>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</si>
  <si>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</si>
  <si>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</si>
  <si>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</si>
  <si>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</si>
  <si>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</si>
  <si>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</si>
  <si>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</si>
  <si>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</si>
  <si>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</si>
  <si>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</si>
  <si>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</si>
  <si>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</si>
  <si>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</si>
  <si>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</si>
  <si>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</si>
  <si>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</si>
  <si>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</si>
  <si>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</si>
  <si>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</si>
  <si>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</si>
  <si>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</si>
  <si>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</si>
  <si>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</si>
  <si>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</si>
  <si>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</si>
  <si>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</si>
  <si>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</si>
  <si>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</si>
  <si>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</si>
  <si>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</si>
  <si>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</si>
  <si>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</si>
  <si>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</si>
  <si>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</si>
  <si>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</si>
  <si>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</si>
  <si>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</si>
  <si>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</si>
  <si>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</si>
  <si>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</si>
  <si>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</si>
  <si>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</si>
  <si>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</si>
  <si>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</si>
  <si>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</si>
  <si>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</si>
  <si>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</si>
  <si>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</si>
  <si>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</si>
  <si>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</si>
  <si>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</si>
  <si>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</si>
  <si>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</si>
  <si>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</si>
  <si>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</si>
  <si>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</si>
  <si>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</si>
  <si>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</si>
  <si>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</si>
  <si>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</si>
  <si>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</si>
  <si>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</si>
  <si>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</si>
  <si>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</si>
  <si>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</si>
  <si>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</si>
  <si>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</si>
  <si>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</si>
  <si>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</si>
  <si>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</si>
  <si>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</si>
  <si>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</si>
  <si>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</si>
  <si>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</si>
  <si>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</si>
  <si>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</si>
  <si>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</si>
  <si>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</si>
  <si>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</si>
  <si>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</si>
  <si>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</si>
  <si>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</si>
  <si>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</si>
  <si>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</si>
  <si>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</si>
  <si>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</si>
  <si>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</si>
  <si>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</si>
  <si>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</si>
  <si>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</si>
  <si>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</si>
  <si>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</si>
  <si>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</si>
  <si>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</si>
  <si>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</si>
  <si>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</si>
  <si>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</si>
  <si>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</si>
  <si>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</si>
  <si>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</si>
  <si>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</si>
  <si>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</si>
  <si>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</si>
  <si>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</si>
  <si>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</si>
  <si>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</si>
  <si>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</si>
  <si>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</si>
  <si>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</si>
  <si>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</si>
  <si>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</si>
  <si>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</si>
  <si>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</si>
  <si>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</si>
  <si>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</si>
  <si>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</si>
  <si>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</si>
  <si>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</si>
  <si>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</si>
  <si>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</si>
  <si>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</si>
  <si>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</si>
  <si>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</si>
  <si>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</si>
  <si>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</si>
  <si>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</si>
  <si>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</si>
  <si>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</si>
  <si>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</si>
  <si>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</si>
  <si>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</si>
  <si>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</si>
  <si>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</si>
  <si>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</si>
  <si>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</si>
  <si>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</si>
  <si>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</si>
  <si>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</si>
  <si>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</si>
  <si>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</si>
  <si>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</si>
  <si>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</si>
  <si>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</si>
  <si>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</si>
  <si>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</si>
  <si>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</si>
  <si>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</si>
  <si>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</si>
  <si>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</si>
  <si>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</si>
  <si>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</si>
  <si>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</si>
  <si>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</si>
  <si>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</si>
  <si>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</si>
  <si>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</si>
  <si>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</si>
  <si>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</si>
  <si>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</si>
  <si>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</si>
  <si>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</si>
  <si>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</si>
  <si>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</si>
  <si>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</si>
  <si>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</si>
  <si>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</si>
  <si>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</si>
  <si>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</si>
  <si>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</si>
  <si>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</si>
  <si>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</si>
  <si>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</si>
  <si>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</si>
  <si>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</si>
  <si>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</si>
  <si>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</si>
  <si>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</si>
  <si>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</si>
  <si>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</si>
  <si>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</si>
  <si>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</si>
  <si>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</si>
  <si>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</si>
  <si>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</si>
  <si>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</si>
  <si>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</si>
  <si>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</si>
  <si>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</si>
  <si>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</si>
  <si>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</si>
  <si>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</si>
  <si>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</si>
  <si>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</si>
  <si>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</si>
  <si>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</si>
  <si>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</si>
  <si>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</si>
  <si>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</si>
  <si>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</si>
  <si>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</si>
  <si>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</si>
  <si>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</si>
  <si>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</si>
  <si>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</si>
  <si>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</si>
  <si>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</si>
  <si>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</si>
  <si>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</si>
  <si>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</si>
  <si>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</si>
  <si>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</si>
  <si>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</si>
  <si>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</si>
  <si>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</si>
  <si>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</si>
  <si>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</si>
  <si>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</si>
  <si>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</si>
  <si>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</si>
  <si>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</si>
  <si>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</si>
  <si>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</si>
  <si>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</si>
  <si>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</si>
  <si>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</si>
  <si>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</si>
  <si>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</si>
  <si>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</si>
  <si>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</si>
  <si>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</si>
  <si>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</si>
  <si>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</si>
  <si>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</si>
  <si>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</si>
  <si>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</si>
  <si>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</si>
  <si>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</si>
  <si>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</si>
  <si>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</si>
  <si>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</si>
  <si>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</si>
  <si>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</si>
  <si>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</si>
  <si>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</si>
  <si>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</si>
  <si>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</si>
  <si>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</si>
  <si>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</si>
  <si>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</si>
  <si>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</si>
  <si>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</si>
  <si>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</si>
  <si>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</si>
  <si>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</si>
  <si>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</si>
  <si>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</si>
  <si>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</si>
  <si>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</si>
  <si>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</si>
  <si>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</si>
  <si>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</si>
  <si>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</si>
  <si>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</si>
  <si>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</si>
  <si>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</si>
  <si>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</si>
  <si>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</si>
  <si>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</si>
  <si>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</si>
  <si>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</si>
  <si>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</si>
  <si>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</si>
  <si>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</si>
  <si>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</si>
  <si>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</si>
  <si>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</si>
  <si>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</si>
  <si>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</si>
  <si>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</si>
  <si>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</si>
  <si>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</si>
  <si>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</si>
  <si>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</si>
  <si>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</si>
  <si>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</si>
  <si>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</si>
  <si>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</si>
  <si>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</si>
  <si>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</si>
  <si>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</si>
  <si>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</si>
  <si>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</si>
  <si>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</si>
  <si>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</si>
  <si>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</si>
  <si>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</si>
  <si>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</si>
  <si>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</si>
  <si>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</si>
  <si>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</si>
  <si>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</si>
  <si>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</si>
  <si>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</si>
  <si>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</si>
  <si>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</si>
  <si>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</si>
  <si>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</si>
  <si>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</si>
  <si>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</si>
  <si>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</si>
  <si>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</si>
  <si>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</si>
  <si>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</si>
  <si>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</si>
  <si>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</si>
  <si>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</si>
  <si>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</si>
  <si>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</si>
  <si>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</si>
  <si>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</si>
  <si>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</si>
  <si>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</si>
  <si>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</si>
  <si>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</si>
  <si>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</si>
  <si>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</si>
  <si>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</si>
  <si>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</si>
  <si>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</si>
  <si>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</si>
  <si>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</si>
  <si>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</si>
  <si>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</si>
  <si>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</si>
  <si>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</si>
  <si>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</si>
  <si>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</si>
  <si>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</si>
  <si>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</si>
  <si>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</si>
  <si>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</si>
  <si>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</si>
  <si>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</si>
  <si>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</si>
  <si>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</si>
  <si>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</si>
  <si>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</si>
  <si>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</si>
  <si>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</si>
  <si>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</si>
  <si>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</si>
  <si>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</si>
  <si>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</si>
  <si>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</si>
  <si>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</si>
  <si>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</si>
  <si>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</si>
  <si>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</si>
  <si>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</si>
  <si>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</si>
  <si>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</si>
  <si>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</si>
  <si>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</si>
  <si>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</si>
  <si>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</si>
  <si>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</si>
  <si>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</si>
  <si>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</si>
  <si>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</si>
  <si>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</si>
  <si>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</si>
  <si>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</si>
  <si>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</si>
  <si>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</si>
  <si>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</si>
  <si>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</si>
  <si>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</si>
  <si>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</si>
  <si>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</si>
  <si>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</si>
  <si>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</si>
  <si>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</si>
  <si>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</si>
  <si>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</si>
  <si>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</si>
  <si>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</si>
  <si>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</si>
  <si>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</si>
  <si>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</si>
  <si>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</si>
  <si>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</si>
  <si>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</si>
  <si>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</si>
  <si>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</si>
  <si>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</si>
  <si>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</si>
  <si>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</si>
  <si>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</si>
  <si>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</si>
  <si>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</si>
  <si>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</si>
  <si>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</si>
  <si>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</si>
  <si>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</si>
  <si>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</si>
  <si>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</si>
  <si>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</si>
  <si>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</si>
  <si>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</si>
  <si>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</si>
  <si>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</si>
  <si>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</si>
  <si>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</si>
  <si>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</si>
  <si>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</si>
  <si>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</si>
  <si>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</si>
  <si>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</si>
  <si>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</si>
  <si>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</si>
  <si>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</si>
  <si>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</si>
  <si>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</si>
  <si>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</si>
  <si>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</si>
  <si>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</si>
  <si>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</si>
  <si>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</si>
  <si>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</si>
  <si>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</si>
  <si>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</si>
  <si>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</si>
  <si>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</si>
  <si>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</si>
  <si>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</si>
  <si>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</si>
  <si>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</si>
  <si>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</si>
  <si>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</si>
  <si>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</si>
  <si>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</si>
  <si>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</si>
  <si>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</si>
  <si>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</si>
  <si>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</si>
  <si>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</si>
  <si>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</si>
  <si>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</si>
  <si>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</si>
  <si>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</si>
  <si>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</si>
  <si>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</si>
  <si>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</si>
  <si>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</si>
  <si>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</si>
  <si>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</si>
  <si>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</si>
  <si>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</si>
  <si>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</si>
  <si>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</si>
  <si>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</si>
  <si>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</si>
  <si>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</si>
  <si>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</si>
  <si>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</si>
  <si>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</si>
  <si>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</si>
  <si>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</si>
  <si>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</si>
  <si>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</si>
  <si>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</si>
  <si>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</si>
  <si>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</si>
  <si>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</si>
  <si>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</si>
  <si>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</si>
  <si>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</si>
  <si>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</si>
  <si>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</si>
  <si>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</si>
  <si>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</si>
  <si>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</si>
  <si>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</si>
  <si>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</si>
  <si>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</si>
  <si>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</si>
  <si>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</si>
  <si>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</si>
  <si>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</si>
  <si>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</si>
  <si>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</si>
  <si>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</si>
  <si>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</si>
  <si>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</si>
  <si>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</si>
  <si>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</si>
  <si>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</si>
  <si>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</si>
  <si>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</si>
  <si>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</si>
  <si>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</si>
  <si>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</si>
  <si>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</si>
  <si>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</si>
  <si>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</si>
  <si>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</si>
  <si>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</si>
  <si>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</si>
  <si>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</si>
  <si>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</si>
  <si>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</si>
  <si>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</si>
  <si>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</si>
  <si>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</si>
  <si>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</si>
  <si>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</si>
  <si>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</si>
  <si>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</si>
  <si>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</si>
  <si>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</si>
  <si>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</si>
  <si>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</si>
  <si>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</si>
  <si>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</si>
  <si>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</si>
  <si>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</si>
  <si>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</si>
  <si>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</si>
  <si>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</si>
  <si>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</si>
  <si>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</si>
  <si>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</si>
  <si>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</si>
  <si>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</si>
  <si>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</si>
  <si>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</si>
  <si>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</si>
  <si>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</si>
  <si>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</si>
  <si>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</si>
  <si>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</si>
  <si>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</si>
  <si>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</si>
  <si>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</si>
  <si>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</si>
  <si>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</si>
  <si>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</si>
  <si>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</si>
  <si>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</si>
  <si>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</si>
  <si>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</si>
  <si>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</si>
  <si>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</si>
  <si>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</si>
  <si>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</si>
  <si>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</si>
  <si>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</si>
  <si>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</si>
  <si>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</si>
  <si>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</si>
  <si>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</si>
  <si>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</si>
  <si>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</si>
  <si>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</si>
  <si>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</si>
  <si>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</si>
  <si>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</si>
  <si>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</si>
  <si>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</si>
  <si>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</si>
  <si>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</si>
  <si>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</si>
  <si>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</si>
  <si>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</si>
  <si>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</si>
  <si>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</si>
  <si>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</si>
  <si>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</si>
  <si>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</si>
  <si>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</si>
  <si>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</si>
  <si>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Napa Wine Country Open</t>
  </si>
  <si>
    <t>The Moose Lodge</t>
  </si>
  <si>
    <t>Napa, Ca 9458</t>
  </si>
  <si>
    <t>Rolands Hall</t>
  </si>
  <si>
    <t>Yvonne Bowers</t>
  </si>
  <si>
    <t>Michael Rogesr</t>
  </si>
  <si>
    <t>707-738-0799</t>
  </si>
  <si>
    <t>707-873-0109</t>
  </si>
  <si>
    <t>510-504-6905</t>
  </si>
  <si>
    <t>cribbageclub100@gmail.com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</si>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</sst>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3" t="s">
        <v>609</v>
      </c>
      <c r="D1" s="124"/>
      <c r="E1" s="125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6" t="s">
        <v>804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71" t="s">
        <v>610</v>
      </c>
      <c r="C5" s="126" t="s">
        <v>805</v>
      </c>
      <c r="D5" s="127"/>
      <c r="E5" s="127"/>
      <c r="F5" s="127"/>
      <c r="G5" s="128"/>
    </row>
    <row r="6" spans="1:8" ht="15.75" thickBot="1" x14ac:dyDescent="0.3">
      <c r="H6" s="72"/>
    </row>
    <row r="7" spans="1:8" ht="16.5" thickBot="1" x14ac:dyDescent="0.3">
      <c r="A7" s="71" t="s">
        <v>611</v>
      </c>
      <c r="C7" s="126" t="s">
        <v>806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71" t="s">
        <v>421</v>
      </c>
      <c r="C9" s="102">
        <v>46130</v>
      </c>
    </row>
    <row r="10" spans="1:8" ht="15.75" thickBot="1" x14ac:dyDescent="0.3"/>
    <row r="11" spans="1:8" ht="16.5" thickBot="1" x14ac:dyDescent="0.3">
      <c r="A11" s="71" t="s">
        <v>612</v>
      </c>
      <c r="C11" s="129" t="s">
        <v>807</v>
      </c>
      <c r="D11" s="130"/>
      <c r="E11" s="129" t="s">
        <v>808</v>
      </c>
      <c r="F11" s="130"/>
      <c r="G11" s="129" t="s">
        <v>809</v>
      </c>
      <c r="H11" s="130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9" t="s">
        <v>810</v>
      </c>
      <c r="D13" s="130"/>
      <c r="E13" s="129" t="s">
        <v>811</v>
      </c>
      <c r="F13" s="130"/>
      <c r="G13" s="129" t="s">
        <v>812</v>
      </c>
      <c r="H13" s="130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9" t="s">
        <v>498</v>
      </c>
      <c r="D15" s="130"/>
      <c r="E15" s="129" t="s">
        <v>813</v>
      </c>
      <c r="F15" s="130"/>
      <c r="G15" s="129" t="s">
        <v>562</v>
      </c>
      <c r="H15" s="130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804</v>
      </c>
      <c r="C4" s="134"/>
      <c r="D4" s="134"/>
      <c r="E4" s="134"/>
      <c r="F4" s="134"/>
    </row>
    <row r="5" spans="1:7" x14ac:dyDescent="0.25">
      <c r="A5" s="4" t="s">
        <v>616</v>
      </c>
      <c r="B5" s="135" t="s">
        <v>805</v>
      </c>
      <c r="C5" s="135"/>
      <c r="D5" s="135"/>
      <c r="E5" s="135"/>
      <c r="F5" s="135"/>
    </row>
    <row r="6" spans="1:7" x14ac:dyDescent="0.25">
      <c r="A6" s="4" t="s">
        <v>617</v>
      </c>
      <c r="B6" s="135" t="s">
        <v>806</v>
      </c>
      <c r="C6" s="135"/>
      <c r="D6" s="135"/>
      <c r="E6" s="135"/>
      <c r="F6" s="135"/>
    </row>
    <row r="7" spans="1:7" x14ac:dyDescent="0.25">
      <c r="A7" s="4" t="s">
        <v>618</v>
      </c>
      <c r="B7" s="80">
        <v>46130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0">
        <v>10</v>
      </c>
      <c r="D18" s="100">
        <v>10</v>
      </c>
      <c r="E18" s="100">
        <v>20</v>
      </c>
      <c r="F18" s="100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804</v>
      </c>
      <c r="C4" s="134"/>
      <c r="D4" s="134"/>
      <c r="E4" s="134"/>
      <c r="F4" s="134"/>
    </row>
    <row r="5" spans="1:7" x14ac:dyDescent="0.25">
      <c r="A5" s="4" t="s">
        <v>616</v>
      </c>
      <c r="B5" s="79" t="s">
        <v>805</v>
      </c>
      <c r="C5" s="79"/>
      <c r="D5" s="79"/>
      <c r="E5" s="79"/>
      <c r="F5" s="79"/>
    </row>
    <row r="6" spans="1:7" x14ac:dyDescent="0.25">
      <c r="A6" s="4" t="s">
        <v>617</v>
      </c>
      <c r="B6" s="79" t="s">
        <v>806</v>
      </c>
    </row>
    <row r="7" spans="1:7" x14ac:dyDescent="0.25">
      <c r="A7" s="4" t="s">
        <v>618</v>
      </c>
      <c r="B7" s="80">
        <v>46130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 t="s">
        <v>804</v>
      </c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 t="s">
        <v>805</v>
      </c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 t="s">
        <v>806</v>
      </c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>
        <v>46130</v>
      </c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17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53</v>
      </c>
      <c r="C10" s="31"/>
      <c r="D10" s="31"/>
      <c r="E10" s="17"/>
      <c r="F10" s="17"/>
      <c r="G10" s="17"/>
      <c r="H10" s="30">
        <f t="shared" ref="H10:N10" si="0">COUNTIF(H12:H220,"&lt;&gt;" &amp; "")</f>
        <v>43</v>
      </c>
      <c r="I10" s="30">
        <f t="shared" si="0"/>
        <v>25</v>
      </c>
      <c r="J10" s="30">
        <f t="shared" si="0"/>
        <v>29</v>
      </c>
      <c r="K10" s="30">
        <f t="shared" si="0"/>
        <v>14</v>
      </c>
      <c r="L10" s="30">
        <f t="shared" si="0"/>
        <v>13</v>
      </c>
      <c r="M10" s="30">
        <f t="shared" si="0"/>
        <v>4</v>
      </c>
      <c r="N10" s="30">
        <f t="shared" si="0"/>
        <v>11</v>
      </c>
      <c r="O10" s="108">
        <f>SUM(O12:O209)</f>
        <v>1060</v>
      </c>
      <c r="P10" s="32"/>
      <c r="Q10" s="25"/>
      <c r="R10" s="33">
        <f>SUM(R12:R220)</f>
        <v>3360</v>
      </c>
      <c r="S10" s="33">
        <f>SUM(S12:S220)</f>
        <v>2310</v>
      </c>
      <c r="T10" s="33">
        <f>SUM(T12:T220)</f>
        <v>5670</v>
      </c>
      <c r="U10" s="30">
        <f>COUNTIF(U12:U220,"&lt;&gt;" &amp; "")</f>
        <v>7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>
        <v>1</v>
      </c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3" si="2">T12*N12</f>
        <v>70</v>
      </c>
      <c r="P12" s="47" t="s">
        <v>750</v>
      </c>
      <c r="Q12" s="47"/>
      <c r="R12" s="95" t="str">
        <f t="shared" ref="R12:R43" si="3">IF(OR(P12="c",P12="C"),+T12,"")</f>
        <v/>
      </c>
      <c r="S12" s="95">
        <f t="shared" ref="S12:S43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  <c r="V12" s="110"/>
    </row>
    <row r="13" spans="1:22" x14ac:dyDescent="0.25">
      <c r="A13" s="46">
        <f t="shared" si="1"/>
        <v>2</v>
      </c>
      <c r="B13" s="47">
        <v>1</v>
      </c>
      <c r="C13" s="5" t="s">
        <v>751</v>
      </c>
      <c r="D13" s="5" t="s">
        <v>5</v>
      </c>
      <c r="E13" s="6" t="s">
        <v>6</v>
      </c>
      <c r="F13" s="10" t="s">
        <v>752</v>
      </c>
      <c r="G13" s="15" t="s">
        <v>753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754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  <c r="V13" s="110"/>
    </row>
    <row r="14" spans="1:22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9" t="s">
        <v>445</v>
      </c>
      <c r="G14" s="90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754</v>
      </c>
      <c r="Q14" s="47">
        <v>398</v>
      </c>
      <c r="R14" s="95">
        <f t="shared" si="3"/>
        <v>80</v>
      </c>
      <c r="S14" s="95" t="str">
        <f t="shared" si="4"/>
        <v/>
      </c>
      <c r="T14" s="96">
        <f>H14*[1]!FMainPool1Fee+I14*[1]!FMainPool2Fee+J14*[1]!FMainPool3Fee+K14*[1]!FMainPool4Fee+B14*[1]!FMainEntryFee</f>
        <v>80</v>
      </c>
      <c r="U14" s="51"/>
      <c r="V14" s="110"/>
    </row>
    <row r="15" spans="1:22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20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 t="shared" si="2"/>
        <v>0</v>
      </c>
      <c r="P15" s="47" t="s">
        <v>754</v>
      </c>
      <c r="Q15" s="47">
        <v>1723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  <c r="V15" s="10"/>
    </row>
    <row r="16" spans="1:22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 t="shared" si="2"/>
        <v>0</v>
      </c>
      <c r="P16" s="47" t="s">
        <v>754</v>
      </c>
      <c r="Q16" s="47">
        <v>1587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  <c r="V16" s="110"/>
    </row>
    <row r="17" spans="1:22" x14ac:dyDescent="0.25">
      <c r="A17" s="46">
        <f t="shared" si="1"/>
        <v>6</v>
      </c>
      <c r="B17" s="47">
        <v>1</v>
      </c>
      <c r="C17" s="5" t="s">
        <v>757</v>
      </c>
      <c r="D17" s="5" t="s">
        <v>758</v>
      </c>
      <c r="E17" s="6" t="s">
        <v>759</v>
      </c>
      <c r="F17" s="48">
        <v>9255487664</v>
      </c>
      <c r="G17" s="57" t="s">
        <v>760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750</v>
      </c>
      <c r="Q17" s="47" t="s">
        <v>756</v>
      </c>
      <c r="R17" s="95" t="str">
        <f t="shared" si="3"/>
        <v/>
      </c>
      <c r="S17" s="95">
        <f t="shared" si="4"/>
        <v>70</v>
      </c>
      <c r="T17" s="96">
        <f>H17*[1]!FMainPool1Fee+I17*[1]!FMainPool2Fee+J17*[1]!FMainPool3Fee+K17*[1]!FMainPool4Fee+B17*[1]!FMainEntryFee</f>
        <v>70</v>
      </c>
      <c r="U17" s="51"/>
      <c r="V17" s="110"/>
    </row>
    <row r="18" spans="1:22" x14ac:dyDescent="0.25">
      <c r="A18" s="46">
        <f t="shared" si="1"/>
        <v>7</v>
      </c>
      <c r="B18" s="47">
        <v>1</v>
      </c>
      <c r="C18" s="5" t="s">
        <v>761</v>
      </c>
      <c r="D18" s="5" t="s">
        <v>762</v>
      </c>
      <c r="E18" s="6" t="s">
        <v>763</v>
      </c>
      <c r="F18" s="48">
        <v>9257272271</v>
      </c>
      <c r="G18" s="118" t="s">
        <v>764</v>
      </c>
      <c r="H18" s="49">
        <v>1</v>
      </c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750</v>
      </c>
      <c r="Q18" s="47" t="s">
        <v>765</v>
      </c>
      <c r="R18" s="95" t="str">
        <f t="shared" si="3"/>
        <v/>
      </c>
      <c r="S18" s="95">
        <f t="shared" si="4"/>
        <v>80</v>
      </c>
      <c r="T18" s="96">
        <f>H18*[1]!FMainPool1Fee+I18*[1]!FMainPool2Fee+J18*[1]!FMainPool3Fee+K18*[1]!FMainPool4Fee+B18*[1]!FMainEntryFee</f>
        <v>80</v>
      </c>
      <c r="U18" s="51"/>
      <c r="V18" s="110"/>
    </row>
    <row r="19" spans="1:22" x14ac:dyDescent="0.25">
      <c r="A19" s="46">
        <f t="shared" si="1"/>
        <v>8</v>
      </c>
      <c r="B19" s="47">
        <v>1</v>
      </c>
      <c r="C19" s="5" t="s">
        <v>766</v>
      </c>
      <c r="D19" s="5" t="s">
        <v>72</v>
      </c>
      <c r="E19" s="6" t="s">
        <v>767</v>
      </c>
      <c r="F19" s="48">
        <v>7078430341</v>
      </c>
      <c r="G19" s="118" t="s">
        <v>768</v>
      </c>
      <c r="H19" s="49">
        <v>1</v>
      </c>
      <c r="I19" s="47"/>
      <c r="J19" s="47"/>
      <c r="K19" s="47"/>
      <c r="L19" s="47"/>
      <c r="M19" s="47"/>
      <c r="N19" s="47"/>
      <c r="O19" s="94">
        <f t="shared" si="2"/>
        <v>0</v>
      </c>
      <c r="P19" s="47" t="s">
        <v>750</v>
      </c>
      <c r="Q19" s="47" t="s">
        <v>756</v>
      </c>
      <c r="R19" s="95" t="str">
        <f t="shared" si="3"/>
        <v/>
      </c>
      <c r="S19" s="95">
        <f t="shared" si="4"/>
        <v>80</v>
      </c>
      <c r="T19" s="96">
        <f>H19*[1]!FMainPool1Fee+I19*[1]!FMainPool2Fee+J19*[1]!FMainPool3Fee+K19*[1]!FMainPool4Fee+B19*[1]!FMainEntryFee</f>
        <v>80</v>
      </c>
      <c r="U19" s="51"/>
      <c r="V19" s="112"/>
    </row>
    <row r="20" spans="1:22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754</v>
      </c>
      <c r="Q20" s="47">
        <v>3536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  <c r="V20" s="110"/>
    </row>
    <row r="21" spans="1:22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754</v>
      </c>
      <c r="Q21" s="47">
        <v>206</v>
      </c>
      <c r="R21" s="95">
        <f t="shared" si="3"/>
        <v>80</v>
      </c>
      <c r="S21" s="95" t="str">
        <f t="shared" si="4"/>
        <v/>
      </c>
      <c r="T21" s="96">
        <f>H21*[1]!FMainPool1Fee+I21*[1]!FMainPool2Fee+J21*[1]!FMainPool3Fee+K21*[1]!FMainPool4Fee+B21*[1]!FMainEntryFee</f>
        <v>80</v>
      </c>
      <c r="U21" s="51"/>
      <c r="V21" s="110"/>
    </row>
    <row r="22" spans="1:22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754</v>
      </c>
      <c r="Q22" s="47">
        <v>1094</v>
      </c>
      <c r="R22" s="95">
        <f t="shared" si="3"/>
        <v>70</v>
      </c>
      <c r="S22" s="95" t="str">
        <f t="shared" si="4"/>
        <v/>
      </c>
      <c r="T22" s="96">
        <f>H22*[1]!FMainPool1Fee+I22*[1]!FMainPool2Fee+J22*[1]!FMainPool3Fee+K22*[1]!FMainPool4Fee+B22*[1]!FMainEntryFee</f>
        <v>70</v>
      </c>
      <c r="U22" s="51"/>
      <c r="V22" s="110"/>
    </row>
    <row r="23" spans="1:22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 t="shared" si="2"/>
        <v>0</v>
      </c>
      <c r="P23" s="47" t="s">
        <v>750</v>
      </c>
      <c r="Q23" s="47" t="s">
        <v>439</v>
      </c>
      <c r="R23" s="95" t="str">
        <f t="shared" si="3"/>
        <v/>
      </c>
      <c r="S23" s="95">
        <f t="shared" si="4"/>
        <v>90</v>
      </c>
      <c r="T23" s="96">
        <f>H23*[1]!FMainPool1Fee+I23*[1]!FMainPool2Fee+J23*[1]!FMainPool3Fee+K23*[1]!FMainPool4Fee+B23*[1]!FMainEntryFee</f>
        <v>90</v>
      </c>
      <c r="U23" s="51"/>
      <c r="V23" s="106"/>
    </row>
    <row r="24" spans="1:22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2"/>
        <v>0</v>
      </c>
      <c r="P24" s="47" t="s">
        <v>754</v>
      </c>
      <c r="Q24" s="47">
        <v>1360</v>
      </c>
      <c r="R24" s="95">
        <f t="shared" si="3"/>
        <v>110</v>
      </c>
      <c r="S24" s="95" t="str">
        <f t="shared" si="4"/>
        <v/>
      </c>
      <c r="T24" s="96">
        <f>H24*[1]!FMainPool1Fee+I24*[1]!FMainPool2Fee+J24*[1]!FMainPool3Fee+K24*[1]!FMainPool4Fee+B24*[1]!FMainEntryFee</f>
        <v>110</v>
      </c>
      <c r="U24" s="51"/>
      <c r="V24" s="110"/>
    </row>
    <row r="25" spans="1:22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 t="shared" si="2"/>
        <v>100</v>
      </c>
      <c r="P25" s="47" t="s">
        <v>750</v>
      </c>
      <c r="Q25" s="47"/>
      <c r="R25" s="95" t="str">
        <f t="shared" si="3"/>
        <v/>
      </c>
      <c r="S25" s="95">
        <f t="shared" si="4"/>
        <v>100</v>
      </c>
      <c r="T25" s="96">
        <f>H25*[1]!FMainPool1Fee+I25*[1]!FMainPool2Fee+J25*[1]!FMainPool3Fee+K25*[1]!FMainPool4Fee+B25*[1]!FMainEntryFee</f>
        <v>100</v>
      </c>
      <c r="U25" s="51"/>
      <c r="V25" s="110"/>
    </row>
    <row r="26" spans="1:22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19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 t="shared" si="2"/>
        <v>160</v>
      </c>
      <c r="P26" s="47" t="s">
        <v>750</v>
      </c>
      <c r="Q26" s="47"/>
      <c r="R26" s="95" t="str">
        <f t="shared" si="3"/>
        <v/>
      </c>
      <c r="S26" s="95">
        <f t="shared" si="4"/>
        <v>160</v>
      </c>
      <c r="T26" s="96">
        <f>H26*[1]!FMainPool1Fee+I26*[1]!FMainPool2Fee+J26*[1]!FMainPool3Fee+K26*[1]!FMainPool4Fee+B26*[1]!FMainEntryFee</f>
        <v>160</v>
      </c>
      <c r="U26" s="51"/>
      <c r="V26" s="10"/>
    </row>
    <row r="27" spans="1:22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 t="shared" si="2"/>
        <v>0</v>
      </c>
      <c r="P27" s="47" t="s">
        <v>750</v>
      </c>
      <c r="Q27" s="47"/>
      <c r="R27" s="95" t="str">
        <f t="shared" si="3"/>
        <v/>
      </c>
      <c r="S27" s="95">
        <f t="shared" si="4"/>
        <v>160</v>
      </c>
      <c r="T27" s="96">
        <f>H27*[1]!FMainPool1Fee+I27*[1]!FMainPool2Fee+J27*[1]!FMainPool3Fee+K27*[1]!FMainPool4Fee+B27*[1]!FMainEntryFee</f>
        <v>160</v>
      </c>
      <c r="U27" s="51"/>
      <c r="V27" s="106"/>
    </row>
    <row r="28" spans="1:22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>
        <v>1</v>
      </c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750</v>
      </c>
      <c r="Q28" s="47" t="s">
        <v>756</v>
      </c>
      <c r="R28" s="95" t="str">
        <f t="shared" si="3"/>
        <v/>
      </c>
      <c r="S28" s="95">
        <f t="shared" si="4"/>
        <v>80</v>
      </c>
      <c r="T28" s="96">
        <f>H28*[1]!FMainPool1Fee+I28*[1]!FMainPool2Fee+J28*[1]!FMainPool3Fee+K28*[1]!FMainPool4Fee+B28*[1]!FMainEntryFee</f>
        <v>80</v>
      </c>
      <c r="U28" s="51"/>
      <c r="V28" s="106"/>
    </row>
    <row r="29" spans="1:22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2"/>
        <v>160</v>
      </c>
      <c r="P29" s="47" t="s">
        <v>750</v>
      </c>
      <c r="Q29" s="47"/>
      <c r="R29" s="95" t="str">
        <f t="shared" si="3"/>
        <v/>
      </c>
      <c r="S29" s="95">
        <f t="shared" si="4"/>
        <v>160</v>
      </c>
      <c r="T29" s="96">
        <f>H29*[1]!FMainPool1Fee+I29*[1]!FMainPool2Fee+J29*[1]!FMainPool3Fee+K29*[1]!FMainPool4Fee+B29*[1]!FMainEntryFee</f>
        <v>160</v>
      </c>
      <c r="U29" s="51"/>
      <c r="V29" s="110"/>
    </row>
    <row r="30" spans="1:22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 t="shared" si="2"/>
        <v>0</v>
      </c>
      <c r="P30" s="47" t="s">
        <v>750</v>
      </c>
      <c r="Q30" s="47" t="s">
        <v>765</v>
      </c>
      <c r="R30" s="95" t="str">
        <f t="shared" si="3"/>
        <v/>
      </c>
      <c r="S30" s="95">
        <f t="shared" si="4"/>
        <v>110</v>
      </c>
      <c r="T30" s="96">
        <f>H30*[1]!FMainPool1Fee+I30*[1]!FMainPool2Fee+J30*[1]!FMainPool3Fee+K30*[1]!FMainPool4Fee+B30*[1]!FMainEntryFee</f>
        <v>110</v>
      </c>
      <c r="U30" s="51"/>
      <c r="V30" s="110"/>
    </row>
    <row r="31" spans="1:22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754</v>
      </c>
      <c r="Q31" s="47">
        <v>2575</v>
      </c>
      <c r="R31" s="95">
        <f t="shared" si="3"/>
        <v>80</v>
      </c>
      <c r="S31" s="95" t="str">
        <f t="shared" si="4"/>
        <v/>
      </c>
      <c r="T31" s="96">
        <f>H31*[1]!FMainPool1Fee+I31*[1]!FMainPool2Fee+J31*[1]!FMainPool3Fee+K31*[1]!FMainPool4Fee+B31*[1]!FMainEntryFee</f>
        <v>80</v>
      </c>
      <c r="U31" s="51"/>
      <c r="V31" s="110"/>
    </row>
    <row r="32" spans="1:22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 t="shared" si="2"/>
        <v>0</v>
      </c>
      <c r="P32" s="47" t="s">
        <v>754</v>
      </c>
      <c r="Q32" s="47">
        <v>7333</v>
      </c>
      <c r="R32" s="95">
        <f t="shared" si="3"/>
        <v>110</v>
      </c>
      <c r="S32" s="95" t="str">
        <f t="shared" si="4"/>
        <v/>
      </c>
      <c r="T32" s="96">
        <f>H32*[1]!FMainPool1Fee+I32*[1]!FMainPool2Fee+J32*[1]!FMainPool3Fee+K32*[1]!FMainPool4Fee+B32*[1]!FMainEntryFee</f>
        <v>110</v>
      </c>
      <c r="U32" s="51"/>
      <c r="V32" s="110"/>
    </row>
    <row r="33" spans="1:22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754</v>
      </c>
      <c r="Q33" s="47">
        <v>648</v>
      </c>
      <c r="R33" s="95">
        <f t="shared" si="3"/>
        <v>80</v>
      </c>
      <c r="S33" s="95" t="str">
        <f t="shared" si="4"/>
        <v/>
      </c>
      <c r="T33" s="96">
        <f>H33*[1]!FMainPool1Fee+I33*[1]!FMainPool2Fee+J33*[1]!FMainPool3Fee+K33*[1]!FMainPool4Fee+B33*[1]!FMainEntryFee</f>
        <v>80</v>
      </c>
      <c r="U33" s="51">
        <v>1</v>
      </c>
      <c r="V33" s="110"/>
    </row>
    <row r="34" spans="1:22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 t="shared" si="2"/>
        <v>0</v>
      </c>
      <c r="P34" s="47" t="s">
        <v>750</v>
      </c>
      <c r="Q34" s="47"/>
      <c r="R34" s="95" t="str">
        <f t="shared" si="3"/>
        <v/>
      </c>
      <c r="S34" s="95">
        <f t="shared" si="4"/>
        <v>70</v>
      </c>
      <c r="T34" s="96">
        <f>H34*[1]!FMainPool1Fee+I34*[1]!FMainPool2Fee+J34*[1]!FMainPool3Fee+K34*[1]!FMainPool4Fee+B34*[1]!FMainEntryFee</f>
        <v>70</v>
      </c>
      <c r="U34" s="51"/>
      <c r="V34" s="106"/>
    </row>
    <row r="35" spans="1:22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 t="shared" si="2"/>
        <v>70</v>
      </c>
      <c r="P35" s="47" t="s">
        <v>750</v>
      </c>
      <c r="Q35" s="47"/>
      <c r="R35" s="95" t="str">
        <f t="shared" si="3"/>
        <v/>
      </c>
      <c r="S35" s="95">
        <f t="shared" si="4"/>
        <v>70</v>
      </c>
      <c r="T35" s="96">
        <f>H35*[1]!FMainPool1Fee+I35*[1]!FMainPool2Fee+J35*[1]!FMainPool3Fee+K35*[1]!FMainPool4Fee+B35*[1]!FMainEntryFee</f>
        <v>70</v>
      </c>
      <c r="U35" s="51"/>
      <c r="V35" s="110"/>
    </row>
    <row r="36" spans="1:22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 t="shared" si="2"/>
        <v>80</v>
      </c>
      <c r="P36" s="47" t="s">
        <v>750</v>
      </c>
      <c r="Q36" s="47"/>
      <c r="R36" s="95" t="str">
        <f t="shared" si="3"/>
        <v/>
      </c>
      <c r="S36" s="95">
        <f t="shared" si="4"/>
        <v>80</v>
      </c>
      <c r="T36" s="96">
        <f>H36*[1]!FMainPool1Fee+I36*[1]!FMainPool2Fee+J36*[1]!FMainPool3Fee+K36*[1]!FMainPool4Fee+B36*[1]!FMainEntryFee</f>
        <v>80</v>
      </c>
      <c r="U36" s="51">
        <v>1</v>
      </c>
      <c r="V36" s="110"/>
    </row>
    <row r="37" spans="1:22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 t="shared" si="2"/>
        <v>100</v>
      </c>
      <c r="P37" s="47" t="s">
        <v>750</v>
      </c>
      <c r="Q37" s="47"/>
      <c r="R37" s="95" t="str">
        <f t="shared" si="3"/>
        <v/>
      </c>
      <c r="S37" s="95">
        <f t="shared" si="4"/>
        <v>100</v>
      </c>
      <c r="T37" s="96">
        <f>H37*[1]!FMainPool1Fee+I37*[1]!FMainPool2Fee+J37*[1]!FMainPool3Fee+K37*[1]!FMainPool4Fee+B37*[1]!FMainEntryFee</f>
        <v>100</v>
      </c>
      <c r="U37" s="51"/>
      <c r="V37" s="110"/>
    </row>
    <row r="38" spans="1:22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754</v>
      </c>
      <c r="Q38" s="47">
        <v>1800</v>
      </c>
      <c r="R38" s="95">
        <f t="shared" si="3"/>
        <v>70</v>
      </c>
      <c r="S38" s="95" t="str">
        <f t="shared" si="4"/>
        <v/>
      </c>
      <c r="T38" s="96">
        <f>H38*[1]!FMainPool1Fee+I38*[1]!FMainPool2Fee+J38*[1]!FMainPool3Fee+K38*[1]!FMainPool4Fee+B38*[1]!FMainEntryFee</f>
        <v>70</v>
      </c>
      <c r="U38" s="51">
        <v>1</v>
      </c>
      <c r="V38" s="110"/>
    </row>
    <row r="39" spans="1:22" x14ac:dyDescent="0.25">
      <c r="A39" s="46">
        <f t="shared" si="1"/>
        <v>28</v>
      </c>
      <c r="B39" s="47">
        <v>1</v>
      </c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si="2"/>
        <v>0</v>
      </c>
      <c r="P39" s="47" t="s">
        <v>750</v>
      </c>
      <c r="Q39" s="47" t="s">
        <v>774</v>
      </c>
      <c r="R39" s="95" t="str">
        <f t="shared" si="3"/>
        <v/>
      </c>
      <c r="S39" s="95">
        <f t="shared" si="4"/>
        <v>160</v>
      </c>
      <c r="T39" s="96">
        <f>H39*[1]!FMainPool1Fee+I39*[1]!FMainPool2Fee+J39*[1]!FMainPool3Fee+K39*[1]!FMainPool4Fee+B39*[1]!FMainEntryFee</f>
        <v>160</v>
      </c>
      <c r="U39" s="51"/>
      <c r="V39" s="110"/>
    </row>
    <row r="40" spans="1:22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06">
        <v>7078892101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750</v>
      </c>
      <c r="Q40" s="47" t="s">
        <v>756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>
        <v>1</v>
      </c>
      <c r="V40" s="110"/>
    </row>
    <row r="41" spans="1:22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777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 t="shared" si="2"/>
        <v>0</v>
      </c>
      <c r="P41" s="47" t="s">
        <v>754</v>
      </c>
      <c r="Q41" s="47">
        <v>2553</v>
      </c>
      <c r="R41" s="95">
        <f t="shared" si="3"/>
        <v>160</v>
      </c>
      <c r="S41" s="95" t="str">
        <f t="shared" si="4"/>
        <v/>
      </c>
      <c r="T41" s="96">
        <f>H41*[1]!FMainPool1Fee+I41*[1]!FMainPool2Fee+J41*[1]!FMainPool3Fee+K41*[1]!FMainPool4Fee+B41*[1]!FMainEntryFee</f>
        <v>160</v>
      </c>
      <c r="U41" s="51"/>
      <c r="V41" s="110"/>
    </row>
    <row r="42" spans="1:22" x14ac:dyDescent="0.25">
      <c r="A42" s="46">
        <f t="shared" si="1"/>
        <v>31</v>
      </c>
      <c r="B42" s="47">
        <v>1</v>
      </c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>
        <v>1</v>
      </c>
      <c r="I42" s="47"/>
      <c r="J42" s="47"/>
      <c r="K42" s="47"/>
      <c r="L42" s="47"/>
      <c r="M42" s="47"/>
      <c r="N42" s="47"/>
      <c r="O42" s="94">
        <f t="shared" si="2"/>
        <v>0</v>
      </c>
      <c r="P42" s="47" t="s">
        <v>754</v>
      </c>
      <c r="Q42" s="47">
        <v>133</v>
      </c>
      <c r="R42" s="95">
        <f t="shared" si="3"/>
        <v>80</v>
      </c>
      <c r="S42" s="95" t="str">
        <f t="shared" si="4"/>
        <v/>
      </c>
      <c r="T42" s="96">
        <f>H42*[1]!FMainPool1Fee+I42*[1]!FMainPool2Fee+J42*[1]!FMainPool3Fee+K42*[1]!FMainPool4Fee+B42*[1]!FMainEntryFee</f>
        <v>80</v>
      </c>
      <c r="U42" s="51"/>
      <c r="V42" s="106"/>
    </row>
    <row r="43" spans="1:22" x14ac:dyDescent="0.25">
      <c r="A43" s="46">
        <f t="shared" si="1"/>
        <v>32</v>
      </c>
      <c r="B43" s="47">
        <v>1</v>
      </c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>
        <v>1</v>
      </c>
      <c r="I43" s="47">
        <v>1</v>
      </c>
      <c r="J43" s="47">
        <v>1</v>
      </c>
      <c r="K43" s="47"/>
      <c r="L43" s="47">
        <v>1</v>
      </c>
      <c r="M43" s="47"/>
      <c r="N43" s="47">
        <v>1</v>
      </c>
      <c r="O43" s="94">
        <f t="shared" si="2"/>
        <v>110</v>
      </c>
      <c r="P43" s="47" t="s">
        <v>750</v>
      </c>
      <c r="Q43" s="47"/>
      <c r="R43" s="95" t="str">
        <f t="shared" si="3"/>
        <v/>
      </c>
      <c r="S43" s="95">
        <f t="shared" si="4"/>
        <v>110</v>
      </c>
      <c r="T43" s="96">
        <f>H43*[1]!FMainPool1Fee+I43*[1]!FMainPool2Fee+J43*[1]!FMainPool3Fee+K43*[1]!FMainPool4Fee+B43*[1]!FMainEntryFee</f>
        <v>110</v>
      </c>
      <c r="U43" s="51"/>
      <c r="V43" s="106"/>
    </row>
    <row r="44" spans="1:22" x14ac:dyDescent="0.25">
      <c r="A44" s="46">
        <f t="shared" si="1"/>
        <v>33</v>
      </c>
      <c r="B44" s="47">
        <v>1</v>
      </c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>
        <v>1</v>
      </c>
      <c r="I44" s="47"/>
      <c r="J44" s="47">
        <v>1</v>
      </c>
      <c r="K44" s="47"/>
      <c r="L44" s="47"/>
      <c r="M44" s="47">
        <v>1</v>
      </c>
      <c r="N44" s="47">
        <v>1</v>
      </c>
      <c r="O44" s="94">
        <f t="shared" ref="O44:O75" si="5">T44*N44</f>
        <v>100</v>
      </c>
      <c r="P44" s="47" t="s">
        <v>750</v>
      </c>
      <c r="Q44" s="47"/>
      <c r="R44" s="95" t="str">
        <f t="shared" ref="R44:R75" si="6">IF(OR(P44="c",P44="C"),+T44,"")</f>
        <v/>
      </c>
      <c r="S44" s="95">
        <f t="shared" ref="S44:S75" si="7">IF(OR(P44="$",N44=1),+T44,"")</f>
        <v>100</v>
      </c>
      <c r="T44" s="96">
        <f>H44*[1]!FMainPool1Fee+I44*[1]!FMainPool2Fee+J44*[1]!FMainPool3Fee+K44*[1]!FMainPool4Fee+B44*[1]!FMainEntryFee</f>
        <v>100</v>
      </c>
      <c r="U44" s="51"/>
      <c r="V44" s="10"/>
    </row>
    <row r="45" spans="1:22" x14ac:dyDescent="0.25">
      <c r="A45" s="46">
        <f t="shared" si="1"/>
        <v>34</v>
      </c>
      <c r="B45" s="47">
        <v>1</v>
      </c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>
        <v>1</v>
      </c>
      <c r="I45" s="47">
        <v>1</v>
      </c>
      <c r="J45" s="47">
        <v>1</v>
      </c>
      <c r="K45" s="47"/>
      <c r="L45" s="47"/>
      <c r="M45" s="47"/>
      <c r="N45" s="47"/>
      <c r="O45" s="94">
        <f t="shared" si="5"/>
        <v>0</v>
      </c>
      <c r="P45" s="47" t="s">
        <v>754</v>
      </c>
      <c r="Q45" s="47">
        <v>5361</v>
      </c>
      <c r="R45" s="95">
        <f t="shared" si="6"/>
        <v>110</v>
      </c>
      <c r="S45" s="95" t="str">
        <f t="shared" si="7"/>
        <v/>
      </c>
      <c r="T45" s="96">
        <f>H45*[1]!FMainPool1Fee+I45*[1]!FMainPool2Fee+J45*[1]!FMainPool3Fee+K45*[1]!FMainPool4Fee+B45*[1]!FMainEntryFee</f>
        <v>110</v>
      </c>
      <c r="U45" s="51">
        <v>1</v>
      </c>
      <c r="V45" s="110"/>
    </row>
    <row r="46" spans="1:22" x14ac:dyDescent="0.25">
      <c r="A46" s="46">
        <f t="shared" si="1"/>
        <v>35</v>
      </c>
      <c r="B46" s="47">
        <v>1</v>
      </c>
      <c r="C46" s="7" t="s">
        <v>779</v>
      </c>
      <c r="D46" s="7" t="s">
        <v>780</v>
      </c>
      <c r="E46" s="8" t="s">
        <v>781</v>
      </c>
      <c r="F46" s="55">
        <v>6507733006</v>
      </c>
      <c r="G46" s="57" t="s">
        <v>782</v>
      </c>
      <c r="H46" s="49"/>
      <c r="I46" s="47"/>
      <c r="J46" s="47"/>
      <c r="K46" s="47"/>
      <c r="L46" s="47"/>
      <c r="M46" s="47">
        <v>1</v>
      </c>
      <c r="N46" s="47"/>
      <c r="O46" s="94">
        <f t="shared" si="5"/>
        <v>0</v>
      </c>
      <c r="P46" s="47" t="s">
        <v>754</v>
      </c>
      <c r="Q46" s="47">
        <v>5007</v>
      </c>
      <c r="R46" s="95">
        <f t="shared" si="6"/>
        <v>70</v>
      </c>
      <c r="S46" s="95" t="str">
        <f t="shared" si="7"/>
        <v/>
      </c>
      <c r="T46" s="96">
        <f>H46*[1]!FMainPool1Fee+I46*[1]!FMainPool2Fee+J46*[1]!FMainPool3Fee+K46*[1]!FMainPool4Fee+B46*[1]!FMainEntryFee</f>
        <v>70</v>
      </c>
      <c r="U46" s="51">
        <v>1</v>
      </c>
      <c r="V46" s="106"/>
    </row>
    <row r="47" spans="1:22" x14ac:dyDescent="0.25">
      <c r="A47" s="46">
        <f t="shared" si="1"/>
        <v>36</v>
      </c>
      <c r="B47" s="47">
        <v>1</v>
      </c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>
        <v>1</v>
      </c>
      <c r="I47" s="47">
        <v>1</v>
      </c>
      <c r="J47" s="47">
        <v>1</v>
      </c>
      <c r="K47" s="47">
        <v>1</v>
      </c>
      <c r="L47" s="47">
        <v>1</v>
      </c>
      <c r="M47" s="47"/>
      <c r="N47" s="47"/>
      <c r="O47" s="94">
        <f t="shared" si="5"/>
        <v>0</v>
      </c>
      <c r="P47" s="47" t="s">
        <v>754</v>
      </c>
      <c r="Q47" s="47">
        <v>5008</v>
      </c>
      <c r="R47" s="95">
        <f t="shared" si="6"/>
        <v>160</v>
      </c>
      <c r="S47" s="95" t="str">
        <f t="shared" si="7"/>
        <v/>
      </c>
      <c r="T47" s="96">
        <f>H47*[1]!FMainPool1Fee+I47*[1]!FMainPool2Fee+J47*[1]!FMainPool3Fee+K47*[1]!FMainPool4Fee+B47*[1]!FMainEntryFee</f>
        <v>160</v>
      </c>
      <c r="U47" s="51">
        <v>1</v>
      </c>
      <c r="V47" s="106"/>
    </row>
    <row r="48" spans="1:22" x14ac:dyDescent="0.25">
      <c r="A48" s="46">
        <f t="shared" si="1"/>
        <v>37</v>
      </c>
      <c r="B48" s="47">
        <v>1</v>
      </c>
      <c r="C48" s="5" t="s">
        <v>783</v>
      </c>
      <c r="D48" s="5" t="s">
        <v>159</v>
      </c>
      <c r="E48" s="6" t="s">
        <v>784</v>
      </c>
      <c r="F48" s="106">
        <v>4086660276</v>
      </c>
      <c r="G48" s="105" t="s">
        <v>785</v>
      </c>
      <c r="H48" s="49">
        <v>1</v>
      </c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754</v>
      </c>
      <c r="Q48" s="47">
        <v>375</v>
      </c>
      <c r="R48" s="95">
        <f t="shared" si="6"/>
        <v>80</v>
      </c>
      <c r="S48" s="95" t="str">
        <f t="shared" si="7"/>
        <v/>
      </c>
      <c r="T48" s="96">
        <f>H48*[1]!FMainPool1Fee+I48*[1]!FMainPool2Fee+J48*[1]!FMainPool3Fee+K48*[1]!FMainPool4Fee+B48*[1]!FMainEntryFee</f>
        <v>80</v>
      </c>
      <c r="U48" s="51"/>
      <c r="V48" s="110"/>
    </row>
    <row r="49" spans="1:22" x14ac:dyDescent="0.25">
      <c r="A49" s="46">
        <f t="shared" si="1"/>
        <v>38</v>
      </c>
      <c r="B49" s="47">
        <v>1</v>
      </c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 t="shared" si="5"/>
        <v>0</v>
      </c>
      <c r="P49" s="47" t="s">
        <v>754</v>
      </c>
      <c r="Q49" s="47">
        <v>1399</v>
      </c>
      <c r="R49" s="95">
        <f t="shared" si="6"/>
        <v>100</v>
      </c>
      <c r="S49" s="95" t="str">
        <f t="shared" si="7"/>
        <v/>
      </c>
      <c r="T49" s="96">
        <f>H49*[1]!FMainPool1Fee+I49*[1]!FMainPool2Fee+J49*[1]!FMainPool3Fee+K49*[1]!FMainPool4Fee+B49*[1]!FMainEntryFee</f>
        <v>100</v>
      </c>
      <c r="U49" s="51"/>
      <c r="V49" s="106"/>
    </row>
    <row r="50" spans="1:22" x14ac:dyDescent="0.25">
      <c r="A50" s="46">
        <f t="shared" si="1"/>
        <v>39</v>
      </c>
      <c r="B50" s="47">
        <v>1</v>
      </c>
      <c r="C50" s="7" t="s">
        <v>786</v>
      </c>
      <c r="D50" s="7" t="s">
        <v>787</v>
      </c>
      <c r="E50" s="8" t="s">
        <v>788</v>
      </c>
      <c r="F50" s="58">
        <v>4073616554</v>
      </c>
      <c r="G50" s="15" t="s">
        <v>789</v>
      </c>
      <c r="H50" s="49">
        <v>1</v>
      </c>
      <c r="I50" s="47">
        <v>1</v>
      </c>
      <c r="J50" s="47">
        <v>1</v>
      </c>
      <c r="K50" s="47">
        <v>1</v>
      </c>
      <c r="L50" s="47"/>
      <c r="M50" s="47"/>
      <c r="N50" s="47"/>
      <c r="O50" s="94">
        <f t="shared" si="5"/>
        <v>0</v>
      </c>
      <c r="P50" s="47" t="s">
        <v>754</v>
      </c>
      <c r="Q50" s="47">
        <v>1399</v>
      </c>
      <c r="R50" s="95">
        <f t="shared" si="6"/>
        <v>160</v>
      </c>
      <c r="S50" s="95" t="str">
        <f t="shared" si="7"/>
        <v/>
      </c>
      <c r="T50" s="96">
        <f>H50*[1]!FMainPool1Fee+I50*[1]!FMainPool2Fee+J50*[1]!FMainPool3Fee+K50*[1]!FMainPool4Fee+B50*[1]!FMainEntryFee</f>
        <v>160</v>
      </c>
      <c r="U50" s="51"/>
      <c r="V50" s="106"/>
    </row>
    <row r="51" spans="1:22" x14ac:dyDescent="0.25">
      <c r="A51" s="46">
        <f t="shared" si="1"/>
        <v>40</v>
      </c>
      <c r="B51" s="47">
        <v>1</v>
      </c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>
        <v>1</v>
      </c>
      <c r="I51" s="47">
        <v>1</v>
      </c>
      <c r="J51" s="47">
        <v>1</v>
      </c>
      <c r="K51" s="47">
        <v>1</v>
      </c>
      <c r="L51" s="47">
        <v>1</v>
      </c>
      <c r="M51" s="47"/>
      <c r="N51" s="47"/>
      <c r="O51" s="94">
        <f t="shared" si="5"/>
        <v>0</v>
      </c>
      <c r="P51" s="47" t="s">
        <v>754</v>
      </c>
      <c r="Q51" s="47">
        <v>616</v>
      </c>
      <c r="R51" s="95">
        <f t="shared" si="6"/>
        <v>160</v>
      </c>
      <c r="S51" s="95" t="str">
        <f t="shared" si="7"/>
        <v/>
      </c>
      <c r="T51" s="96">
        <f>H51*[1]!FMainPool1Fee+I51*[1]!FMainPool2Fee+J51*[1]!FMainPool3Fee+K51*[1]!FMainPool4Fee+B51*[1]!FMainEntryFee</f>
        <v>160</v>
      </c>
      <c r="U51" s="51"/>
      <c r="V51" s="110"/>
    </row>
    <row r="52" spans="1:22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 t="shared" si="5"/>
        <v>0</v>
      </c>
      <c r="P52" s="47" t="s">
        <v>754</v>
      </c>
      <c r="Q52" s="47">
        <v>1886</v>
      </c>
      <c r="R52" s="95">
        <f t="shared" si="6"/>
        <v>160</v>
      </c>
      <c r="S52" s="95" t="str">
        <f t="shared" si="7"/>
        <v/>
      </c>
      <c r="T52" s="96">
        <f>H52*[1]!FMainPool1Fee+I52*[1]!FMainPool2Fee+J52*[1]!FMainPool3Fee+K52*[1]!FMainPool4Fee+B52*[1]!FMainEntryFee</f>
        <v>160</v>
      </c>
      <c r="U52" s="51"/>
      <c r="V52" s="106"/>
    </row>
    <row r="53" spans="1:22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 t="shared" si="5"/>
        <v>0</v>
      </c>
      <c r="P53" s="47" t="s">
        <v>754</v>
      </c>
      <c r="Q53" s="47">
        <v>1886</v>
      </c>
      <c r="R53" s="95">
        <f t="shared" si="6"/>
        <v>160</v>
      </c>
      <c r="S53" s="95" t="str">
        <f t="shared" si="7"/>
        <v/>
      </c>
      <c r="T53" s="96">
        <f>H53*[1]!FMainPool1Fee+I53*[1]!FMainPool2Fee+J53*[1]!FMainPool3Fee+K53*[1]!FMainPool4Fee+B53*[1]!FMainEntryFee</f>
        <v>160</v>
      </c>
      <c r="U53" s="51"/>
      <c r="V53" s="110"/>
    </row>
    <row r="54" spans="1:22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 t="shared" si="5"/>
        <v>110</v>
      </c>
      <c r="P54" s="47" t="s">
        <v>750</v>
      </c>
      <c r="Q54" s="47"/>
      <c r="R54" s="95" t="str">
        <f t="shared" si="6"/>
        <v/>
      </c>
      <c r="S54" s="95">
        <f t="shared" si="7"/>
        <v>110</v>
      </c>
      <c r="T54" s="96">
        <f>H54*[1]!FMainPool1Fee+I54*[1]!FMainPool2Fee+J54*[1]!FMainPool3Fee+K54*[1]!FMainPool4Fee+B54*[1]!FMainEntryFee</f>
        <v>110</v>
      </c>
      <c r="U54" s="51"/>
      <c r="V54" s="110"/>
    </row>
    <row r="55" spans="1:22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19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750</v>
      </c>
      <c r="Q55" s="47"/>
      <c r="R55" s="95" t="str">
        <f t="shared" si="6"/>
        <v/>
      </c>
      <c r="S55" s="95">
        <f t="shared" si="7"/>
        <v>110</v>
      </c>
      <c r="T55" s="96">
        <f>H55*[1]!FMainPool1Fee+I55*[1]!FMainPool2Fee+J55*[1]!FMainPool3Fee+K55*[1]!FMainPool4Fee+B55*[1]!FMainEntryFee</f>
        <v>110</v>
      </c>
      <c r="U55" s="51"/>
      <c r="V55" s="10"/>
    </row>
    <row r="56" spans="1:22" x14ac:dyDescent="0.25">
      <c r="A56" s="46">
        <f t="shared" si="1"/>
        <v>45</v>
      </c>
      <c r="B56" s="47">
        <v>1</v>
      </c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750</v>
      </c>
      <c r="Q56" s="47"/>
      <c r="R56" s="95" t="str">
        <f t="shared" si="6"/>
        <v/>
      </c>
      <c r="S56" s="95">
        <f t="shared" si="7"/>
        <v>70</v>
      </c>
      <c r="T56" s="96">
        <f>H56*[1]!FMainPool1Fee+I56*[1]!FMainPool2Fee+J56*[1]!FMainPool3Fee+K56*[1]!FMainPool4Fee+B56*[1]!FMainEntryFee</f>
        <v>70</v>
      </c>
      <c r="U56" s="51"/>
      <c r="V56" s="110"/>
    </row>
    <row r="57" spans="1:22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 t="shared" si="5"/>
        <v>0</v>
      </c>
      <c r="P57" s="47" t="s">
        <v>750</v>
      </c>
      <c r="Q57" s="47"/>
      <c r="R57" s="95" t="str">
        <f t="shared" si="6"/>
        <v/>
      </c>
      <c r="S57" s="95">
        <f t="shared" si="7"/>
        <v>90</v>
      </c>
      <c r="T57" s="96">
        <f>H57*[1]!FMainPool1Fee+I57*[1]!FMainPool2Fee+J57*[1]!FMainPool3Fee+K57*[1]!FMainPool4Fee+B57*[1]!FMainEntryFee</f>
        <v>90</v>
      </c>
      <c r="U57" s="51"/>
      <c r="V57" s="106"/>
    </row>
    <row r="58" spans="1:22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 t="shared" si="5"/>
        <v>0</v>
      </c>
      <c r="P58" s="47" t="s">
        <v>754</v>
      </c>
      <c r="Q58" s="47">
        <v>1149</v>
      </c>
      <c r="R58" s="95">
        <f t="shared" si="6"/>
        <v>110</v>
      </c>
      <c r="S58" s="95" t="str">
        <f t="shared" si="7"/>
        <v/>
      </c>
      <c r="T58" s="96">
        <f>H58*[1]!FMainPool1Fee+I58*[1]!FMainPool2Fee+J58*[1]!FMainPool3Fee+K58*[1]!FMainPool4Fee+B58*[1]!FMainEntryFee</f>
        <v>110</v>
      </c>
      <c r="U58" s="51"/>
      <c r="V58" s="110"/>
    </row>
    <row r="59" spans="1:22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/>
      <c r="J59" s="47"/>
      <c r="K59" s="47"/>
      <c r="L59" s="47"/>
      <c r="M59" s="47">
        <v>1</v>
      </c>
      <c r="N59" s="47"/>
      <c r="O59" s="94">
        <f t="shared" si="5"/>
        <v>0</v>
      </c>
      <c r="P59" s="47" t="s">
        <v>754</v>
      </c>
      <c r="Q59" s="47">
        <v>1149</v>
      </c>
      <c r="R59" s="95">
        <f t="shared" si="6"/>
        <v>80</v>
      </c>
      <c r="S59" s="95" t="str">
        <f t="shared" si="7"/>
        <v/>
      </c>
      <c r="T59" s="96">
        <f>H59*[1]!FMainPool1Fee+I59*[1]!FMainPool2Fee+J59*[1]!FMainPool3Fee+K59*[1]!FMainPool4Fee+B59*[1]!FMainEntryFee</f>
        <v>80</v>
      </c>
      <c r="U59" s="51"/>
      <c r="V59" s="110"/>
    </row>
    <row r="60" spans="1:22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754</v>
      </c>
      <c r="Q60" s="47">
        <v>2487</v>
      </c>
      <c r="R60" s="95">
        <f t="shared" si="6"/>
        <v>80</v>
      </c>
      <c r="S60" s="95" t="str">
        <f t="shared" si="7"/>
        <v/>
      </c>
      <c r="T60" s="96">
        <f>H60*[1]!FMainPool1Fee+I60*[1]!FMainPool2Fee+J60*[1]!FMainPool3Fee+K60*[1]!FMainPool4Fee+B60*[1]!FMainEntryFee</f>
        <v>80</v>
      </c>
      <c r="U60" s="51"/>
      <c r="V60" s="110"/>
    </row>
    <row r="61" spans="1:22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799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754</v>
      </c>
      <c r="Q61" s="47">
        <v>8803</v>
      </c>
      <c r="R61" s="95">
        <f t="shared" si="6"/>
        <v>70</v>
      </c>
      <c r="S61" s="95" t="str">
        <f t="shared" si="7"/>
        <v/>
      </c>
      <c r="T61" s="96">
        <f>H61*[1]!FMainPool1Fee+I61*[1]!FMainPool2Fee+J61*[1]!FMainPool3Fee+K61*[1]!FMainPool4Fee+B61*[1]!FMainEntryFee</f>
        <v>70</v>
      </c>
      <c r="U61" s="51"/>
      <c r="V61" s="110"/>
    </row>
    <row r="62" spans="1:22" x14ac:dyDescent="0.25">
      <c r="A62" s="46">
        <f t="shared" si="1"/>
        <v>51</v>
      </c>
      <c r="B62" s="47">
        <v>1</v>
      </c>
      <c r="C62" s="5" t="s">
        <v>800</v>
      </c>
      <c r="D62" s="5" t="s">
        <v>801</v>
      </c>
      <c r="E62" s="6" t="s">
        <v>802</v>
      </c>
      <c r="F62" s="61">
        <v>4178488838</v>
      </c>
      <c r="G62" s="57" t="s">
        <v>803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 t="shared" si="5"/>
        <v>0</v>
      </c>
      <c r="P62" s="47" t="s">
        <v>754</v>
      </c>
      <c r="Q62" s="47">
        <v>7357</v>
      </c>
      <c r="R62" s="95">
        <f t="shared" si="6"/>
        <v>160</v>
      </c>
      <c r="S62" s="95" t="str">
        <f t="shared" si="7"/>
        <v/>
      </c>
      <c r="T62" s="96">
        <f>H62*[1]!FMainPool1Fee+I62*[1]!FMainPool2Fee+J62*[1]!FMainPool3Fee+K62*[1]!FMainPool4Fee+B62*[1]!FMainEntryFee</f>
        <v>160</v>
      </c>
      <c r="U62" s="51"/>
      <c r="V62" s="10"/>
    </row>
    <row r="63" spans="1:22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 t="shared" si="5"/>
        <v>0</v>
      </c>
      <c r="P63" s="47" t="s">
        <v>754</v>
      </c>
      <c r="Q63" s="47">
        <v>4040</v>
      </c>
      <c r="R63" s="95">
        <f t="shared" si="6"/>
        <v>100</v>
      </c>
      <c r="S63" s="95" t="str">
        <f t="shared" si="7"/>
        <v/>
      </c>
      <c r="T63" s="96">
        <f>H63*[1]!FMainPool1Fee+I63*[1]!FMainPool2Fee+J63*[1]!FMainPool3Fee+K63*[1]!FMainPool4Fee+B63*[1]!FMainEntryFee</f>
        <v>100</v>
      </c>
      <c r="U63" s="51"/>
      <c r="V63" s="110"/>
    </row>
    <row r="64" spans="1:22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 t="shared" si="5"/>
        <v>0</v>
      </c>
      <c r="P64" s="47" t="s">
        <v>754</v>
      </c>
      <c r="Q64" s="47">
        <v>9990</v>
      </c>
      <c r="R64" s="95">
        <f t="shared" si="6"/>
        <v>110</v>
      </c>
      <c r="S64" s="95" t="str">
        <f t="shared" si="7"/>
        <v/>
      </c>
      <c r="T64" s="96">
        <f>H64*[1]!FMainPool1Fee+I64*[1]!FMainPool2Fee+J64*[1]!FMainPool3Fee+K64*[1]!FMainPool4Fee+B64*[1]!FMainEntryFee</f>
        <v>110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755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 t="s">
        <v>754</v>
      </c>
      <c r="Q65" s="47">
        <v>930</v>
      </c>
      <c r="R65" s="95">
        <f t="shared" si="6"/>
        <v>0</v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754</v>
      </c>
      <c r="Q66" s="47"/>
      <c r="R66" s="95">
        <f t="shared" si="6"/>
        <v>0</v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754</v>
      </c>
      <c r="Q67" s="47"/>
      <c r="R67" s="95">
        <f t="shared" si="6"/>
        <v>0</v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754</v>
      </c>
      <c r="Q68" s="47"/>
      <c r="R68" s="95">
        <f t="shared" si="6"/>
        <v>0</v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754</v>
      </c>
      <c r="Q69" s="47"/>
      <c r="R69" s="95">
        <f t="shared" si="6"/>
        <v>0</v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 t="s">
        <v>754</v>
      </c>
      <c r="Q70" s="47"/>
      <c r="R70" s="95">
        <f t="shared" si="6"/>
        <v>0</v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 t="s">
        <v>754</v>
      </c>
      <c r="Q71" s="47">
        <v>1826</v>
      </c>
      <c r="R71" s="95">
        <f t="shared" si="6"/>
        <v>0</v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754</v>
      </c>
      <c r="Q72" s="47"/>
      <c r="R72" s="95">
        <f t="shared" si="6"/>
        <v>0</v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754</v>
      </c>
      <c r="Q73" s="47"/>
      <c r="R73" s="95">
        <f t="shared" si="6"/>
        <v>0</v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 t="s">
        <v>754</v>
      </c>
      <c r="Q74" s="47"/>
      <c r="R74" s="95">
        <f t="shared" si="6"/>
        <v>0</v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 t="s">
        <v>754</v>
      </c>
      <c r="Q75" s="47"/>
      <c r="R75" s="95">
        <f t="shared" si="6"/>
        <v>0</v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 t="s">
        <v>754</v>
      </c>
      <c r="Q76" s="47"/>
      <c r="R76" s="95">
        <f t="shared" ref="R76:R107" si="10">IF(OR(P76="c",P76="C"),+T76,"")</f>
        <v>0</v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9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 t="s">
        <v>754</v>
      </c>
      <c r="Q77" s="47"/>
      <c r="R77" s="95">
        <f t="shared" si="10"/>
        <v>0</v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 t="s">
        <v>754</v>
      </c>
      <c r="Q78" s="47"/>
      <c r="R78" s="95">
        <f t="shared" si="10"/>
        <v>0</v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 t="s">
        <v>754</v>
      </c>
      <c r="Q79" s="47"/>
      <c r="R79" s="95">
        <f t="shared" si="10"/>
        <v>0</v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 t="s">
        <v>754</v>
      </c>
      <c r="Q80" s="47"/>
      <c r="R80" s="95">
        <f t="shared" si="10"/>
        <v>0</v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 t="s">
        <v>754</v>
      </c>
      <c r="Q81" s="47"/>
      <c r="R81" s="95">
        <f t="shared" si="10"/>
        <v>0</v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 t="s">
        <v>754</v>
      </c>
      <c r="Q82" s="47"/>
      <c r="R82" s="95">
        <f t="shared" si="10"/>
        <v>0</v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 t="s">
        <v>754</v>
      </c>
      <c r="Q83" s="47"/>
      <c r="R83" s="95">
        <f t="shared" si="10"/>
        <v>0</v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 t="s">
        <v>754</v>
      </c>
      <c r="Q84" s="47"/>
      <c r="R84" s="95">
        <f t="shared" si="10"/>
        <v>0</v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 t="s">
        <v>754</v>
      </c>
      <c r="Q85" s="47"/>
      <c r="R85" s="95">
        <f t="shared" si="10"/>
        <v>0</v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754</v>
      </c>
      <c r="Q86" s="47"/>
      <c r="R86" s="95">
        <f t="shared" si="10"/>
        <v>0</v>
      </c>
      <c r="S86" s="95" t="str">
        <f t="shared" si="11"/>
        <v/>
      </c>
      <c r="T86" s="96"/>
      <c r="U86" s="51"/>
      <c r="V86" s="110"/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 t="s">
        <v>754</v>
      </c>
      <c r="Q87" s="47"/>
      <c r="R87" s="95">
        <f t="shared" si="10"/>
        <v>0</v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 t="s">
        <v>754</v>
      </c>
      <c r="Q88" s="47"/>
      <c r="R88" s="95">
        <f t="shared" si="10"/>
        <v>0</v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 t="s">
        <v>754</v>
      </c>
      <c r="Q89" s="47"/>
      <c r="R89" s="95">
        <f t="shared" si="10"/>
        <v>0</v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 t="s">
        <v>754</v>
      </c>
      <c r="Q90" s="47"/>
      <c r="R90" s="95">
        <f t="shared" si="10"/>
        <v>0</v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9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 t="s">
        <v>754</v>
      </c>
      <c r="Q91" s="47"/>
      <c r="R91" s="95">
        <f t="shared" si="10"/>
        <v>0</v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 t="s">
        <v>754</v>
      </c>
      <c r="Q92" s="47"/>
      <c r="R92" s="95">
        <f t="shared" si="10"/>
        <v>0</v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 t="s">
        <v>754</v>
      </c>
      <c r="Q93" s="47"/>
      <c r="R93" s="95">
        <f t="shared" si="10"/>
        <v>0</v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 t="s">
        <v>754</v>
      </c>
      <c r="Q94" s="47"/>
      <c r="R94" s="95">
        <f t="shared" si="10"/>
        <v>0</v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 t="s">
        <v>754</v>
      </c>
      <c r="Q95" s="47"/>
      <c r="R95" s="95">
        <f t="shared" si="10"/>
        <v>0</v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 t="s">
        <v>754</v>
      </c>
      <c r="Q96" s="47"/>
      <c r="R96" s="95">
        <f t="shared" si="10"/>
        <v>0</v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 t="s">
        <v>754</v>
      </c>
      <c r="Q97" s="47"/>
      <c r="R97" s="95">
        <f t="shared" si="10"/>
        <v>0</v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 t="s">
        <v>754</v>
      </c>
      <c r="Q98" s="47"/>
      <c r="R98" s="95">
        <f t="shared" si="10"/>
        <v>0</v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 t="s">
        <v>754</v>
      </c>
      <c r="Q99" s="47"/>
      <c r="R99" s="95">
        <f t="shared" si="10"/>
        <v>0</v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 t="s">
        <v>754</v>
      </c>
      <c r="Q100" s="47"/>
      <c r="R100" s="95">
        <f t="shared" si="10"/>
        <v>0</v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 t="s">
        <v>754</v>
      </c>
      <c r="Q101" s="47"/>
      <c r="R101" s="95">
        <f t="shared" si="10"/>
        <v>0</v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 t="s">
        <v>754</v>
      </c>
      <c r="Q102" s="47"/>
      <c r="R102" s="95">
        <f t="shared" si="10"/>
        <v>0</v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 t="s">
        <v>754</v>
      </c>
      <c r="Q103" s="47"/>
      <c r="R103" s="95">
        <f t="shared" si="10"/>
        <v>0</v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 t="s">
        <v>754</v>
      </c>
      <c r="Q104" s="47"/>
      <c r="R104" s="95">
        <f t="shared" si="10"/>
        <v>0</v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 t="s">
        <v>754</v>
      </c>
      <c r="Q105" s="47"/>
      <c r="R105" s="95">
        <f t="shared" si="10"/>
        <v>0</v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 t="s">
        <v>754</v>
      </c>
      <c r="Q106" s="47"/>
      <c r="R106" s="95">
        <f t="shared" si="10"/>
        <v>0</v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 t="s">
        <v>754</v>
      </c>
      <c r="Q107" s="47"/>
      <c r="R107" s="95">
        <f t="shared" si="10"/>
        <v>0</v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 t="s">
        <v>754</v>
      </c>
      <c r="Q108" s="47"/>
      <c r="R108" s="95">
        <f t="shared" ref="R108:R139" si="13">IF(OR(P108="c",P108="C"),+T108,"")</f>
        <v>0</v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 t="s">
        <v>754</v>
      </c>
      <c r="Q109" s="47"/>
      <c r="R109" s="95">
        <f t="shared" si="13"/>
        <v>0</v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 t="s">
        <v>754</v>
      </c>
      <c r="Q110" s="47"/>
      <c r="R110" s="95">
        <f t="shared" si="13"/>
        <v>0</v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 t="s">
        <v>754</v>
      </c>
      <c r="Q111" s="47"/>
      <c r="R111" s="95">
        <f t="shared" si="13"/>
        <v>0</v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 t="s">
        <v>754</v>
      </c>
      <c r="Q112" s="47"/>
      <c r="R112" s="95">
        <f t="shared" si="13"/>
        <v>0</v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 t="s">
        <v>754</v>
      </c>
      <c r="Q113" s="47"/>
      <c r="R113" s="95">
        <f t="shared" si="13"/>
        <v>0</v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756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9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 t="s">
        <v>754</v>
      </c>
      <c r="Q114" s="47"/>
      <c r="R114" s="95">
        <f t="shared" si="13"/>
        <v>0</v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 t="s">
        <v>754</v>
      </c>
      <c r="Q115" s="47"/>
      <c r="R115" s="95">
        <f t="shared" si="13"/>
        <v>0</v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 t="s">
        <v>754</v>
      </c>
      <c r="Q116" s="47"/>
      <c r="R116" s="95">
        <f t="shared" si="13"/>
        <v>0</v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 t="s">
        <v>754</v>
      </c>
      <c r="Q117" s="47"/>
      <c r="R117" s="95">
        <f t="shared" si="13"/>
        <v>0</v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 t="s">
        <v>754</v>
      </c>
      <c r="Q118" s="47"/>
      <c r="R118" s="95">
        <f t="shared" si="13"/>
        <v>0</v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 t="s">
        <v>754</v>
      </c>
      <c r="Q119" s="47"/>
      <c r="R119" s="95">
        <f t="shared" si="13"/>
        <v>0</v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 t="s">
        <v>754</v>
      </c>
      <c r="Q120" s="47"/>
      <c r="R120" s="95">
        <f t="shared" si="13"/>
        <v>0</v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 t="s">
        <v>754</v>
      </c>
      <c r="Q121" s="47"/>
      <c r="R121" s="95">
        <f t="shared" si="13"/>
        <v>0</v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 t="s">
        <v>754</v>
      </c>
      <c r="Q122" s="47"/>
      <c r="R122" s="95">
        <f t="shared" si="13"/>
        <v>0</v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 t="s">
        <v>754</v>
      </c>
      <c r="Q123" s="47"/>
      <c r="R123" s="95">
        <f t="shared" si="13"/>
        <v>0</v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 t="s">
        <v>754</v>
      </c>
      <c r="Q124" s="47"/>
      <c r="R124" s="95">
        <f t="shared" si="13"/>
        <v>0</v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 t="s">
        <v>754</v>
      </c>
      <c r="Q125" s="47"/>
      <c r="R125" s="95">
        <f t="shared" si="13"/>
        <v>0</v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 t="s">
        <v>754</v>
      </c>
      <c r="Q126" s="47"/>
      <c r="R126" s="95">
        <f t="shared" si="13"/>
        <v>0</v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 t="s">
        <v>754</v>
      </c>
      <c r="Q127" s="47"/>
      <c r="R127" s="95">
        <f t="shared" si="13"/>
        <v>0</v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 t="s">
        <v>754</v>
      </c>
      <c r="Q128" s="47"/>
      <c r="R128" s="95">
        <f t="shared" si="13"/>
        <v>0</v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775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 t="s">
        <v>754</v>
      </c>
      <c r="Q129" s="47"/>
      <c r="R129" s="95">
        <f t="shared" si="13"/>
        <v>0</v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776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 t="s">
        <v>754</v>
      </c>
      <c r="Q130" s="47"/>
      <c r="R130" s="95">
        <f t="shared" si="13"/>
        <v>0</v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 t="s">
        <v>754</v>
      </c>
      <c r="Q131" s="47"/>
      <c r="R131" s="95">
        <f t="shared" si="13"/>
        <v>0</v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 t="s">
        <v>754</v>
      </c>
      <c r="Q132" s="47"/>
      <c r="R132" s="95">
        <f t="shared" si="13"/>
        <v>0</v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756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 t="s">
        <v>754</v>
      </c>
      <c r="Q133" s="47"/>
      <c r="R133" s="95">
        <f t="shared" si="13"/>
        <v>0</v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 t="s">
        <v>754</v>
      </c>
      <c r="Q134" s="47"/>
      <c r="R134" s="95">
        <f t="shared" si="13"/>
        <v>0</v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 t="s">
        <v>754</v>
      </c>
      <c r="Q135" s="47"/>
      <c r="R135" s="95">
        <f t="shared" si="13"/>
        <v>0</v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 t="s">
        <v>754</v>
      </c>
      <c r="Q136" s="47"/>
      <c r="R136" s="95">
        <f t="shared" si="13"/>
        <v>0</v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 t="s">
        <v>754</v>
      </c>
      <c r="Q137" s="47"/>
      <c r="R137" s="95">
        <f t="shared" si="13"/>
        <v>0</v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769</v>
      </c>
      <c r="D138" s="7" t="s">
        <v>770</v>
      </c>
      <c r="E138" s="10" t="s">
        <v>771</v>
      </c>
      <c r="F138" s="10" t="s">
        <v>772</v>
      </c>
      <c r="G138" s="15" t="s">
        <v>773</v>
      </c>
      <c r="H138" s="49"/>
      <c r="I138" s="47"/>
      <c r="J138" s="47"/>
      <c r="K138" s="47"/>
      <c r="L138" s="47"/>
      <c r="M138" s="47"/>
      <c r="N138" s="47">
        <v>1</v>
      </c>
      <c r="O138" s="94">
        <f t="shared" si="15"/>
        <v>0</v>
      </c>
      <c r="P138" s="47" t="s">
        <v>750</v>
      </c>
      <c r="Q138" s="47"/>
      <c r="R138" s="95" t="str">
        <f t="shared" si="13"/>
        <v/>
      </c>
      <c r="S138" s="95">
        <f t="shared" si="14"/>
        <v>0</v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 t="s">
        <v>754</v>
      </c>
      <c r="Q139" s="47"/>
      <c r="R139" s="95">
        <f t="shared" si="13"/>
        <v>0</v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9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 t="s">
        <v>754</v>
      </c>
      <c r="Q140" s="47"/>
      <c r="R140" s="95">
        <f t="shared" ref="R140:R171" si="17">IF(OR(P140="c",P140="C"),+T140,"")</f>
        <v>0</v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 t="s">
        <v>754</v>
      </c>
      <c r="Q141" s="47"/>
      <c r="R141" s="95">
        <f t="shared" si="17"/>
        <v>0</v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778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 t="s">
        <v>754</v>
      </c>
      <c r="Q142" s="47"/>
      <c r="R142" s="95">
        <f t="shared" si="17"/>
        <v>0</v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 t="s">
        <v>754</v>
      </c>
      <c r="Q143" s="47"/>
      <c r="R143" s="95">
        <f t="shared" si="17"/>
        <v>0</v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 t="s">
        <v>754</v>
      </c>
      <c r="Q144" s="47"/>
      <c r="R144" s="95">
        <f t="shared" si="17"/>
        <v>0</v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 t="s">
        <v>754</v>
      </c>
      <c r="Q145" s="47"/>
      <c r="R145" s="95">
        <f t="shared" si="17"/>
        <v>0</v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 t="s">
        <v>754</v>
      </c>
      <c r="Q146" s="47"/>
      <c r="R146" s="95">
        <f t="shared" si="17"/>
        <v>0</v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 t="s">
        <v>754</v>
      </c>
      <c r="Q147" s="47"/>
      <c r="R147" s="95">
        <f t="shared" si="17"/>
        <v>0</v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 t="s">
        <v>754</v>
      </c>
      <c r="Q148" s="47"/>
      <c r="R148" s="95">
        <f t="shared" si="17"/>
        <v>0</v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 t="s">
        <v>754</v>
      </c>
      <c r="Q149" s="47"/>
      <c r="R149" s="95">
        <f t="shared" si="17"/>
        <v>0</v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 t="s">
        <v>754</v>
      </c>
      <c r="Q150" s="47"/>
      <c r="R150" s="95">
        <f t="shared" si="17"/>
        <v>0</v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 t="s">
        <v>754</v>
      </c>
      <c r="Q151" s="47"/>
      <c r="R151" s="95">
        <f t="shared" si="17"/>
        <v>0</v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 t="s">
        <v>754</v>
      </c>
      <c r="Q152" s="47"/>
      <c r="R152" s="95">
        <f t="shared" si="17"/>
        <v>0</v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9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 t="s">
        <v>754</v>
      </c>
      <c r="Q153" s="47"/>
      <c r="R153" s="95">
        <f t="shared" si="17"/>
        <v>0</v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 t="s">
        <v>754</v>
      </c>
      <c r="Q154" s="47" t="s">
        <v>814</v>
      </c>
      <c r="R154" s="95">
        <f t="shared" si="17"/>
        <v>0</v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 t="s">
        <v>754</v>
      </c>
      <c r="Q155" s="47"/>
      <c r="R155" s="95">
        <f t="shared" si="17"/>
        <v>0</v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 t="s">
        <v>754</v>
      </c>
      <c r="Q156" s="47"/>
      <c r="R156" s="95">
        <f t="shared" si="17"/>
        <v>0</v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 t="s">
        <v>754</v>
      </c>
      <c r="Q157" s="47"/>
      <c r="R157" s="95">
        <f t="shared" si="17"/>
        <v>0</v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 t="s">
        <v>754</v>
      </c>
      <c r="Q158" s="47"/>
      <c r="R158" s="95">
        <f t="shared" si="17"/>
        <v>0</v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 t="s">
        <v>754</v>
      </c>
      <c r="Q159" s="47"/>
      <c r="R159" s="95">
        <f t="shared" si="17"/>
        <v>0</v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 t="s">
        <v>754</v>
      </c>
      <c r="Q160" s="47"/>
      <c r="R160" s="95">
        <f t="shared" si="17"/>
        <v>0</v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 t="s">
        <v>754</v>
      </c>
      <c r="Q161" s="47"/>
      <c r="R161" s="95">
        <f t="shared" si="17"/>
        <v>0</v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 t="s">
        <v>754</v>
      </c>
      <c r="Q162" s="47"/>
      <c r="R162" s="95">
        <f t="shared" si="17"/>
        <v>0</v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 t="s">
        <v>754</v>
      </c>
      <c r="Q163" s="47"/>
      <c r="R163" s="95">
        <f t="shared" si="17"/>
        <v>0</v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 t="s">
        <v>754</v>
      </c>
      <c r="Q164" s="47"/>
      <c r="R164" s="95">
        <f t="shared" si="17"/>
        <v>0</v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790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 t="s">
        <v>754</v>
      </c>
      <c r="Q165" s="47"/>
      <c r="R165" s="95">
        <f t="shared" si="17"/>
        <v>0</v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 t="s">
        <v>754</v>
      </c>
      <c r="Q166" s="47"/>
      <c r="R166" s="95">
        <f t="shared" si="17"/>
        <v>0</v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 t="s">
        <v>754</v>
      </c>
      <c r="Q167" s="47"/>
      <c r="R167" s="95">
        <f t="shared" si="17"/>
        <v>0</v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 t="s">
        <v>754</v>
      </c>
      <c r="Q168" s="47"/>
      <c r="R168" s="95">
        <f t="shared" si="17"/>
        <v>0</v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 t="s">
        <v>754</v>
      </c>
      <c r="Q169" s="47"/>
      <c r="R169" s="95">
        <f t="shared" si="17"/>
        <v>0</v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791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 t="s">
        <v>754</v>
      </c>
      <c r="Q170" s="47"/>
      <c r="R170" s="95">
        <f t="shared" si="17"/>
        <v>0</v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792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 t="s">
        <v>754</v>
      </c>
      <c r="Q171" s="47"/>
      <c r="R171" s="95">
        <f t="shared" si="17"/>
        <v>0</v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 t="s">
        <v>754</v>
      </c>
      <c r="Q172" s="47"/>
      <c r="R172" s="95">
        <f t="shared" ref="R172:R203" si="20">IF(OR(P172="c",P172="C"),+T172,"")</f>
        <v>0</v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 t="s">
        <v>754</v>
      </c>
      <c r="Q173" s="47"/>
      <c r="R173" s="95">
        <f t="shared" si="20"/>
        <v>0</v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 t="s">
        <v>754</v>
      </c>
      <c r="Q174" s="47"/>
      <c r="R174" s="95">
        <f t="shared" si="20"/>
        <v>0</v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 t="s">
        <v>754</v>
      </c>
      <c r="Q175" s="47"/>
      <c r="R175" s="95">
        <f t="shared" si="20"/>
        <v>0</v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 t="s">
        <v>754</v>
      </c>
      <c r="Q176" s="47"/>
      <c r="R176" s="95">
        <f t="shared" si="20"/>
        <v>0</v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 t="s">
        <v>754</v>
      </c>
      <c r="Q177" s="47"/>
      <c r="R177" s="95">
        <f t="shared" si="20"/>
        <v>0</v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 t="s">
        <v>754</v>
      </c>
      <c r="Q178" s="47"/>
      <c r="R178" s="95">
        <f t="shared" si="20"/>
        <v>0</v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 t="s">
        <v>754</v>
      </c>
      <c r="Q179" s="47"/>
      <c r="R179" s="95">
        <f t="shared" si="20"/>
        <v>0</v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 t="s">
        <v>754</v>
      </c>
      <c r="Q180" s="47"/>
      <c r="R180" s="95">
        <f t="shared" si="20"/>
        <v>0</v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756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 t="s">
        <v>754</v>
      </c>
      <c r="Q181" s="47"/>
      <c r="R181" s="95">
        <f t="shared" si="20"/>
        <v>0</v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 t="s">
        <v>754</v>
      </c>
      <c r="Q182" s="47"/>
      <c r="R182" s="95">
        <f t="shared" si="20"/>
        <v>0</v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 t="s">
        <v>754</v>
      </c>
      <c r="Q183" s="47"/>
      <c r="R183" s="95">
        <f t="shared" si="20"/>
        <v>0</v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 t="s">
        <v>754</v>
      </c>
      <c r="Q184" s="47"/>
      <c r="R184" s="95">
        <f t="shared" si="20"/>
        <v>0</v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 t="s">
        <v>754</v>
      </c>
      <c r="Q185" s="47"/>
      <c r="R185" s="95">
        <f t="shared" si="20"/>
        <v>0</v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 t="s">
        <v>754</v>
      </c>
      <c r="Q186" s="47"/>
      <c r="R186" s="95">
        <f t="shared" si="20"/>
        <v>0</v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793</v>
      </c>
      <c r="D187" s="14" t="s">
        <v>45</v>
      </c>
      <c r="E187" s="6" t="s">
        <v>794</v>
      </c>
      <c r="F187" s="48" t="s">
        <v>795</v>
      </c>
      <c r="G187" s="12" t="s">
        <v>796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 t="s">
        <v>754</v>
      </c>
      <c r="Q187" s="47"/>
      <c r="R187" s="95">
        <f t="shared" si="20"/>
        <v>0</v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797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 t="s">
        <v>754</v>
      </c>
      <c r="Q188" s="47"/>
      <c r="R188" s="95">
        <f t="shared" si="20"/>
        <v>0</v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798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 t="s">
        <v>754</v>
      </c>
      <c r="Q189" s="47"/>
      <c r="R189" s="95">
        <f t="shared" si="20"/>
        <v>0</v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 t="s">
        <v>754</v>
      </c>
      <c r="Q190" s="47"/>
      <c r="R190" s="95">
        <f t="shared" si="20"/>
        <v>0</v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 t="s">
        <v>754</v>
      </c>
      <c r="Q191" s="47"/>
      <c r="R191" s="95">
        <f t="shared" si="20"/>
        <v>0</v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 t="s">
        <v>754</v>
      </c>
      <c r="Q192" s="47"/>
      <c r="R192" s="95">
        <f t="shared" si="20"/>
        <v>0</v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 t="s">
        <v>754</v>
      </c>
      <c r="Q193" s="47"/>
      <c r="R193" s="95">
        <f t="shared" si="20"/>
        <v>0</v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 t="s">
        <v>754</v>
      </c>
      <c r="Q194" s="47"/>
      <c r="R194" s="95">
        <f t="shared" si="20"/>
        <v>0</v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 t="s">
        <v>754</v>
      </c>
      <c r="Q195" s="47"/>
      <c r="R195" s="95">
        <f t="shared" si="20"/>
        <v>0</v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 t="s">
        <v>754</v>
      </c>
      <c r="Q196" s="47"/>
      <c r="R196" s="95">
        <f t="shared" si="20"/>
        <v>0</v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 t="s">
        <v>754</v>
      </c>
      <c r="Q197" s="47"/>
      <c r="R197" s="95">
        <f t="shared" si="20"/>
        <v>0</v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 t="s">
        <v>754</v>
      </c>
      <c r="Q198" s="47"/>
      <c r="R198" s="95">
        <f t="shared" si="20"/>
        <v>0</v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 t="s">
        <v>754</v>
      </c>
      <c r="Q199" s="47"/>
      <c r="R199" s="95">
        <f t="shared" si="20"/>
        <v>0</v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 t="s">
        <v>754</v>
      </c>
      <c r="Q200" s="47"/>
      <c r="R200" s="95">
        <f t="shared" si="20"/>
        <v>0</v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 t="s">
        <v>754</v>
      </c>
      <c r="Q201" s="47"/>
      <c r="R201" s="95">
        <f t="shared" si="20"/>
        <v>0</v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 t="s">
        <v>754</v>
      </c>
      <c r="Q202" s="47"/>
      <c r="R202" s="95">
        <f t="shared" si="20"/>
        <v>0</v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 t="s">
        <v>754</v>
      </c>
      <c r="Q203" s="47"/>
      <c r="R203" s="95">
        <f t="shared" si="20"/>
        <v>0</v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 t="s">
        <v>754</v>
      </c>
      <c r="Q204" s="47"/>
      <c r="R204" s="95">
        <f t="shared" ref="R204:R210" si="24">IF(OR(P204="c",P204="C"),+T204,"")</f>
        <v>0</v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 t="s">
        <v>754</v>
      </c>
      <c r="Q205" s="47"/>
      <c r="R205" s="95">
        <f t="shared" si="24"/>
        <v>0</v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 t="s">
        <v>754</v>
      </c>
      <c r="Q206" s="47"/>
      <c r="R206" s="95">
        <f t="shared" si="24"/>
        <v>0</v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 t="s">
        <v>754</v>
      </c>
      <c r="Q207" s="47"/>
      <c r="R207" s="95">
        <f t="shared" si="24"/>
        <v>0</v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 t="s">
        <v>754</v>
      </c>
      <c r="Q208" s="47"/>
      <c r="R208" s="95">
        <f t="shared" si="24"/>
        <v>0</v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 t="s">
        <v>754</v>
      </c>
      <c r="Q209" s="47"/>
      <c r="R209" s="95">
        <f t="shared" si="24"/>
        <v>0</v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 t="s">
        <v>754</v>
      </c>
      <c r="Q210" s="47"/>
      <c r="R210" s="95">
        <f t="shared" si="24"/>
        <v>0</v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747</v>
      </c>
      <c r="B5" s="5"/>
      <c r="C5" s="6" t="s">
        <v>748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769</v>
      </c>
      <c r="B9" s="7" t="s">
        <v>770</v>
      </c>
      <c r="C9" s="10" t="s">
        <v>771</v>
      </c>
      <c r="D9" s="49"/>
      <c r="E9" s="47"/>
      <c r="F9" s="47"/>
      <c r="G9" s="47"/>
      <c r="H9" s="47"/>
      <c r="I9" s="47"/>
      <c r="J9" s="47">
        <v>1</v>
      </c>
      <c r="K9" s="94">
        <v>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2026-04-17T22:24:22Z</dcterms:modified>
</cp:coreProperties>
</file>