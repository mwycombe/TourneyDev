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778B9C36-B686-4AF9-BB1E-86D402CF6496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58" i="1" a="1"/>
  <c r="S51" i="1" a="1"/>
  <c r="S44" i="1" a="1"/>
  <c r="S37" i="1" a="1"/>
  <c r="S30" i="1" a="1"/>
  <c r="S23" i="1" a="1"/>
  <c r="S16" i="1" a="1"/>
  <c r="S21" i="1" a="1"/>
  <c r="S20" i="1" a="1"/>
  <c r="S18" i="1" a="1"/>
  <c r="S38" i="1" a="1"/>
  <c r="S15" i="1" a="1"/>
  <c r="S63" i="1" a="1"/>
  <c r="S28" i="1" a="1"/>
  <c r="S55" i="1" a="1"/>
  <c r="S27" i="1" a="1"/>
  <c r="S26" i="1" a="1"/>
  <c r="S59" i="1" a="1"/>
  <c r="S24" i="1" a="1"/>
  <c r="S22" i="1" a="1"/>
  <c r="S49" i="1" a="1"/>
  <c r="S35" i="1" a="1"/>
  <c r="S41" i="1" a="1"/>
  <c r="S54" i="1" a="1"/>
  <c r="S33" i="1" a="1"/>
  <c r="S19" i="1" a="1"/>
  <c r="S46" i="1" a="1"/>
  <c r="S31" i="1" a="1"/>
  <c r="S64" i="1" a="1"/>
  <c r="S57" i="1" a="1"/>
  <c r="S50" i="1" a="1"/>
  <c r="S43" i="1" a="1"/>
  <c r="S36" i="1" a="1"/>
  <c r="S29" i="1" a="1"/>
  <c r="S56" i="1" a="1"/>
  <c r="S42" i="1" a="1"/>
  <c r="S14" i="1" a="1"/>
  <c r="S62" i="1" a="1"/>
  <c r="S48" i="1" a="1"/>
  <c r="S13" i="1" a="1"/>
  <c r="S40" i="1" a="1"/>
  <c r="S60" i="1" a="1"/>
  <c r="S32" i="1" a="1"/>
  <c r="S52" i="1" a="1"/>
  <c r="S17" i="1" a="1"/>
  <c r="S34" i="1" a="1"/>
  <c r="S39" i="1" a="1"/>
  <c r="S45" i="1" a="1"/>
  <c r="S61" i="1" a="1"/>
  <c r="S47" i="1" a="1"/>
  <c r="S12" i="1" a="1"/>
  <c r="S53" i="1" a="1"/>
  <c r="S25" i="1" a="1"/>
  <c r="S69" i="1" a="1"/>
  <c r="S68" i="1" a="1"/>
  <c r="S65" i="1" a="1"/>
  <c r="S67" i="1" a="1"/>
  <c r="S71" i="1" a="1"/>
  <c r="S70" i="1" a="1"/>
  <c r="S66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10" i="1" l="1"/>
  <c r="Q10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<sst xmlns="http://schemas.openxmlformats.org/spreadsheetml/2006/main" count="517" uniqueCount="239">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</sst>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114</v>
      </c>
      <c r="E12" s="145" t="s">
        <v>115</v>
      </c>
      <c r="F12" s="111" t="s">
        <v>116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v>0</v>
      </c>
      <c r="O12" s="54" t="s">
        <v>224</v>
      </c>
      <c r="P12" s="7">
        <v>3536</v>
      </c>
      <c r="Q12" s="144">
        <f t="shared" ref="Q12:Q43" si="1">IF(OR(O12="c",O12="C"),+S12,"")</f>
        <v>160</v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129</v>
      </c>
      <c r="E13" s="145" t="s">
        <v>130</v>
      </c>
      <c r="F13" s="114" t="s">
        <v>131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v>160</v>
      </c>
      <c r="O13" s="54" t="s">
        <v>223</v>
      </c>
      <c r="P13" s="7"/>
      <c r="Q13" s="144" t="str">
        <f t="shared" si="1"/>
        <v/>
      </c>
      <c r="R13" s="115">
        <f t="shared" si="2"/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132</v>
      </c>
      <c r="E14" s="145" t="s">
        <v>120</v>
      </c>
      <c r="F14" s="114" t="s">
        <v>133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v>0</v>
      </c>
      <c r="O14" s="54" t="s">
        <v>223</v>
      </c>
      <c r="P14" s="7"/>
      <c r="Q14" s="144" t="str">
        <f t="shared" si="1"/>
        <v/>
      </c>
      <c r="R14" s="115">
        <f t="shared" si="2"/>
        <v>160</v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140</v>
      </c>
      <c r="E15" s="145" t="s">
        <v>141</v>
      </c>
      <c r="F15" s="111" t="s">
        <v>142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67"/>
      <c r="N15" s="108">
        <v>0</v>
      </c>
      <c r="O15" s="54" t="s">
        <v>223</v>
      </c>
      <c r="P15" s="7" t="s">
        <v>226</v>
      </c>
      <c r="Q15" s="144" t="str">
        <f t="shared" si="1"/>
        <v/>
      </c>
      <c r="R15" s="115">
        <f t="shared" si="2"/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151</v>
      </c>
      <c r="E16" s="145" t="s">
        <v>152</v>
      </c>
      <c r="F16" s="111" t="s">
        <v>153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v>70</v>
      </c>
      <c r="O16" s="54" t="s">
        <v>223</v>
      </c>
      <c r="P16" s="7"/>
      <c r="Q16" s="144" t="str">
        <f t="shared" si="1"/>
        <v/>
      </c>
      <c r="R16" s="115">
        <f t="shared" si="2"/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168</v>
      </c>
      <c r="E17" s="145" t="s">
        <v>120</v>
      </c>
      <c r="F17" s="114" t="s">
        <v>169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v>0</v>
      </c>
      <c r="O17" s="54" t="s">
        <v>224</v>
      </c>
      <c r="P17" s="7">
        <v>2553</v>
      </c>
      <c r="Q17" s="144">
        <f t="shared" si="1"/>
        <v>160</v>
      </c>
      <c r="R17" s="115" t="str">
        <f t="shared" si="2"/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170</v>
      </c>
      <c r="E18" s="145" t="s">
        <v>138</v>
      </c>
      <c r="F18" s="114" t="s">
        <v>171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224</v>
      </c>
      <c r="P18" s="7">
        <v>133</v>
      </c>
      <c r="Q18" s="144">
        <f t="shared" si="1"/>
        <v>80</v>
      </c>
      <c r="R18" s="115" t="str">
        <f t="shared" si="2"/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173</v>
      </c>
      <c r="E19" s="145" t="s">
        <v>174</v>
      </c>
      <c r="F19" s="114" t="s">
        <v>175</v>
      </c>
      <c r="G19" s="94">
        <v>1</v>
      </c>
      <c r="H19" s="105"/>
      <c r="I19" s="105">
        <v>1</v>
      </c>
      <c r="J19" s="105"/>
      <c r="K19" s="105"/>
      <c r="L19" s="143">
        <v>1</v>
      </c>
      <c r="M19" s="67">
        <v>1</v>
      </c>
      <c r="N19" s="108">
        <v>100</v>
      </c>
      <c r="O19" s="54" t="s">
        <v>223</v>
      </c>
      <c r="P19" s="7"/>
      <c r="Q19" s="144" t="str">
        <f t="shared" si="1"/>
        <v/>
      </c>
      <c r="R19" s="115">
        <f t="shared" si="2"/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191</v>
      </c>
      <c r="E20" s="145" t="s">
        <v>192</v>
      </c>
      <c r="F20" s="111" t="s">
        <v>193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616</v>
      </c>
      <c r="Q20" s="144">
        <f t="shared" si="1"/>
        <v>160</v>
      </c>
      <c r="R20" s="115" t="str">
        <f t="shared" si="2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197</v>
      </c>
      <c r="E21" s="145" t="s">
        <v>195</v>
      </c>
      <c r="F21" s="111" t="s">
        <v>198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v>0</v>
      </c>
      <c r="O21" s="54" t="s">
        <v>224</v>
      </c>
      <c r="P21" s="7">
        <v>1886</v>
      </c>
      <c r="Q21" s="144">
        <f t="shared" si="1"/>
        <v>160</v>
      </c>
      <c r="R21" s="115" t="str">
        <f t="shared" si="2"/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201</v>
      </c>
      <c r="E22" s="145" t="s">
        <v>120</v>
      </c>
      <c r="F22" s="111" t="s">
        <v>202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v>0</v>
      </c>
      <c r="O22" s="54" t="s">
        <v>223</v>
      </c>
      <c r="P22" s="7"/>
      <c r="Q22" s="144" t="str">
        <f t="shared" si="1"/>
        <v/>
      </c>
      <c r="R22" s="115">
        <f t="shared" si="2"/>
        <v>110</v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208</v>
      </c>
      <c r="E23" s="145" t="s">
        <v>120</v>
      </c>
      <c r="F23" s="111" t="s">
        <v>209</v>
      </c>
      <c r="G23" s="94">
        <v>1</v>
      </c>
      <c r="H23" s="105"/>
      <c r="I23" s="105"/>
      <c r="J23" s="105"/>
      <c r="K23" s="105"/>
      <c r="L23" s="143">
        <v>1</v>
      </c>
      <c r="M23" s="67"/>
      <c r="N23" s="108">
        <v>0</v>
      </c>
      <c r="O23" s="54" t="s">
        <v>224</v>
      </c>
      <c r="P23" s="7">
        <v>1149</v>
      </c>
      <c r="Q23" s="144">
        <f t="shared" si="1"/>
        <v>80</v>
      </c>
      <c r="R23" s="115" t="str">
        <f t="shared" si="2"/>
        <v/>
      </c>
      <c r="S23" s="54" cm="1">
        <f t="array" ref="S23">B23*MainEntryFee()+G23*MPool1Fee()+H23*MPool2Fee()+I23*MPool3Fee()+J23*MPool4Fee()</f>
        <v>80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213</v>
      </c>
      <c r="E24" s="145" t="s">
        <v>214</v>
      </c>
      <c r="F24" s="114" t="s">
        <v>215</v>
      </c>
      <c r="G24" s="94"/>
      <c r="H24" s="105"/>
      <c r="I24" s="105"/>
      <c r="J24" s="105"/>
      <c r="K24" s="105"/>
      <c r="L24" s="143"/>
      <c r="M24" s="67"/>
      <c r="N24" s="108">
        <v>0</v>
      </c>
      <c r="O24" s="54" t="s">
        <v>224</v>
      </c>
      <c r="P24" s="7">
        <v>8803</v>
      </c>
      <c r="Q24" s="144">
        <f t="shared" si="1"/>
        <v>70</v>
      </c>
      <c r="R24" s="115" t="str">
        <f t="shared" si="2"/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216</v>
      </c>
      <c r="E25" s="145" t="s">
        <v>217</v>
      </c>
      <c r="F25" s="114" t="s">
        <v>218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v>0</v>
      </c>
      <c r="O25" s="54" t="s">
        <v>224</v>
      </c>
      <c r="P25" s="7">
        <v>7357</v>
      </c>
      <c r="Q25" s="144">
        <f t="shared" si="1"/>
        <v>160</v>
      </c>
      <c r="R25" s="115" t="str">
        <f t="shared" si="2"/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v>70</v>
      </c>
      <c r="O26" s="54" t="s">
        <v>223</v>
      </c>
      <c r="P26" s="7"/>
      <c r="Q26" s="144" t="str">
        <f t="shared" si="1"/>
        <v/>
      </c>
      <c r="R26" s="115">
        <f t="shared" si="2"/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v>0</v>
      </c>
      <c r="O27" s="54" t="s">
        <v>224</v>
      </c>
      <c r="P27" s="7">
        <v>930</v>
      </c>
      <c r="Q27" s="144">
        <f t="shared" si="1"/>
        <v>90</v>
      </c>
      <c r="R27" s="115" t="str">
        <f t="shared" si="2"/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96</v>
      </c>
      <c r="E28" s="145" t="s">
        <v>97</v>
      </c>
      <c r="F28" s="114" t="s">
        <v>98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224</v>
      </c>
      <c r="P28" s="7">
        <v>398</v>
      </c>
      <c r="Q28" s="144">
        <f t="shared" si="1"/>
        <v>80</v>
      </c>
      <c r="R28" s="115" t="str">
        <f t="shared" si="2"/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99</v>
      </c>
      <c r="E29" s="145" t="s">
        <v>100</v>
      </c>
      <c r="F29" s="114" t="s">
        <v>101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v>0</v>
      </c>
      <c r="O29" s="54" t="s">
        <v>224</v>
      </c>
      <c r="P29" s="7">
        <v>1723</v>
      </c>
      <c r="Q29" s="144">
        <f t="shared" si="1"/>
        <v>160</v>
      </c>
      <c r="R29" s="115" t="str">
        <f t="shared" si="2"/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102</v>
      </c>
      <c r="E30" s="145" t="s">
        <v>103</v>
      </c>
      <c r="F30" s="114" t="s">
        <v>104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v>0</v>
      </c>
      <c r="O30" s="54" t="s">
        <v>224</v>
      </c>
      <c r="P30" s="7">
        <v>1587</v>
      </c>
      <c r="Q30" s="144">
        <f t="shared" si="1"/>
        <v>160</v>
      </c>
      <c r="R30" s="115" t="str">
        <f t="shared" si="2"/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105</v>
      </c>
      <c r="E31" s="145" t="s">
        <v>106</v>
      </c>
      <c r="F31" s="114" t="s">
        <v>107</v>
      </c>
      <c r="G31" s="106"/>
      <c r="H31" s="106"/>
      <c r="I31" s="106"/>
      <c r="J31" s="106"/>
      <c r="K31" s="106"/>
      <c r="L31" s="166"/>
      <c r="M31" s="108"/>
      <c r="N31" s="108">
        <v>0</v>
      </c>
      <c r="O31" s="54" t="s">
        <v>223</v>
      </c>
      <c r="P31" s="7" t="s">
        <v>225</v>
      </c>
      <c r="Q31" s="144" t="str">
        <f t="shared" si="1"/>
        <v/>
      </c>
      <c r="R31" s="115">
        <f t="shared" si="2"/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108</v>
      </c>
      <c r="E32" s="145" t="s">
        <v>109</v>
      </c>
      <c r="F32" s="111" t="s">
        <v>110</v>
      </c>
      <c r="G32" s="94">
        <v>1</v>
      </c>
      <c r="H32" s="105"/>
      <c r="I32" s="105"/>
      <c r="J32" s="105"/>
      <c r="K32" s="105"/>
      <c r="L32" s="143"/>
      <c r="M32" s="67"/>
      <c r="N32" s="108">
        <v>0</v>
      </c>
      <c r="O32" s="54" t="s">
        <v>223</v>
      </c>
      <c r="P32" s="7" t="s">
        <v>226</v>
      </c>
      <c r="Q32" s="144" t="str">
        <f t="shared" si="1"/>
        <v/>
      </c>
      <c r="R32" s="115">
        <f t="shared" si="2"/>
        <v>80</v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111</v>
      </c>
      <c r="E33" s="145" t="s">
        <v>112</v>
      </c>
      <c r="F33" s="114" t="s">
        <v>113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223</v>
      </c>
      <c r="P33" s="7" t="s">
        <v>225</v>
      </c>
      <c r="Q33" s="144" t="str">
        <f t="shared" si="1"/>
        <v/>
      </c>
      <c r="R33" s="115">
        <f t="shared" si="2"/>
        <v>80</v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117</v>
      </c>
      <c r="E34" s="145" t="s">
        <v>112</v>
      </c>
      <c r="F34" s="114" t="s">
        <v>118</v>
      </c>
      <c r="G34" s="106">
        <v>1</v>
      </c>
      <c r="H34" s="106"/>
      <c r="I34" s="106"/>
      <c r="J34" s="106"/>
      <c r="K34" s="106"/>
      <c r="L34" s="143"/>
      <c r="M34" s="108"/>
      <c r="N34" s="108">
        <v>0</v>
      </c>
      <c r="O34" s="54" t="s">
        <v>224</v>
      </c>
      <c r="P34" s="7">
        <v>206</v>
      </c>
      <c r="Q34" s="144">
        <f t="shared" si="1"/>
        <v>80</v>
      </c>
      <c r="R34" s="115" t="str">
        <f t="shared" si="2"/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119</v>
      </c>
      <c r="E35" s="145" t="s">
        <v>120</v>
      </c>
      <c r="F35" s="111" t="s">
        <v>121</v>
      </c>
      <c r="G35" s="106"/>
      <c r="H35" s="106"/>
      <c r="I35" s="106"/>
      <c r="J35" s="106"/>
      <c r="K35" s="106"/>
      <c r="L35" s="143"/>
      <c r="M35" s="108"/>
      <c r="N35" s="108">
        <v>0</v>
      </c>
      <c r="O35" s="54" t="s">
        <v>224</v>
      </c>
      <c r="P35" s="7">
        <v>1094</v>
      </c>
      <c r="Q35" s="144">
        <f t="shared" si="1"/>
        <v>70</v>
      </c>
      <c r="R35" s="115" t="str">
        <f t="shared" si="2"/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122</v>
      </c>
      <c r="E36" s="145" t="s">
        <v>123</v>
      </c>
      <c r="F36" s="114" t="s">
        <v>124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v>0</v>
      </c>
      <c r="O36" s="54" t="s">
        <v>223</v>
      </c>
      <c r="P36" s="7" t="s">
        <v>227</v>
      </c>
      <c r="Q36" s="144" t="str">
        <f t="shared" si="1"/>
        <v/>
      </c>
      <c r="R36" s="115">
        <f t="shared" si="2"/>
        <v>90</v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125</v>
      </c>
      <c r="E37" s="145" t="s">
        <v>94</v>
      </c>
      <c r="F37" s="114" t="s">
        <v>126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v>0</v>
      </c>
      <c r="O37" s="54" t="s">
        <v>224</v>
      </c>
      <c r="P37" s="7">
        <v>1360</v>
      </c>
      <c r="Q37" s="144">
        <f t="shared" si="1"/>
        <v>110</v>
      </c>
      <c r="R37" s="115" t="str">
        <f t="shared" si="2"/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127</v>
      </c>
      <c r="E38" s="145" t="s">
        <v>112</v>
      </c>
      <c r="F38" s="111" t="s">
        <v>128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v>100</v>
      </c>
      <c r="O38" s="54" t="s">
        <v>223</v>
      </c>
      <c r="P38" s="7"/>
      <c r="Q38" s="144" t="str">
        <f t="shared" si="1"/>
        <v/>
      </c>
      <c r="R38" s="115">
        <f t="shared" si="2"/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134</v>
      </c>
      <c r="E39" s="145" t="s">
        <v>135</v>
      </c>
      <c r="F39" s="114" t="s">
        <v>136</v>
      </c>
      <c r="G39" s="94">
        <v>1</v>
      </c>
      <c r="H39" s="105"/>
      <c r="I39" s="105"/>
      <c r="J39" s="105"/>
      <c r="K39" s="105"/>
      <c r="L39" s="143"/>
      <c r="M39" s="67"/>
      <c r="N39" s="108">
        <v>0</v>
      </c>
      <c r="O39" s="54" t="s">
        <v>223</v>
      </c>
      <c r="P39" s="7" t="s">
        <v>225</v>
      </c>
      <c r="Q39" s="144" t="str">
        <f t="shared" si="1"/>
        <v/>
      </c>
      <c r="R39" s="115">
        <f t="shared" si="2"/>
        <v>80</v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137</v>
      </c>
      <c r="E40" s="145" t="s">
        <v>138</v>
      </c>
      <c r="F40" s="111" t="s">
        <v>139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v>160</v>
      </c>
      <c r="O40" s="54" t="s">
        <v>223</v>
      </c>
      <c r="P40" s="7"/>
      <c r="Q40" s="144" t="str">
        <f t="shared" si="1"/>
        <v/>
      </c>
      <c r="R40" s="115">
        <f t="shared" si="2"/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143</v>
      </c>
      <c r="E41" s="145" t="s">
        <v>144</v>
      </c>
      <c r="F41" s="104" t="s">
        <v>145</v>
      </c>
      <c r="G41" s="106">
        <v>1</v>
      </c>
      <c r="H41" s="106"/>
      <c r="I41" s="106"/>
      <c r="J41" s="106"/>
      <c r="K41" s="106"/>
      <c r="L41" s="166"/>
      <c r="M41" s="108"/>
      <c r="N41" s="108">
        <v>0</v>
      </c>
      <c r="O41" s="54" t="s">
        <v>224</v>
      </c>
      <c r="P41" s="7">
        <v>2575</v>
      </c>
      <c r="Q41" s="144">
        <f t="shared" si="1"/>
        <v>80</v>
      </c>
      <c r="R41" s="115" t="str">
        <f t="shared" si="2"/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146</v>
      </c>
      <c r="E42" s="145" t="s">
        <v>147</v>
      </c>
      <c r="F42" s="114" t="s">
        <v>148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v>0</v>
      </c>
      <c r="O42" s="54" t="s">
        <v>224</v>
      </c>
      <c r="P42" s="7">
        <v>7333</v>
      </c>
      <c r="Q42" s="144">
        <f t="shared" si="1"/>
        <v>110</v>
      </c>
      <c r="R42" s="115" t="str">
        <f t="shared" si="2"/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149</v>
      </c>
      <c r="E43" s="145" t="s">
        <v>144</v>
      </c>
      <c r="F43" s="114" t="s">
        <v>150</v>
      </c>
      <c r="G43" s="106">
        <v>1</v>
      </c>
      <c r="H43" s="106"/>
      <c r="I43" s="106"/>
      <c r="J43" s="106"/>
      <c r="K43" s="106"/>
      <c r="L43" s="143"/>
      <c r="M43" s="108"/>
      <c r="N43" s="108">
        <v>0</v>
      </c>
      <c r="O43" s="54" t="s">
        <v>224</v>
      </c>
      <c r="P43" s="7">
        <v>648</v>
      </c>
      <c r="Q43" s="144">
        <f t="shared" si="1"/>
        <v>80</v>
      </c>
      <c r="R43" s="115" t="str">
        <f t="shared" si="2"/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229</v>
      </c>
      <c r="E44" s="145" t="s">
        <v>230</v>
      </c>
      <c r="F44" s="111" t="s">
        <v>231</v>
      </c>
      <c r="G44" s="105"/>
      <c r="H44" s="105"/>
      <c r="I44" s="105"/>
      <c r="J44" s="105"/>
      <c r="K44" s="105">
        <v>1</v>
      </c>
      <c r="L44" s="143"/>
      <c r="M44" s="67"/>
      <c r="N44" s="108">
        <v>0</v>
      </c>
      <c r="O44" s="54" t="s">
        <v>223</v>
      </c>
      <c r="P44" s="7"/>
      <c r="Q44" s="144" t="str">
        <f t="shared" ref="Q44:Q75" si="3">IF(OR(O44="c",O44="C"),+S44,"")</f>
        <v/>
      </c>
      <c r="R44" s="115">
        <f t="shared" ref="R44:R71" si="4">IF(OR(O44="$",M44=1),+S44,"")</f>
        <v>70</v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154</v>
      </c>
      <c r="E45" s="145" t="s">
        <v>155</v>
      </c>
      <c r="F45" s="114" t="s">
        <v>156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v>80</v>
      </c>
      <c r="O45" s="54" t="s">
        <v>223</v>
      </c>
      <c r="P45" s="7"/>
      <c r="Q45" s="144" t="str">
        <f t="shared" si="3"/>
        <v/>
      </c>
      <c r="R45" s="115">
        <f t="shared" si="4"/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157</v>
      </c>
      <c r="E46" s="145" t="s">
        <v>158</v>
      </c>
      <c r="F46" s="111" t="s">
        <v>159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v>100</v>
      </c>
      <c r="O46" s="54" t="s">
        <v>223</v>
      </c>
      <c r="P46" s="7"/>
      <c r="Q46" s="144" t="str">
        <f t="shared" si="3"/>
        <v/>
      </c>
      <c r="R46" s="115">
        <f t="shared" si="4"/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160</v>
      </c>
      <c r="E47" s="145" t="s">
        <v>161</v>
      </c>
      <c r="F47" s="114" t="s">
        <v>162</v>
      </c>
      <c r="G47" s="94"/>
      <c r="H47" s="105"/>
      <c r="I47" s="105"/>
      <c r="J47" s="105"/>
      <c r="K47" s="105"/>
      <c r="L47" s="143"/>
      <c r="M47" s="67"/>
      <c r="N47" s="108">
        <v>0</v>
      </c>
      <c r="O47" s="54" t="s">
        <v>224</v>
      </c>
      <c r="P47" s="7">
        <v>1800</v>
      </c>
      <c r="Q47" s="144">
        <f t="shared" si="3"/>
        <v>70</v>
      </c>
      <c r="R47" s="115" t="str">
        <f t="shared" si="4"/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163</v>
      </c>
      <c r="E48" s="145" t="s">
        <v>120</v>
      </c>
      <c r="F48" s="111" t="s">
        <v>164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v>0</v>
      </c>
      <c r="O48" s="54" t="s">
        <v>223</v>
      </c>
      <c r="P48" s="7" t="s">
        <v>228</v>
      </c>
      <c r="Q48" s="144" t="str">
        <f t="shared" si="3"/>
        <v/>
      </c>
      <c r="R48" s="115">
        <f t="shared" si="4"/>
        <v>160</v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165</v>
      </c>
      <c r="E49" s="145" t="s">
        <v>166</v>
      </c>
      <c r="F49" s="114" t="s">
        <v>167</v>
      </c>
      <c r="G49" s="106">
        <v>1</v>
      </c>
      <c r="H49" s="106"/>
      <c r="I49" s="106"/>
      <c r="J49" s="106"/>
      <c r="K49" s="106"/>
      <c r="L49" s="143"/>
      <c r="M49" s="108"/>
      <c r="N49" s="108">
        <v>0</v>
      </c>
      <c r="O49" s="54" t="s">
        <v>223</v>
      </c>
      <c r="P49" s="7" t="s">
        <v>225</v>
      </c>
      <c r="Q49" s="144" t="str">
        <f t="shared" si="3"/>
        <v/>
      </c>
      <c r="R49" s="115">
        <f t="shared" si="4"/>
        <v>80</v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232</v>
      </c>
      <c r="E50" s="145" t="s">
        <v>172</v>
      </c>
      <c r="F50" s="114" t="s">
        <v>233</v>
      </c>
      <c r="G50" s="106">
        <v>1</v>
      </c>
      <c r="H50" s="106">
        <v>1</v>
      </c>
      <c r="I50" s="106">
        <v>1</v>
      </c>
      <c r="J50" s="106"/>
      <c r="K50" s="106">
        <v>1</v>
      </c>
      <c r="L50" s="143"/>
      <c r="M50" s="108">
        <v>1</v>
      </c>
      <c r="N50" s="108">
        <v>110</v>
      </c>
      <c r="O50" s="54" t="s">
        <v>223</v>
      </c>
      <c r="P50" s="7"/>
      <c r="Q50" s="144" t="str">
        <f t="shared" si="3"/>
        <v/>
      </c>
      <c r="R50" s="115">
        <f t="shared" si="4"/>
        <v>110</v>
      </c>
      <c r="S50" s="54" cm="1">
        <f t="array" ref="S50">B50*MainEntryFee()+G50*MPool1Fee()+H50*MPool2Fee()+I50*MPool3Fee()+J50*MPool4Fee()</f>
        <v>110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176</v>
      </c>
      <c r="E51" s="145" t="s">
        <v>177</v>
      </c>
      <c r="F51" s="111" t="s">
        <v>178</v>
      </c>
      <c r="G51" s="94">
        <v>1</v>
      </c>
      <c r="H51" s="105">
        <v>1</v>
      </c>
      <c r="I51" s="105">
        <v>1</v>
      </c>
      <c r="J51" s="105"/>
      <c r="K51" s="105"/>
      <c r="L51" s="143"/>
      <c r="M51" s="67"/>
      <c r="N51" s="108">
        <v>0</v>
      </c>
      <c r="O51" s="54" t="s">
        <v>224</v>
      </c>
      <c r="P51" s="7">
        <v>5361</v>
      </c>
      <c r="Q51" s="144">
        <f t="shared" si="3"/>
        <v>110</v>
      </c>
      <c r="R51" s="115" t="str">
        <f t="shared" si="4"/>
        <v/>
      </c>
      <c r="S51" s="54" cm="1">
        <f t="array" ref="S51">B51*MainEntryFee()+G51*MPool1Fee()+H51*MPool2Fee()+I51*MPool3Fee()+J51*MPool4Fee()</f>
        <v>110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179</v>
      </c>
      <c r="E52" s="145" t="s">
        <v>180</v>
      </c>
      <c r="F52" s="114" t="s">
        <v>181</v>
      </c>
      <c r="G52" s="94"/>
      <c r="H52" s="105"/>
      <c r="I52" s="105"/>
      <c r="J52" s="105"/>
      <c r="K52" s="105"/>
      <c r="L52" s="166">
        <v>1</v>
      </c>
      <c r="M52" s="67"/>
      <c r="N52" s="108">
        <v>0</v>
      </c>
      <c r="O52" s="54" t="s">
        <v>224</v>
      </c>
      <c r="P52" s="7">
        <v>5007</v>
      </c>
      <c r="Q52" s="144">
        <f t="shared" si="3"/>
        <v>70</v>
      </c>
      <c r="R52" s="115" t="str">
        <f t="shared" si="4"/>
        <v/>
      </c>
      <c r="S52" s="54" cm="1">
        <f t="array" ref="S52">B52*MainEntryFee()+G52*MPool1Fee()+H52*MPool2Fee()+I52*MPool3Fee()+J52*MPool4Fee()</f>
        <v>70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182</v>
      </c>
      <c r="E53" s="145" t="s">
        <v>120</v>
      </c>
      <c r="F53" s="114" t="s">
        <v>183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5008</v>
      </c>
      <c r="Q53" s="144">
        <f t="shared" si="3"/>
        <v>160</v>
      </c>
      <c r="R53" s="115" t="str">
        <f t="shared" si="4"/>
        <v/>
      </c>
      <c r="S53" s="54" cm="1">
        <f t="array" ref="S53">B53*MainEntryFee()+G53*MPool1Fee()+H53*MPool2Fee()+I53*MPool3Fee()+J53*MPool4Fee()</f>
        <v>160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184</v>
      </c>
      <c r="E54" s="146" t="s">
        <v>172</v>
      </c>
      <c r="F54" s="114" t="s">
        <v>185</v>
      </c>
      <c r="G54" s="106">
        <v>1</v>
      </c>
      <c r="H54" s="106"/>
      <c r="I54" s="106"/>
      <c r="J54" s="106"/>
      <c r="K54" s="106"/>
      <c r="L54" s="166"/>
      <c r="M54" s="108"/>
      <c r="N54" s="108">
        <v>0</v>
      </c>
      <c r="O54" s="54" t="s">
        <v>224</v>
      </c>
      <c r="P54" s="7">
        <v>375</v>
      </c>
      <c r="Q54" s="144">
        <f t="shared" si="3"/>
        <v>80</v>
      </c>
      <c r="R54" s="115" t="str">
        <f t="shared" si="4"/>
        <v/>
      </c>
      <c r="S54" s="54" cm="1">
        <f t="array" ref="S54">B54*MainEntryFee()+G54*MPool1Fee()+H54*MPool2Fee()+I54*MPool3Fee()+J54*MPool4Fee()</f>
        <v>80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186</v>
      </c>
      <c r="E55" s="145" t="s">
        <v>120</v>
      </c>
      <c r="F55" s="114" t="s">
        <v>187</v>
      </c>
      <c r="G55" s="106">
        <v>1</v>
      </c>
      <c r="H55" s="106"/>
      <c r="I55" s="106">
        <v>1</v>
      </c>
      <c r="J55" s="106"/>
      <c r="K55" s="106"/>
      <c r="L55" s="166"/>
      <c r="M55" s="108"/>
      <c r="N55" s="108">
        <v>0</v>
      </c>
      <c r="O55" s="54" t="s">
        <v>224</v>
      </c>
      <c r="P55" s="7">
        <v>1399</v>
      </c>
      <c r="Q55" s="144">
        <f t="shared" si="3"/>
        <v>100</v>
      </c>
      <c r="R55" s="115" t="str">
        <f t="shared" si="4"/>
        <v/>
      </c>
      <c r="S55" s="54" cm="1">
        <f t="array" ref="S55">B55*MainEntryFee()+G55*MPool1Fee()+H55*MPool2Fee()+I55*MPool3Fee()+J55*MPool4Fee()</f>
        <v>100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188</v>
      </c>
      <c r="E56" s="145" t="s">
        <v>189</v>
      </c>
      <c r="F56" s="111" t="s">
        <v>190</v>
      </c>
      <c r="G56" s="105">
        <v>1</v>
      </c>
      <c r="H56" s="105">
        <v>1</v>
      </c>
      <c r="I56" s="105">
        <v>1</v>
      </c>
      <c r="J56" s="105">
        <v>1</v>
      </c>
      <c r="K56" s="105"/>
      <c r="L56" s="143"/>
      <c r="M56" s="67"/>
      <c r="N56" s="108">
        <v>0</v>
      </c>
      <c r="O56" s="54" t="s">
        <v>224</v>
      </c>
      <c r="P56" s="7">
        <v>1399</v>
      </c>
      <c r="Q56" s="144">
        <f t="shared" si="3"/>
        <v>160</v>
      </c>
      <c r="R56" s="115" t="str">
        <f t="shared" si="4"/>
        <v/>
      </c>
      <c r="S56" s="54" cm="1">
        <f t="array" ref="S56">B56*MainEntryFee()+G56*MPool1Fee()+H56*MPool2Fee()+I56*MPool3Fee()+J56*MPool4Fee()</f>
        <v>160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194</v>
      </c>
      <c r="E57" s="145" t="s">
        <v>195</v>
      </c>
      <c r="F57" s="114" t="s">
        <v>196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v>0</v>
      </c>
      <c r="O57" s="54" t="s">
        <v>224</v>
      </c>
      <c r="P57" s="7">
        <v>1886</v>
      </c>
      <c r="Q57" s="144">
        <f t="shared" si="3"/>
        <v>160</v>
      </c>
      <c r="R57" s="115" t="str">
        <f t="shared" si="4"/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199</v>
      </c>
      <c r="E58" s="145" t="s">
        <v>166</v>
      </c>
      <c r="F58" s="114" t="s">
        <v>200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v>110</v>
      </c>
      <c r="O58" s="54" t="s">
        <v>223</v>
      </c>
      <c r="P58" s="7"/>
      <c r="Q58" s="144" t="str">
        <f t="shared" si="3"/>
        <v/>
      </c>
      <c r="R58" s="115">
        <f t="shared" si="4"/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203</v>
      </c>
      <c r="E59" s="145" t="s">
        <v>120</v>
      </c>
      <c r="F59" s="114"/>
      <c r="G59" s="106"/>
      <c r="H59" s="106"/>
      <c r="I59" s="106"/>
      <c r="J59" s="106"/>
      <c r="K59" s="106"/>
      <c r="L59" s="143"/>
      <c r="M59" s="108"/>
      <c r="N59" s="108">
        <v>0</v>
      </c>
      <c r="O59" s="54" t="s">
        <v>223</v>
      </c>
      <c r="P59" s="7"/>
      <c r="Q59" s="144" t="str">
        <f t="shared" si="3"/>
        <v/>
      </c>
      <c r="R59" s="115">
        <f t="shared" si="4"/>
        <v>70</v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204</v>
      </c>
      <c r="E60" s="145" t="s">
        <v>120</v>
      </c>
      <c r="F60" s="114" t="s">
        <v>205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v>0</v>
      </c>
      <c r="O60" s="54" t="s">
        <v>223</v>
      </c>
      <c r="P60" s="7"/>
      <c r="Q60" s="144" t="str">
        <f t="shared" si="3"/>
        <v/>
      </c>
      <c r="R60" s="115">
        <f t="shared" si="4"/>
        <v>90</v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206</v>
      </c>
      <c r="E61" s="145" t="s">
        <v>120</v>
      </c>
      <c r="F61" s="114" t="s">
        <v>207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v>0</v>
      </c>
      <c r="O61" s="54" t="s">
        <v>224</v>
      </c>
      <c r="P61" s="7">
        <v>1149</v>
      </c>
      <c r="Q61" s="144">
        <f t="shared" si="3"/>
        <v>110</v>
      </c>
      <c r="R61" s="115" t="str">
        <f t="shared" si="4"/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210</v>
      </c>
      <c r="E62" s="145" t="s">
        <v>211</v>
      </c>
      <c r="F62" s="114" t="s">
        <v>212</v>
      </c>
      <c r="G62" s="106">
        <v>1</v>
      </c>
      <c r="H62" s="106"/>
      <c r="I62" s="106"/>
      <c r="J62" s="106"/>
      <c r="K62" s="106"/>
      <c r="L62" s="143"/>
      <c r="M62" s="108"/>
      <c r="N62" s="108">
        <v>0</v>
      </c>
      <c r="O62" s="54" t="s">
        <v>224</v>
      </c>
      <c r="P62" s="7">
        <v>2487</v>
      </c>
      <c r="Q62" s="144">
        <f t="shared" si="3"/>
        <v>80</v>
      </c>
      <c r="R62" s="115" t="str">
        <f t="shared" si="4"/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 t="shared" si="3"/>
        <v>100</v>
      </c>
      <c r="R63" s="115" t="str">
        <f t="shared" si="4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 t="shared" si="3"/>
        <v>110</v>
      </c>
      <c r="R64" s="115" t="str">
        <f t="shared" si="4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2026-04-16T14:37:14Z</dcterms:modified>
</cp:coreProperties>
</file>