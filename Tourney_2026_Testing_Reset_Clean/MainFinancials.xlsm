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Tourney_2026_Testing_Reset_Clean\"/>
    </mc:Choice>
  </mc:AlternateContent>
  <xr:revisionPtr revIDLastSave="0" documentId="13_ncr:1_{5ACF2244-4B7A-44E6-AEE3-95E53E9F0E08}" xr6:coauthVersionLast="47" xr6:coauthVersionMax="47" xr10:uidLastSave="{00000000-0000-0000-0000-000000000000}"/>
  <bookViews>
    <workbookView xWindow="-28920" yWindow="-135" windowWidth="29040" windowHeight="15720" tabRatio="720" xr2:uid="{00000000-000D-0000-FFFF-FFFF00000000}"/>
  </bookViews>
  <sheets>
    <sheet name="MainSummary" sheetId="1" r:id="rId1"/>
    <sheet name="Expenses" sheetId="3" r:id="rId2"/>
    <sheet name="PlayerBenefits" sheetId="2" r:id="rId3"/>
    <sheet name="BracketPayOffs" sheetId="6" r:id="rId4"/>
    <sheet name="PayOffSignOff" sheetId="8" r:id="rId5"/>
    <sheet name="PayOffTable" sheetId="4" r:id="rId6"/>
    <sheet name="PayOffTable4Places" sheetId="5" r:id="rId7"/>
    <sheet name="CashInOut" sheetId="9" r:id="rId8"/>
    <sheet name="Notes" sheetId="10" r:id="rId9"/>
  </sheets>
  <functionGroups builtInGroupCount="19"/>
  <definedNames>
    <definedName name="FMFBenefitsAllEntryFields">PlayerBenefits!$A$11:$E$56</definedName>
    <definedName name="FMFBenefitsEntries">PlayerBenefits!$A$11:$E$31</definedName>
    <definedName name="FMFBracketPayOffsAllEntry">BracketPayOffs!$C$6:$C$12</definedName>
    <definedName name="FMFBracketPayOffsBracketHdr">BracketPayOffs!$A$5</definedName>
    <definedName name="FMFBracketPayOffsFirstPlace">BracketPayOffs!$A$6</definedName>
    <definedName name="FMFBracketPayOffsFirstPlacePayOff">BracketPayOffs!$C$6</definedName>
    <definedName name="FMFBracketPayOffsPayOffsHdr">BracketPayOffs!$C$5</definedName>
    <definedName name="FMFExpensesAllentryFields">Expenses!$A$11:$G$60</definedName>
    <definedName name="FMFMainPayoutsQualifiersHdr">BracketPayOffs!$A$3:$C$3</definedName>
    <definedName name="FMFMiscExpensesEntries">Expenses!$A$11:$G$31</definedName>
    <definedName name="FMFMiscExpensesTotal">Expenses!$A$1</definedName>
    <definedName name="FMFPayOffSignOffAllEntry">PayOffSignOff!$C$4:$C$33</definedName>
    <definedName name="FMFPayOffSignOffAmountHdr">PayOffSignOff!$C$3</definedName>
    <definedName name="FMFPayOffSignOffBracketHdr">PayOffSignOff!$A$3</definedName>
    <definedName name="FMFPayoffTablePercentOrigin">PayOffTable!$B$9</definedName>
    <definedName name="FMFPayoffTableQualifiersHdr">PayOffTable!$A$4</definedName>
    <definedName name="FMFPayoutsFirstPlacePayout">BracketPayOffs!$C$6</definedName>
    <definedName name="FMFPayoutsHdr">BracketPayOffs!$A$1</definedName>
    <definedName name="FMFPlayerBenefitsAllEntryFields">PlayerBenefits!$A$11:$E$56</definedName>
    <definedName name="FMFPlayerBenefitsTotal">PlayerBenefits!$A$1</definedName>
    <definedName name="FMFSummaryAccFee">MainSummary!$C$8</definedName>
    <definedName name="FMFSummaryAdjEntries">MainSummary!$E$30:$E$44</definedName>
    <definedName name="FMFsummaryAdjustments">MainSummary!$E$27</definedName>
    <definedName name="FMFSummaryAdjustmentsHdr">MainSummary!$E$28</definedName>
    <definedName name="FMFSummaryAllInput">MainSummary!$C$6,MainSummary!$C$7,MainSummary!$C$8,MainSummary!$D$10,MainSummary!$D$11</definedName>
    <definedName name="FMFSummaryAvailablePool">MainSummary!$A$21</definedName>
    <definedName name="FMFSummaryBracketsHdr">MainSummary!$G$28</definedName>
    <definedName name="FMFSummaryCalcTable">MainSummary!$A$30:$G$58</definedName>
    <definedName name="FMFSummaryDonation">MainSummary!$C$9</definedName>
    <definedName name="FMFSummaryEntryFee">MainSummary!$C$7</definedName>
    <definedName name="FMFSummaryFinalHdr">MainSummary!$F$28</definedName>
    <definedName name="FMFSummaryFixedDonation">MainSummary!$D$10</definedName>
    <definedName name="FMFSummaryLocationXP">MainSummary!$A$20</definedName>
    <definedName name="FMFSummaryNonBenefitExpenses">MainSummary!$G$22</definedName>
    <definedName name="FMFSummaryPercentsHdr">MainSummary!$B$28</definedName>
    <definedName name="FMFSummaryPerPlayer">MainSummary!$D$11</definedName>
    <definedName name="FMFSummaryPerPlayerExpenseAllowed">MainSummary!$F$21</definedName>
    <definedName name="FMFSummaryPlayerBenefitXP">MainSummary!$A$19</definedName>
    <definedName name="FMFSummaryPlayerCount">MainSummary!$C$6</definedName>
    <definedName name="FMFSummaryPrintAreaOrigin">MainSummary!$A$15</definedName>
    <definedName name="FMFSummaryPrizePool">MainSummary!$B$26</definedName>
    <definedName name="FMFSummaryQualifierCount">MainSummary!$A$24</definedName>
    <definedName name="FMFSummaryRankHdr">MainSummary!$A$28</definedName>
    <definedName name="FMFSummaryRawHdr">MainSummary!$C$28</definedName>
    <definedName name="FMFSummaryRoundedHdr">MainSummary!$D$28</definedName>
    <definedName name="FMFSummaryRoundedPrizePool">MainSummary!$D$26</definedName>
    <definedName name="FMFSummarySanctioningFee">MainSummary!$A$18</definedName>
    <definedName name="FMFSummaryTourneyDate">MainSummary!$C$5</definedName>
    <definedName name="FMFSummaryTourneyInfo">MainSummary!$C$4,MainSummary!$C$5</definedName>
    <definedName name="FMFSummaryTourneyName">MainSummary!$C$4</definedName>
    <definedName name="FMFsummaryTourneyPayoffArea">MainSummary!$A$30:$G$70</definedName>
    <definedName name="_xlnm.Print_Area" localSheetId="3">BracketPayOffs!$A$1:$C$11</definedName>
    <definedName name="_xlnm.Print_Area" localSheetId="1">Expenses!$A$6:$F$11</definedName>
    <definedName name="_xlnm.Print_Area" localSheetId="0">MainSummary!$A$15:$H$43</definedName>
    <definedName name="_xlnm.Print_Area" localSheetId="2">PlayerBenefits!$A$6:$F$11</definedName>
    <definedName name="_xlnm.Print_Titles" localSheetId="0">MainSummary!#REF!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8" i="8" l="1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4" i="8"/>
  <c r="C9" i="1"/>
  <c r="A51" i="8" l="1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E27" i="1" l="1"/>
  <c r="E15" i="1"/>
  <c r="B15" i="1"/>
  <c r="F206" i="1" l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D26" i="1" l="1"/>
  <c r="A4" i="2" l="1"/>
  <c r="A1" i="2"/>
  <c r="A1" i="3"/>
  <c r="A20" i="1" s="1"/>
  <c r="F21" i="1"/>
  <c r="F22" i="1" s="1"/>
  <c r="A18" i="1"/>
  <c r="A17" i="1"/>
  <c r="A16" i="1"/>
  <c r="B8" i="3" l="1"/>
  <c r="G22" i="1"/>
  <c r="A8" i="2"/>
  <c r="A19" i="1"/>
  <c r="P3" i="9"/>
  <c r="P2" i="9"/>
  <c r="L6" i="9"/>
  <c r="L5" i="9"/>
  <c r="L4" i="9"/>
  <c r="L3" i="9"/>
  <c r="H6" i="9"/>
  <c r="H5" i="9"/>
  <c r="H4" i="9"/>
  <c r="H3" i="9"/>
  <c r="H2" i="9"/>
  <c r="H7" i="9" l="1"/>
  <c r="P5" i="9"/>
  <c r="L7" i="9"/>
  <c r="C10" i="9" l="1"/>
  <c r="F24" i="1" l="1"/>
  <c r="D22" i="1" l="1"/>
  <c r="AK47" i="5"/>
  <c r="AJ47" i="5"/>
  <c r="AI47" i="5"/>
  <c r="AH47" i="5"/>
  <c r="AG47" i="5"/>
  <c r="AF47" i="5"/>
  <c r="AE47" i="5"/>
  <c r="AD47" i="5"/>
  <c r="AC47" i="5"/>
  <c r="AB47" i="5"/>
  <c r="AA47" i="5"/>
  <c r="Z47" i="5"/>
  <c r="Y47" i="5"/>
  <c r="X47" i="5"/>
  <c r="W47" i="5"/>
  <c r="V47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D47" i="5"/>
  <c r="C47" i="5"/>
  <c r="B47" i="5"/>
  <c r="E48" i="4"/>
  <c r="D48" i="4"/>
  <c r="C48" i="4"/>
  <c r="B48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F51" i="4" s="1"/>
  <c r="D47" i="4"/>
  <c r="D51" i="4" s="1"/>
  <c r="C47" i="4"/>
  <c r="C51" i="4" s="1"/>
  <c r="B47" i="4"/>
  <c r="B51" i="4" s="1"/>
  <c r="AK47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A21" i="1" l="1"/>
  <c r="B26" i="1" s="1"/>
  <c r="E26" i="1" s="1"/>
  <c r="H22" i="1"/>
  <c r="D23" i="1"/>
  <c r="E47" i="4"/>
  <c r="E51" i="4" s="1"/>
  <c r="C20" i="9" l="1"/>
  <c r="C29" i="9" l="1"/>
  <c r="C31" i="9" s="1"/>
</calcChain>
</file>

<file path=xl/sharedStrings.xml><?xml version="1.0" encoding="utf-8"?>
<sst xmlns="http://schemas.openxmlformats.org/spreadsheetml/2006/main" count="263" uniqueCount="170">
  <si>
    <t>Players</t>
  </si>
  <si>
    <t>Registrations</t>
  </si>
  <si>
    <t>Expenses</t>
  </si>
  <si>
    <t>Player Benefit</t>
  </si>
  <si>
    <t>25-28</t>
  </si>
  <si>
    <t>29-32</t>
  </si>
  <si>
    <t>33-36</t>
  </si>
  <si>
    <t>37-40</t>
  </si>
  <si>
    <t>41-44</t>
  </si>
  <si>
    <t>45-48</t>
  </si>
  <si>
    <t>49-52</t>
  </si>
  <si>
    <t>53-56</t>
  </si>
  <si>
    <t>57-60</t>
  </si>
  <si>
    <t>61-64</t>
  </si>
  <si>
    <t>65-68</t>
  </si>
  <si>
    <t>69-72</t>
  </si>
  <si>
    <t>73-76</t>
  </si>
  <si>
    <t>77-80</t>
  </si>
  <si>
    <t>81-84</t>
  </si>
  <si>
    <t>85-88</t>
  </si>
  <si>
    <t>89-92</t>
  </si>
  <si>
    <t>93-96</t>
  </si>
  <si>
    <t>97-100</t>
  </si>
  <si>
    <t>101-104</t>
  </si>
  <si>
    <t>105-108</t>
  </si>
  <si>
    <t>109-112</t>
  </si>
  <si>
    <t>113-116</t>
  </si>
  <si>
    <t>117-120</t>
  </si>
  <si>
    <t>121-124</t>
  </si>
  <si>
    <t>126-128</t>
  </si>
  <si>
    <t>129-132</t>
  </si>
  <si>
    <t>133-136</t>
  </si>
  <si>
    <t>137-140</t>
  </si>
  <si>
    <t>141-144</t>
  </si>
  <si>
    <t>145-148</t>
  </si>
  <si>
    <t>149-152</t>
  </si>
  <si>
    <t>Next Column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</si>
  <si>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</si>
  <si>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</si>
  <si>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</si>
  <si>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</si>
  <si>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</si>
  <si>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</si>
  <si>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</si>
  <si>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</si>
  <si>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</si>
  <si>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</si>
  <si>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</si>
  <si>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</si>
  <si>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</si>
  <si>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</si>
  <si>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</si>
  <si>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</si>
  <si>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</si>
  <si>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</si>
  <si>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</si>
  <si>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</si>
  <si>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</si>
  <si>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</si>
  <si>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</si>
  <si>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</si>
  <si>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</si>
  <si>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</si>
  <si>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</si>
  <si>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</si>
  <si>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</si>
  <si>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</si>
  <si>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</si>
  <si>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Qualifiers</t>
  </si>
  <si>
    <t>1st Rnd. Byes</t>
  </si>
  <si>
    <t>1st Rnd. Losers</t>
  </si>
  <si>
    <t>Place      1</t>
  </si>
  <si>
    <t>Total:</t>
  </si>
  <si>
    <t>Units</t>
  </si>
  <si>
    <t>Per Unit</t>
  </si>
  <si>
    <t>Total Misc. Expenses</t>
  </si>
  <si>
    <t>Date</t>
  </si>
  <si>
    <t>Amt</t>
  </si>
  <si>
    <t>Description</t>
  </si>
  <si>
    <t>Total Actual Expenses</t>
  </si>
  <si>
    <t>Diff</t>
  </si>
  <si>
    <t>Per Player:</t>
  </si>
  <si>
    <t>No. Qualifiers</t>
  </si>
  <si>
    <t>Difference</t>
  </si>
  <si>
    <t>&lt;= Total Adjs</t>
  </si>
  <si>
    <t>Percents</t>
  </si>
  <si>
    <t>Raw Payouts</t>
  </si>
  <si>
    <t>Rounded to Nearest $5</t>
  </si>
  <si>
    <t>Manual Adjustments</t>
  </si>
  <si>
    <t>Final Payouts</t>
  </si>
  <si>
    <t>Brackets</t>
  </si>
  <si>
    <t>Rank</t>
  </si>
  <si>
    <t xml:space="preserve">Start Print Area </t>
  </si>
  <si>
    <t>Source</t>
  </si>
  <si>
    <t>Sanctioning Fees</t>
  </si>
  <si>
    <t>AH</t>
  </si>
  <si>
    <t>AI</t>
  </si>
  <si>
    <t>AJ</t>
  </si>
  <si>
    <t>AK</t>
  </si>
  <si>
    <t>9 - 12</t>
  </si>
  <si>
    <t>13 - 16</t>
  </si>
  <si>
    <t>17 - 20</t>
  </si>
  <si>
    <t>21 - 24</t>
  </si>
  <si>
    <t>Total Expenses</t>
  </si>
  <si>
    <t>Tourney Name:</t>
  </si>
  <si>
    <t>No. Players:</t>
  </si>
  <si>
    <t>Entry Fee:</t>
  </si>
  <si>
    <t>Sanctioning Fee/Player:</t>
  </si>
  <si>
    <t>Comments</t>
  </si>
  <si>
    <t>Max Expense @15% per player</t>
  </si>
  <si>
    <t>Max Allowed:</t>
  </si>
  <si>
    <t>Todd Malmgren's Sheets</t>
  </si>
  <si>
    <t>Copy of:</t>
  </si>
  <si>
    <t>Tourney Date:</t>
  </si>
  <si>
    <t>Player Benefits</t>
  </si>
  <si>
    <t>Bracket</t>
  </si>
  <si>
    <t>-</t>
  </si>
  <si>
    <t>Number Players</t>
  </si>
  <si>
    <t>Donation Calculated Per Player:</t>
  </si>
  <si>
    <t>Donation (Player Bene):</t>
  </si>
  <si>
    <t>Total Cost</t>
  </si>
  <si>
    <t>Type</t>
  </si>
  <si>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>: 1 = Meals, 2=Trophies</t>
    </r>
  </si>
  <si>
    <t>No. Plyrs from MainSheet</t>
  </si>
  <si>
    <t>Main:</t>
  </si>
  <si>
    <t>Main Tourney Finances</t>
  </si>
  <si>
    <t>Total Player Benefits (excluding donation)</t>
  </si>
  <si>
    <t>Cash Received</t>
  </si>
  <si>
    <t>Amount</t>
  </si>
  <si>
    <t>Signature</t>
  </si>
  <si>
    <t>MAIN</t>
  </si>
  <si>
    <t>Moose</t>
  </si>
  <si>
    <t>Beginning Cash</t>
  </si>
  <si>
    <t>Expenses Paid Out</t>
  </si>
  <si>
    <t>Main Tourney Paid</t>
  </si>
  <si>
    <t>mRosterResults</t>
  </si>
  <si>
    <t>Equal G10 x $10</t>
  </si>
  <si>
    <t>Grad Pool H10 x $20</t>
  </si>
  <si>
    <t>from bank</t>
  </si>
  <si>
    <t>extra 20's</t>
  </si>
  <si>
    <t>1's</t>
  </si>
  <si>
    <t>"MainSheet" Tab</t>
  </si>
  <si>
    <t>&lt;--formula</t>
  </si>
  <si>
    <t>Paid out</t>
  </si>
  <si>
    <t>Paid at Door</t>
  </si>
  <si>
    <t>Total In:</t>
  </si>
  <si>
    <t>To Home:</t>
  </si>
  <si>
    <t>cheryl</t>
  </si>
  <si>
    <t>Yvonne</t>
  </si>
  <si>
    <t>fudge factor</t>
  </si>
  <si>
    <t>Deposit</t>
  </si>
  <si>
    <t>Money to home</t>
  </si>
  <si>
    <t>Raffle</t>
  </si>
  <si>
    <t>Blue Boxes - User Entry</t>
  </si>
  <si>
    <t>All expenses must be in before the payoff can be calculated</t>
  </si>
  <si>
    <t>Summary sheet will be populated from the mainfinancials class that accumulates all financial numbers</t>
  </si>
  <si>
    <t>Total Player Benefits</t>
  </si>
  <si>
    <t>Expenses incurrred for hosting the tournament</t>
  </si>
  <si>
    <t>Trophies and other player benefits (like food and drink) are on PlayerBenefits tab</t>
  </si>
  <si>
    <r>
      <rPr>
        <b/>
        <sz val="12"/>
        <color theme="1"/>
        <rFont val="Calibri"/>
        <family val="2"/>
        <scheme val="minor"/>
      </rPr>
      <t>Donation: Fixed Amt</t>
    </r>
    <r>
      <rPr>
        <sz val="12"/>
        <color theme="1"/>
        <rFont val="Calibri"/>
        <family val="2"/>
        <scheme val="minor"/>
      </rPr>
      <t xml:space="preserve">, </t>
    </r>
    <r>
      <rPr>
        <b/>
        <sz val="12"/>
        <color theme="1"/>
        <rFont val="Calibri"/>
        <family val="2"/>
        <scheme val="minor"/>
      </rPr>
      <t>OR</t>
    </r>
    <r>
      <rPr>
        <sz val="12"/>
        <color theme="1"/>
        <rFont val="Calibri"/>
        <family val="2"/>
        <scheme val="minor"/>
      </rPr>
      <t>:</t>
    </r>
  </si>
  <si>
    <t>Payoffs are calculated here once the financial are complete; payoff table it populated in MainRoster once the number competitors and hence number of qualifiers is known.</t>
  </si>
  <si>
    <t>Selection.paste 9r pastespecial fails ifyou make any calls outside the current sheet; cannot use a global for syncOn/Off nor call toggleProtection between Selection.copy and Selection.paste.</t>
  </si>
  <si>
    <t>Between a selection.copy and a selection.paste you cannot really call any other funcionality as it seems to clear the clipboard loaded by the copy.</t>
  </si>
  <si>
    <t>Expense categories: Player Benefits: sanctioning fees, meals, coffee, Donuts, pastries, snacks, charity, prizes, and trophies.</t>
  </si>
  <si>
    <t>Tourney expenses:  playing cards, printing, advertising, postage, telephone, supplies, and hall rentals</t>
  </si>
  <si>
    <t>Other Expenses</t>
  </si>
  <si>
    <t xml:space="preserve">Rounded  </t>
  </si>
  <si>
    <t>Raw Pool</t>
  </si>
  <si>
    <t>Payoffs</t>
  </si>
  <si>
    <t>Available Payout Pool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</si>
</sst>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5" formatCode="&quot;$&quot;#,##0_);\(&quot;$&quot;#,##0\)"/>
    <numFmt numFmtId="164" formatCode="&quot;$&quot;#,##0"/>
    <numFmt numFmtId="165" formatCode="&quot;$&quot;#,##0.00"/>
    <numFmt numFmtId="166" formatCode="mm/dd/yy;@"/>
    <numFmt numFmtId="167" formatCode="0.0%"/>
    <numFmt numFmtId="168" formatCode="m/d/yy;@"/>
    <numFmt numFmtId="169" formatCode="&quot;$&quot;#,##0;[Red]&quot;$&quot;#,##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22"/>
      <color theme="1"/>
      <name val="Calibri"/>
      <family val="2"/>
      <scheme val="minor"/>
    </font>
    <font>
      <b/>
      <sz val="14"/>
      <color rgb="FF00B0F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  <font>
      <b/>
      <i/>
      <sz val="12"/>
      <color rgb="FF008000"/>
      <name val="Calibri"/>
      <family val="2"/>
    </font>
    <font>
      <b/>
      <sz val="1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</borders>
  <cellStyleXfs count="1">
    <xf numFmtId="0" fontId="0" fillId="0" borderId="0"/>
  </cellStyleXfs>
  <cellXfs count="19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1" xfId="0" applyBorder="1" applyAlignment="1">
      <alignment horizontal="right"/>
    </xf>
    <xf numFmtId="167" fontId="0" fillId="0" borderId="1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165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left"/>
    </xf>
    <xf numFmtId="167" fontId="0" fillId="0" borderId="0" xfId="0" applyNumberFormat="1"/>
    <xf numFmtId="10" fontId="0" fillId="0" borderId="0" xfId="0" applyNumberFormat="1"/>
    <xf numFmtId="49" fontId="0" fillId="0" borderId="2" xfId="0" applyNumberFormat="1" applyBorder="1" applyAlignment="1">
      <alignment horizontal="center"/>
    </xf>
    <xf numFmtId="167" fontId="3" fillId="0" borderId="0" xfId="0" applyNumberFormat="1" applyFont="1" applyProtection="1">
      <protection locked="0"/>
    </xf>
    <xf numFmtId="49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2" fillId="0" borderId="0" xfId="0" applyFont="1" applyAlignment="1">
      <alignment horizontal="right"/>
    </xf>
    <xf numFmtId="0" fontId="1" fillId="0" borderId="0" xfId="0" applyFont="1"/>
    <xf numFmtId="0" fontId="3" fillId="0" borderId="0" xfId="0" applyFont="1"/>
    <xf numFmtId="49" fontId="2" fillId="0" borderId="0" xfId="0" applyNumberFormat="1" applyFont="1" applyAlignment="1">
      <alignment horizontal="left"/>
    </xf>
    <xf numFmtId="0" fontId="1" fillId="0" borderId="0" xfId="0" applyFont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1" fillId="0" borderId="0" xfId="0" applyFont="1" applyAlignment="1">
      <alignment horizontal="left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quotePrefix="1"/>
    <xf numFmtId="167" fontId="0" fillId="0" borderId="0" xfId="0" applyNumberFormat="1" applyAlignment="1">
      <alignment horizontal="left"/>
    </xf>
    <xf numFmtId="167" fontId="1" fillId="0" borderId="0" xfId="0" applyNumberFormat="1" applyFont="1"/>
    <xf numFmtId="165" fontId="0" fillId="0" borderId="0" xfId="0" applyNumberFormat="1"/>
    <xf numFmtId="0" fontId="0" fillId="0" borderId="0" xfId="0" applyAlignment="1">
      <alignment horizontal="left"/>
    </xf>
    <xf numFmtId="165" fontId="1" fillId="0" borderId="0" xfId="0" applyNumberFormat="1" applyFont="1" applyAlignment="1">
      <alignment horizontal="left"/>
    </xf>
    <xf numFmtId="0" fontId="7" fillId="0" borderId="0" xfId="0" applyFont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4" fontId="1" fillId="0" borderId="2" xfId="0" applyNumberFormat="1" applyFont="1" applyBorder="1" applyAlignment="1">
      <alignment horizontal="center"/>
    </xf>
    <xf numFmtId="0" fontId="1" fillId="0" borderId="2" xfId="0" applyFont="1" applyBorder="1"/>
    <xf numFmtId="0" fontId="1" fillId="0" borderId="2" xfId="0" applyFont="1" applyBorder="1" applyAlignment="1">
      <alignment horizontal="left"/>
    </xf>
    <xf numFmtId="1" fontId="0" fillId="0" borderId="0" xfId="0" applyNumberFormat="1" applyAlignment="1">
      <alignment horizontal="center"/>
    </xf>
    <xf numFmtId="0" fontId="1" fillId="0" borderId="0" xfId="0" quotePrefix="1" applyFont="1"/>
    <xf numFmtId="164" fontId="0" fillId="0" borderId="0" xfId="0" applyNumberFormat="1"/>
    <xf numFmtId="164" fontId="1" fillId="0" borderId="1" xfId="0" applyNumberFormat="1" applyFont="1" applyBorder="1" applyAlignment="1">
      <alignment horizontal="center"/>
    </xf>
    <xf numFmtId="165" fontId="1" fillId="0" borderId="1" xfId="0" quotePrefix="1" applyNumberFormat="1" applyFont="1" applyBorder="1" applyAlignment="1">
      <alignment horizontal="center"/>
    </xf>
    <xf numFmtId="0" fontId="2" fillId="0" borderId="0" xfId="0" applyFont="1"/>
    <xf numFmtId="0" fontId="5" fillId="0" borderId="0" xfId="0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64" fontId="0" fillId="0" borderId="0" xfId="0" quotePrefix="1" applyNumberFormat="1" applyAlignment="1">
      <alignment horizontal="center"/>
    </xf>
    <xf numFmtId="164" fontId="2" fillId="0" borderId="0" xfId="0" applyNumberFormat="1" applyFont="1" applyAlignment="1">
      <alignment horizontal="center"/>
    </xf>
    <xf numFmtId="5" fontId="0" fillId="0" borderId="0" xfId="0" applyNumberFormat="1" applyAlignment="1">
      <alignment horizontal="center"/>
    </xf>
    <xf numFmtId="164" fontId="5" fillId="0" borderId="0" xfId="0" quotePrefix="1" applyNumberFormat="1" applyFont="1" applyAlignment="1">
      <alignment horizontal="center"/>
    </xf>
    <xf numFmtId="0" fontId="9" fillId="0" borderId="0" xfId="0" applyFont="1"/>
    <xf numFmtId="0" fontId="9" fillId="0" borderId="0" xfId="0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164" fontId="10" fillId="0" borderId="0" xfId="0" applyNumberFormat="1" applyFont="1" applyAlignment="1">
      <alignment horizontal="center"/>
    </xf>
    <xf numFmtId="49" fontId="10" fillId="0" borderId="0" xfId="0" quotePrefix="1" applyNumberFormat="1" applyFont="1" applyAlignment="1">
      <alignment horizontal="center"/>
    </xf>
    <xf numFmtId="0" fontId="8" fillId="0" borderId="0" xfId="0" quotePrefix="1" applyFont="1"/>
    <xf numFmtId="0" fontId="1" fillId="0" borderId="0" xfId="0" quotePrefix="1" applyFont="1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164" fontId="2" fillId="0" borderId="0" xfId="0" applyNumberFormat="1" applyFont="1" applyAlignment="1">
      <alignment horizontal="center" vertical="center"/>
    </xf>
    <xf numFmtId="0" fontId="0" fillId="0" borderId="3" xfId="0" applyBorder="1"/>
    <xf numFmtId="164" fontId="0" fillId="0" borderId="0" xfId="0" applyNumberFormat="1" applyAlignment="1">
      <alignment horizontal="left"/>
    </xf>
    <xf numFmtId="165" fontId="1" fillId="0" borderId="0" xfId="0" quotePrefix="1" applyNumberFormat="1" applyFont="1" applyAlignment="1">
      <alignment horizontal="center"/>
    </xf>
    <xf numFmtId="0" fontId="1" fillId="0" borderId="0" xfId="0" applyFont="1" applyAlignment="1">
      <alignment vertical="top"/>
    </xf>
    <xf numFmtId="1" fontId="0" fillId="0" borderId="0" xfId="0" applyNumberFormat="1"/>
    <xf numFmtId="0" fontId="0" fillId="0" borderId="0" xfId="0" applyProtection="1">
      <protection locked="0"/>
    </xf>
    <xf numFmtId="166" fontId="11" fillId="0" borderId="1" xfId="0" applyNumberFormat="1" applyFont="1" applyBorder="1" applyAlignment="1" applyProtection="1">
      <alignment horizontal="center"/>
      <protection locked="0"/>
    </xf>
    <xf numFmtId="165" fontId="11" fillId="0" borderId="1" xfId="0" applyNumberFormat="1" applyFont="1" applyBorder="1" applyAlignment="1" applyProtection="1">
      <alignment horizontal="center"/>
      <protection locked="0"/>
    </xf>
    <xf numFmtId="0" fontId="11" fillId="0" borderId="1" xfId="0" applyFont="1" applyBorder="1" applyProtection="1">
      <protection locked="0"/>
    </xf>
    <xf numFmtId="166" fontId="11" fillId="0" borderId="4" xfId="0" applyNumberFormat="1" applyFont="1" applyBorder="1" applyAlignment="1" applyProtection="1">
      <alignment horizontal="center"/>
      <protection locked="0"/>
    </xf>
    <xf numFmtId="165" fontId="11" fillId="0" borderId="4" xfId="0" applyNumberFormat="1" applyFont="1" applyBorder="1" applyAlignment="1" applyProtection="1">
      <alignment horizontal="center"/>
      <protection locked="0"/>
    </xf>
    <xf numFmtId="0" fontId="11" fillId="0" borderId="4" xfId="0" applyFont="1" applyBorder="1" applyProtection="1">
      <protection locked="0"/>
    </xf>
    <xf numFmtId="165" fontId="11" fillId="0" borderId="1" xfId="0" applyNumberFormat="1" applyFont="1" applyBorder="1" applyProtection="1">
      <protection locked="0"/>
    </xf>
    <xf numFmtId="0" fontId="11" fillId="0" borderId="1" xfId="0" applyFont="1" applyBorder="1" applyAlignment="1" applyProtection="1">
      <alignment horizontal="center"/>
      <protection locked="0"/>
    </xf>
    <xf numFmtId="1" fontId="11" fillId="0" borderId="1" xfId="0" applyNumberFormat="1" applyFont="1" applyBorder="1" applyAlignment="1" applyProtection="1">
      <alignment horizontal="center"/>
      <protection locked="0"/>
    </xf>
    <xf numFmtId="0" fontId="11" fillId="0" borderId="4" xfId="0" applyFont="1" applyBorder="1" applyAlignment="1" applyProtection="1">
      <alignment horizontal="center"/>
      <protection locked="0"/>
    </xf>
    <xf numFmtId="0" fontId="11" fillId="0" borderId="2" xfId="0" applyFont="1" applyBorder="1" applyAlignment="1" applyProtection="1">
      <alignment horizontal="center"/>
      <protection locked="0"/>
    </xf>
    <xf numFmtId="165" fontId="11" fillId="0" borderId="2" xfId="0" applyNumberFormat="1" applyFont="1" applyBorder="1" applyAlignment="1" applyProtection="1">
      <alignment horizontal="center"/>
      <protection locked="0"/>
    </xf>
    <xf numFmtId="0" fontId="11" fillId="0" borderId="2" xfId="0" applyFont="1" applyBorder="1" applyProtection="1">
      <protection locked="0"/>
    </xf>
    <xf numFmtId="0" fontId="1" fillId="0" borderId="0" xfId="0" applyFont="1" applyAlignment="1">
      <alignment horizontal="left" vertical="top"/>
    </xf>
    <xf numFmtId="0" fontId="13" fillId="0" borderId="0" xfId="0" applyFont="1"/>
    <xf numFmtId="49" fontId="13" fillId="0" borderId="9" xfId="0" applyNumberFormat="1" applyFont="1" applyBorder="1" applyAlignment="1">
      <alignment horizontal="center"/>
    </xf>
    <xf numFmtId="0" fontId="13" fillId="0" borderId="0" xfId="0" applyFont="1" applyAlignment="1">
      <alignment horizontal="center"/>
    </xf>
    <xf numFmtId="0" fontId="13" fillId="0" borderId="9" xfId="0" applyFont="1" applyBorder="1" applyAlignment="1">
      <alignment horizontal="center"/>
    </xf>
    <xf numFmtId="49" fontId="13" fillId="0" borderId="0" xfId="0" applyNumberFormat="1" applyFont="1" applyAlignment="1">
      <alignment horizontal="center"/>
    </xf>
    <xf numFmtId="0" fontId="13" fillId="0" borderId="7" xfId="0" applyFont="1" applyBorder="1"/>
    <xf numFmtId="164" fontId="13" fillId="0" borderId="0" xfId="0" applyNumberFormat="1" applyFont="1" applyAlignment="1">
      <alignment horizontal="center"/>
    </xf>
    <xf numFmtId="0" fontId="13" fillId="0" borderId="0" xfId="0" applyFont="1" applyAlignment="1">
      <alignment horizontal="left"/>
    </xf>
    <xf numFmtId="1" fontId="1" fillId="0" borderId="0" xfId="0" applyNumberFormat="1" applyFont="1" applyAlignment="1">
      <alignment vertical="center"/>
    </xf>
    <xf numFmtId="1" fontId="5" fillId="0" borderId="0" xfId="0" applyNumberFormat="1" applyFont="1"/>
    <xf numFmtId="164" fontId="0" fillId="0" borderId="0" xfId="0" quotePrefix="1" applyNumberFormat="1"/>
    <xf numFmtId="164" fontId="0" fillId="2" borderId="0" xfId="0" applyNumberFormat="1" applyFill="1"/>
    <xf numFmtId="164" fontId="0" fillId="0" borderId="0" xfId="0" applyNumberFormat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0" fillId="0" borderId="0" xfId="0" quotePrefix="1" applyAlignment="1">
      <alignment horizontal="left" vertical="center" wrapText="1"/>
    </xf>
    <xf numFmtId="0" fontId="1" fillId="0" borderId="0" xfId="0" applyFont="1" applyAlignment="1">
      <alignment horizontal="right" vertical="center" wrapText="1"/>
    </xf>
    <xf numFmtId="1" fontId="2" fillId="0" borderId="0" xfId="0" applyNumberFormat="1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/>
      <protection locked="0"/>
    </xf>
    <xf numFmtId="164" fontId="2" fillId="0" borderId="0" xfId="0" applyNumberFormat="1" applyFont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0" fillId="0" borderId="1" xfId="0" applyBorder="1"/>
    <xf numFmtId="0" fontId="1" fillId="0" borderId="0" xfId="0" applyFont="1" applyAlignment="1">
      <alignment wrapText="1"/>
    </xf>
    <xf numFmtId="168" fontId="5" fillId="0" borderId="0" xfId="0" applyNumberFormat="1" applyFont="1" applyAlignment="1">
      <alignment horizontal="center"/>
    </xf>
    <xf numFmtId="1" fontId="1" fillId="0" borderId="5" xfId="0" applyNumberFormat="1" applyFont="1" applyBorder="1" applyAlignment="1">
      <alignment horizontal="center"/>
    </xf>
    <xf numFmtId="1" fontId="11" fillId="0" borderId="5" xfId="0" applyNumberFormat="1" applyFont="1" applyBorder="1" applyAlignment="1" applyProtection="1">
      <alignment horizontal="center"/>
      <protection locked="0"/>
    </xf>
    <xf numFmtId="1" fontId="11" fillId="0" borderId="13" xfId="0" applyNumberFormat="1" applyFont="1" applyBorder="1" applyAlignment="1" applyProtection="1">
      <alignment horizontal="center"/>
      <protection locked="0"/>
    </xf>
    <xf numFmtId="49" fontId="11" fillId="0" borderId="0" xfId="0" applyNumberFormat="1" applyFont="1" applyAlignment="1" applyProtection="1">
      <alignment horizontal="center"/>
      <protection locked="0"/>
    </xf>
    <xf numFmtId="49" fontId="1" fillId="0" borderId="14" xfId="0" applyNumberFormat="1" applyFont="1" applyBorder="1" applyAlignment="1">
      <alignment horizontal="center"/>
    </xf>
    <xf numFmtId="49" fontId="11" fillId="0" borderId="14" xfId="0" applyNumberFormat="1" applyFont="1" applyBorder="1" applyAlignment="1" applyProtection="1">
      <alignment horizontal="center"/>
      <protection locked="0"/>
    </xf>
    <xf numFmtId="49" fontId="1" fillId="0" borderId="0" xfId="0" applyNumberFormat="1" applyFont="1" applyAlignment="1">
      <alignment wrapText="1"/>
    </xf>
    <xf numFmtId="166" fontId="11" fillId="0" borderId="0" xfId="0" applyNumberFormat="1" applyFont="1" applyAlignment="1" applyProtection="1">
      <alignment horizontal="center"/>
      <protection locked="0"/>
    </xf>
    <xf numFmtId="165" fontId="11" fillId="0" borderId="0" xfId="0" applyNumberFormat="1" applyFont="1" applyAlignment="1" applyProtection="1">
      <alignment horizontal="center"/>
      <protection locked="0"/>
    </xf>
    <xf numFmtId="0" fontId="11" fillId="0" borderId="0" xfId="0" applyFont="1" applyProtection="1">
      <protection locked="0"/>
    </xf>
    <xf numFmtId="0" fontId="12" fillId="0" borderId="0" xfId="0" applyFont="1" applyAlignment="1" applyProtection="1">
      <alignment horizontal="center"/>
      <protection locked="0"/>
    </xf>
    <xf numFmtId="165" fontId="11" fillId="0" borderId="0" xfId="0" applyNumberFormat="1" applyFont="1" applyProtection="1">
      <protection locked="0"/>
    </xf>
    <xf numFmtId="0" fontId="11" fillId="0" borderId="0" xfId="0" applyFont="1" applyAlignment="1" applyProtection="1">
      <alignment horizontal="center"/>
      <protection locked="0"/>
    </xf>
    <xf numFmtId="1" fontId="11" fillId="0" borderId="0" xfId="0" applyNumberFormat="1" applyFont="1" applyAlignment="1" applyProtection="1">
      <alignment horizontal="center"/>
      <protection locked="0"/>
    </xf>
    <xf numFmtId="0" fontId="0" fillId="0" borderId="0" xfId="0" applyAlignment="1">
      <alignment vertical="center"/>
    </xf>
    <xf numFmtId="167" fontId="0" fillId="0" borderId="0" xfId="0" quotePrefix="1" applyNumberFormat="1"/>
    <xf numFmtId="164" fontId="5" fillId="0" borderId="1" xfId="0" quotePrefix="1" applyNumberFormat="1" applyFont="1" applyBorder="1" applyAlignment="1">
      <alignment horizontal="center"/>
    </xf>
    <xf numFmtId="164" fontId="2" fillId="0" borderId="1" xfId="0" applyNumberFormat="1" applyFont="1" applyBorder="1" applyAlignment="1">
      <alignment horizontal="center"/>
    </xf>
    <xf numFmtId="1" fontId="2" fillId="0" borderId="1" xfId="0" applyNumberFormat="1" applyFont="1" applyBorder="1" applyAlignment="1">
      <alignment horizontal="center"/>
    </xf>
    <xf numFmtId="0" fontId="5" fillId="0" borderId="0" xfId="0" applyFont="1" applyAlignment="1">
      <alignment horizontal="center"/>
    </xf>
    <xf numFmtId="0" fontId="1" fillId="0" borderId="0" xfId="0" quotePrefix="1" applyFont="1" applyAlignment="1">
      <alignment horizontal="center"/>
    </xf>
    <xf numFmtId="0" fontId="15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left"/>
      <protection locked="0"/>
    </xf>
    <xf numFmtId="14" fontId="5" fillId="0" borderId="0" xfId="0" applyNumberFormat="1" applyFont="1" applyAlignment="1" applyProtection="1">
      <alignment horizontal="left"/>
      <protection locked="0"/>
    </xf>
    <xf numFmtId="0" fontId="9" fillId="0" borderId="15" xfId="0" applyFont="1" applyBorder="1"/>
    <xf numFmtId="0" fontId="9" fillId="0" borderId="15" xfId="0" applyFont="1" applyBorder="1" applyAlignment="1">
      <alignment horizontal="center"/>
    </xf>
    <xf numFmtId="0" fontId="0" fillId="0" borderId="15" xfId="0" applyBorder="1"/>
    <xf numFmtId="0" fontId="0" fillId="0" borderId="14" xfId="0" applyBorder="1"/>
    <xf numFmtId="49" fontId="1" fillId="0" borderId="15" xfId="0" applyNumberFormat="1" applyFont="1" applyBorder="1" applyAlignment="1">
      <alignment horizontal="center"/>
    </xf>
    <xf numFmtId="167" fontId="0" fillId="0" borderId="15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64" fontId="0" fillId="0" borderId="15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10" fontId="0" fillId="0" borderId="15" xfId="0" applyNumberFormat="1" applyBorder="1" applyAlignment="1">
      <alignment horizontal="center"/>
    </xf>
    <xf numFmtId="0" fontId="10" fillId="0" borderId="15" xfId="0" applyFont="1" applyBorder="1" applyAlignment="1">
      <alignment horizontal="center"/>
    </xf>
    <xf numFmtId="49" fontId="10" fillId="0" borderId="15" xfId="0" applyNumberFormat="1" applyFont="1" applyBorder="1" applyAlignment="1">
      <alignment horizontal="center"/>
    </xf>
    <xf numFmtId="49" fontId="10" fillId="0" borderId="15" xfId="0" quotePrefix="1" applyNumberFormat="1" applyFont="1" applyBorder="1" applyAlignment="1">
      <alignment horizontal="center"/>
    </xf>
    <xf numFmtId="164" fontId="10" fillId="0" borderId="15" xfId="0" applyNumberFormat="1" applyFont="1" applyBorder="1" applyAlignment="1">
      <alignment horizontal="center"/>
    </xf>
    <xf numFmtId="164" fontId="5" fillId="0" borderId="15" xfId="0" applyNumberFormat="1" applyFont="1" applyBorder="1" applyAlignment="1">
      <alignment horizontal="center"/>
    </xf>
    <xf numFmtId="169" fontId="19" fillId="0" borderId="0" xfId="0" applyNumberFormat="1" applyFont="1" applyAlignment="1">
      <alignment horizontal="center"/>
    </xf>
    <xf numFmtId="164" fontId="4" fillId="0" borderId="0" xfId="0" applyNumberFormat="1" applyFont="1" applyAlignment="1" applyProtection="1">
      <alignment horizontal="center"/>
      <protection locked="0"/>
    </xf>
    <xf numFmtId="164" fontId="4" fillId="0" borderId="0" xfId="0" applyNumberFormat="1" applyFont="1" applyAlignment="1">
      <alignment horizontal="center"/>
    </xf>
    <xf numFmtId="164" fontId="4" fillId="0" borderId="16" xfId="0" applyNumberFormat="1" applyFont="1" applyBorder="1" applyAlignment="1" applyProtection="1">
      <alignment horizontal="center"/>
      <protection locked="0"/>
    </xf>
    <xf numFmtId="0" fontId="10" fillId="0" borderId="15" xfId="0" applyFont="1" applyBorder="1" applyAlignment="1">
      <alignment horizontal="center"/>
    </xf>
    <xf numFmtId="0" fontId="10" fillId="0" borderId="5" xfId="0" applyFont="1" applyBorder="1" applyAlignment="1">
      <alignment horizontal="left"/>
    </xf>
    <xf numFmtId="0" fontId="10" fillId="0" borderId="7" xfId="0" applyFont="1" applyBorder="1" applyAlignment="1">
      <alignment horizontal="left"/>
    </xf>
    <xf numFmtId="0" fontId="10" fillId="0" borderId="6" xfId="0" applyFont="1" applyBorder="1" applyAlignment="1">
      <alignment horizontal="left"/>
    </xf>
    <xf numFmtId="164" fontId="3" fillId="0" borderId="0" xfId="0" applyNumberFormat="1" applyFont="1" applyAlignment="1">
      <alignment horizontal="center"/>
    </xf>
    <xf numFmtId="0" fontId="0" fillId="0" borderId="2" xfId="0" applyBorder="1"/>
    <xf numFmtId="0" fontId="14" fillId="0" borderId="10" xfId="0" applyFont="1" applyBorder="1" applyAlignment="1">
      <alignment horizontal="center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5" fillId="0" borderId="0" xfId="0" applyFont="1" applyAlignment="1">
      <alignment horizontal="right" vertical="center"/>
    </xf>
    <xf numFmtId="0" fontId="5" fillId="0" borderId="0" xfId="0" applyFont="1"/>
    <xf numFmtId="0" fontId="15" fillId="0" borderId="0" xfId="0" applyFont="1" applyAlignment="1">
      <alignment horizontal="right"/>
    </xf>
    <xf numFmtId="0" fontId="5" fillId="0" borderId="0" xfId="0" applyFont="1" applyAlignment="1">
      <alignment horizontal="right"/>
    </xf>
    <xf numFmtId="0" fontId="0" fillId="0" borderId="4" xfId="0" applyBorder="1" applyAlignment="1">
      <alignment horizontal="right"/>
    </xf>
    <xf numFmtId="49" fontId="6" fillId="0" borderId="0" xfId="0" applyNumberFormat="1" applyFont="1" applyAlignment="1">
      <alignment horizontal="left" vertical="center"/>
    </xf>
    <xf numFmtId="0" fontId="5" fillId="0" borderId="0" xfId="0" applyFont="1" applyProtection="1">
      <protection locked="0"/>
    </xf>
    <xf numFmtId="14" fontId="5" fillId="0" borderId="0" xfId="0" applyNumberFormat="1" applyFont="1" applyAlignment="1">
      <alignment horizontal="center"/>
    </xf>
    <xf numFmtId="49" fontId="5" fillId="0" borderId="0" xfId="0" applyNumberFormat="1" applyFont="1" applyAlignment="1">
      <alignment horizontal="right"/>
    </xf>
    <xf numFmtId="0" fontId="0" fillId="0" borderId="15" xfId="0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 wrapText="1"/>
    </xf>
    <xf numFmtId="164" fontId="0" fillId="0" borderId="1" xfId="0" applyNumberFormat="1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5" xfId="0" applyBorder="1"/>
    <xf numFmtId="0" fontId="0" fillId="0" borderId="6" xfId="0" applyBorder="1"/>
    <xf numFmtId="49" fontId="0" fillId="0" borderId="15" xfId="0" applyNumberFormat="1" applyBorder="1" applyAlignment="1">
      <alignment horizontal="left"/>
    </xf>
    <xf numFmtId="0" fontId="5" fillId="0" borderId="8" xfId="0" applyFont="1" applyBorder="1" applyAlignment="1">
      <alignment horizontal="center"/>
    </xf>
    <xf numFmtId="3" fontId="1" fillId="0" borderId="15" xfId="0" applyNumberFormat="1" applyFont="1" applyBorder="1" applyAlignment="1">
      <alignment horizontal="center" wrapText="1"/>
    </xf>
    <xf numFmtId="0" fontId="0" fillId="0" borderId="7" xfId="0" applyBorder="1" applyAlignment="1">
      <alignment horizontal="left"/>
    </xf>
    <xf numFmtId="0" fontId="1" fillId="0" borderId="15" xfId="0" applyFont="1" applyBorder="1" applyAlignment="1">
      <alignment horizontal="center"/>
    </xf>
    <xf numFmtId="1" fontId="1" fillId="0" borderId="15" xfId="0" applyNumberFormat="1" applyFont="1" applyBorder="1" applyAlignment="1">
      <alignment horizontal="center"/>
    </xf>
    <xf numFmtId="0" fontId="1" fillId="0" borderId="15" xfId="0" applyFont="1" applyBorder="1" applyAlignment="1">
      <alignment horizontal="center" wrapText="1"/>
    </xf>
    <xf numFmtId="0" fontId="0" fillId="0" borderId="0" xfId="0" applyAlignment="1">
      <alignment horizontal="left"/>
    </xf>
    <xf numFmtId="0" fontId="11" fillId="0" borderId="0" xfId="0" applyFont="1" applyAlignment="1" applyProtection="1">
      <alignment horizontal="left"/>
      <protection locked="0"/>
    </xf>
    <xf numFmtId="4" fontId="11" fillId="0" borderId="0" xfId="0" applyNumberFormat="1" applyFont="1" applyAlignment="1" applyProtection="1">
      <alignment horizontal="left"/>
      <protection locked="0"/>
    </xf>
    <xf numFmtId="4" fontId="11" fillId="0" borderId="1" xfId="0" applyNumberFormat="1" applyFont="1" applyBorder="1" applyAlignment="1" applyProtection="1">
      <alignment horizontal="left"/>
      <protection locked="0"/>
    </xf>
    <xf numFmtId="4" fontId="11" fillId="0" borderId="4" xfId="0" applyNumberFormat="1" applyFont="1" applyBorder="1" applyAlignment="1" applyProtection="1">
      <alignment horizontal="left"/>
      <protection locked="0"/>
    </xf>
    <xf numFmtId="0" fontId="1" fillId="0" borderId="2" xfId="0" applyFont="1" applyBorder="1"/>
    <xf numFmtId="0" fontId="1" fillId="0" borderId="0" xfId="0" applyFont="1" applyAlignment="1">
      <alignment horizontal="left"/>
    </xf>
    <xf numFmtId="0" fontId="1" fillId="0" borderId="1" xfId="0" applyFont="1" applyBorder="1"/>
    <xf numFmtId="0" fontId="11" fillId="0" borderId="4" xfId="0" applyFont="1" applyBorder="1" applyProtection="1">
      <protection locked="0"/>
    </xf>
    <xf numFmtId="0" fontId="11" fillId="0" borderId="4" xfId="0" quotePrefix="1" applyFont="1" applyBorder="1" applyProtection="1">
      <protection locked="0"/>
    </xf>
    <xf numFmtId="0" fontId="11" fillId="0" borderId="1" xfId="0" applyFont="1" applyBorder="1" applyProtection="1">
      <protection locked="0"/>
    </xf>
    <xf numFmtId="167" fontId="1" fillId="0" borderId="0" xfId="0" applyNumberFormat="1" applyFont="1"/>
    <xf numFmtId="0" fontId="13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19050</xdr:rowOff>
        </xdr:from>
        <xdr:to>
          <xdr:col>7</xdr:col>
          <xdr:colOff>619125</xdr:colOff>
          <xdr:row>5</xdr:row>
          <xdr:rowOff>247650</xdr:rowOff>
        </xdr:to>
        <xdr:sp macro="" textlink="">
          <xdr:nvSpPr>
            <xdr:cNvPr id="1025" name="MainSummaryFinancialsComple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Financials Complete?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781050</xdr:colOff>
          <xdr:row>3</xdr:row>
          <xdr:rowOff>228600</xdr:rowOff>
        </xdr:from>
        <xdr:to>
          <xdr:col>5</xdr:col>
          <xdr:colOff>209550</xdr:colOff>
          <xdr:row>5</xdr:row>
          <xdr:rowOff>200025</xdr:rowOff>
        </xdr:to>
        <xdr:sp macro="" textlink="">
          <xdr:nvSpPr>
            <xdr:cNvPr id="1026" name="MainSummaryFinancialsComplet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Main Financials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</xdr:row>
          <xdr:rowOff>28575</xdr:rowOff>
        </xdr:from>
        <xdr:to>
          <xdr:col>7</xdr:col>
          <xdr:colOff>628650</xdr:colOff>
          <xdr:row>9</xdr:row>
          <xdr:rowOff>19050</xdr:rowOff>
        </xdr:to>
        <xdr:sp macro="" textlink="">
          <xdr:nvSpPr>
            <xdr:cNvPr id="1027" name="MainSummaryFinancialsComplet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PayOffs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4</xdr:row>
          <xdr:rowOff>9525</xdr:rowOff>
        </xdr:from>
        <xdr:to>
          <xdr:col>10</xdr:col>
          <xdr:colOff>542925</xdr:colOff>
          <xdr:row>5</xdr:row>
          <xdr:rowOff>238125</xdr:rowOff>
        </xdr:to>
        <xdr:sp macro="" textlink="">
          <xdr:nvSpPr>
            <xdr:cNvPr id="1028" name="MainSummaryFinancialsComplet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19050</xdr:rowOff>
        </xdr:from>
        <xdr:to>
          <xdr:col>5</xdr:col>
          <xdr:colOff>1247775</xdr:colOff>
          <xdr:row>6</xdr:row>
          <xdr:rowOff>19050</xdr:rowOff>
        </xdr:to>
        <xdr:sp macro="" textlink="">
          <xdr:nvSpPr>
            <xdr:cNvPr id="2052" name="MainExpensesFinancialsComplete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Expenses Complete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4</xdr:row>
          <xdr:rowOff>9525</xdr:rowOff>
        </xdr:from>
        <xdr:to>
          <xdr:col>5</xdr:col>
          <xdr:colOff>400050</xdr:colOff>
          <xdr:row>5</xdr:row>
          <xdr:rowOff>171450</xdr:rowOff>
        </xdr:to>
        <xdr:sp macro="" textlink="">
          <xdr:nvSpPr>
            <xdr:cNvPr id="3074" name="MainBenefitsFinancialsComplet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Benefits  Complete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206"/>
  <sheetViews>
    <sheetView showZeros="0" tabSelected="1" topLeftCell="A6" zoomScaleNormal="100" workbookViewId="0">
      <selection activeCell="D10" sqref="D10"/>
    </sheetView>
  </sheetViews>
  <sheetFormatPr defaultRowHeight="15" x14ac:dyDescent="0.25"/>
  <cols>
    <col min="1" max="1" width="11.7109375" customWidth="1"/>
    <col min="2" max="2" width="14.5703125" style="20" customWidth="1"/>
    <col min="3" max="3" width="12" style="20" customWidth="1"/>
    <col min="4" max="4" width="12.28515625" customWidth="1"/>
    <col min="5" max="5" width="14.7109375" customWidth="1"/>
    <col min="6" max="6" width="14.42578125" style="1" customWidth="1"/>
    <col min="7" max="7" width="9.140625" customWidth="1"/>
    <col min="8" max="8" width="9.7109375" customWidth="1"/>
    <col min="9" max="9" width="9.28515625" customWidth="1"/>
    <col min="10" max="10" width="10.42578125" customWidth="1"/>
    <col min="11" max="11" width="16.7109375" style="1" customWidth="1"/>
    <col min="12" max="13" width="9.140625" customWidth="1"/>
    <col min="14" max="14" width="11.5703125" style="70" customWidth="1"/>
    <col min="15" max="15" width="6" style="70" customWidth="1"/>
    <col min="16" max="17" width="9.140625" style="70"/>
  </cols>
  <sheetData>
    <row r="1" spans="1:15" ht="20.25" customHeight="1" thickBot="1" x14ac:dyDescent="0.35">
      <c r="A1" s="22"/>
      <c r="B1" s="158" t="s">
        <v>153</v>
      </c>
      <c r="C1" s="159"/>
      <c r="D1" s="160"/>
      <c r="F1" s="47"/>
      <c r="H1" s="23"/>
    </row>
    <row r="2" spans="1:15" ht="12.75" customHeight="1" x14ac:dyDescent="0.3">
      <c r="A2" s="22"/>
      <c r="B2" s="24"/>
      <c r="C2" s="24"/>
      <c r="F2"/>
      <c r="K2" s="42"/>
    </row>
    <row r="3" spans="1:15" ht="35.25" customHeight="1" x14ac:dyDescent="0.3">
      <c r="A3" s="22"/>
      <c r="B3" s="166" t="s">
        <v>125</v>
      </c>
      <c r="C3" s="166"/>
      <c r="D3" s="166"/>
      <c r="E3" s="166"/>
      <c r="F3"/>
      <c r="K3" s="42"/>
    </row>
    <row r="4" spans="1:15" ht="20.25" customHeight="1" x14ac:dyDescent="0.25">
      <c r="A4" s="164" t="s">
        <v>104</v>
      </c>
      <c r="B4" s="164"/>
      <c r="C4" s="167"/>
      <c r="D4" s="167"/>
      <c r="E4" s="167"/>
      <c r="F4" s="167"/>
      <c r="G4" s="167"/>
      <c r="H4" s="167"/>
      <c r="J4" s="99"/>
      <c r="K4" s="99"/>
      <c r="L4" s="99"/>
      <c r="M4" s="99"/>
      <c r="N4" s="99"/>
      <c r="O4" s="99"/>
    </row>
    <row r="5" spans="1:15" ht="18.75" x14ac:dyDescent="0.3">
      <c r="A5" s="169" t="s">
        <v>113</v>
      </c>
      <c r="B5" s="169"/>
      <c r="C5" s="108"/>
      <c r="D5" s="25"/>
      <c r="E5" s="25"/>
      <c r="F5" s="25"/>
      <c r="G5" s="25"/>
      <c r="H5" s="25"/>
      <c r="J5" s="99"/>
      <c r="K5" s="99"/>
      <c r="L5" s="99"/>
      <c r="M5" s="99"/>
      <c r="N5" s="99"/>
      <c r="O5" s="99"/>
    </row>
    <row r="6" spans="1:15" ht="21" x14ac:dyDescent="0.35">
      <c r="A6" s="164" t="s">
        <v>105</v>
      </c>
      <c r="B6" s="164"/>
      <c r="C6" s="103"/>
      <c r="F6"/>
      <c r="I6" s="61"/>
      <c r="J6" s="99"/>
      <c r="K6" s="99"/>
      <c r="L6" s="99"/>
      <c r="M6" s="99"/>
      <c r="N6" s="99"/>
      <c r="O6" s="99"/>
    </row>
    <row r="7" spans="1:15" ht="18.75" customHeight="1" x14ac:dyDescent="0.3">
      <c r="A7" s="164" t="s">
        <v>106</v>
      </c>
      <c r="B7" s="164"/>
      <c r="C7" s="104"/>
      <c r="D7" s="22"/>
      <c r="E7" s="62"/>
      <c r="J7" s="99"/>
      <c r="K7" s="99"/>
      <c r="L7" s="99"/>
      <c r="M7" s="99"/>
      <c r="N7" s="99"/>
      <c r="O7" s="99"/>
    </row>
    <row r="8" spans="1:15" ht="18.75" customHeight="1" x14ac:dyDescent="0.3">
      <c r="A8" s="162" t="s">
        <v>107</v>
      </c>
      <c r="B8" s="162"/>
      <c r="C8" s="104"/>
      <c r="J8" s="99"/>
      <c r="K8" s="99"/>
      <c r="L8" s="99"/>
      <c r="M8" s="99"/>
      <c r="N8" s="99"/>
      <c r="O8" s="99"/>
    </row>
    <row r="9" spans="1:15" ht="18.75" customHeight="1" x14ac:dyDescent="0.25">
      <c r="A9" s="161" t="s">
        <v>119</v>
      </c>
      <c r="B9" s="161"/>
      <c r="C9" s="65">
        <f>FMFSummaryPlayerCount*FMFSummaryPerPlayer</f>
        <v>0</v>
      </c>
      <c r="D9" s="123"/>
      <c r="E9" s="123"/>
      <c r="F9" s="123"/>
      <c r="G9" s="123"/>
      <c r="H9" s="101"/>
      <c r="I9" s="101"/>
      <c r="J9" s="101"/>
      <c r="N9" s="102"/>
      <c r="O9" s="94"/>
    </row>
    <row r="10" spans="1:15" ht="21.75" customHeight="1" x14ac:dyDescent="0.3">
      <c r="A10" s="163" t="s">
        <v>159</v>
      </c>
      <c r="B10" s="163"/>
      <c r="C10" s="163"/>
      <c r="D10" s="104"/>
    </row>
    <row r="11" spans="1:15" ht="18.75" x14ac:dyDescent="0.3">
      <c r="A11" s="164" t="s">
        <v>118</v>
      </c>
      <c r="B11" s="164"/>
      <c r="C11" s="164"/>
      <c r="D11" s="104"/>
      <c r="E11" s="69"/>
      <c r="F11" s="69"/>
      <c r="G11" s="69"/>
      <c r="H11" s="69"/>
      <c r="I11" s="69"/>
      <c r="J11" s="69"/>
      <c r="K11" s="85"/>
    </row>
    <row r="13" spans="1:15" ht="18.75" x14ac:dyDescent="0.3">
      <c r="A13" s="156"/>
      <c r="B13" s="156"/>
      <c r="C13" s="105"/>
      <c r="D13" s="100"/>
      <c r="E13" s="100"/>
      <c r="F13" s="100"/>
      <c r="G13" s="100"/>
    </row>
    <row r="14" spans="1:15" x14ac:dyDescent="0.25">
      <c r="A14" t="s">
        <v>92</v>
      </c>
      <c r="B14" s="26"/>
      <c r="C14" s="26"/>
    </row>
    <row r="15" spans="1:15" ht="18.75" x14ac:dyDescent="0.3">
      <c r="A15" s="50" t="s">
        <v>124</v>
      </c>
      <c r="B15" s="131">
        <f>FMFSummaryTourneyName</f>
        <v>0</v>
      </c>
      <c r="C15" s="130"/>
      <c r="D15" s="130"/>
      <c r="E15" s="132">
        <f>FMFSummaryTourneyDate</f>
        <v>0</v>
      </c>
      <c r="F15" s="130"/>
      <c r="G15" s="168"/>
      <c r="H15" s="168"/>
    </row>
    <row r="16" spans="1:15" x14ac:dyDescent="0.25">
      <c r="A16" s="63">
        <f>FMFSummaryPlayerCount</f>
        <v>0</v>
      </c>
      <c r="B16" s="174" t="s">
        <v>117</v>
      </c>
      <c r="C16" s="175"/>
      <c r="E16" s="26"/>
      <c r="G16" s="44"/>
    </row>
    <row r="17" spans="1:14" x14ac:dyDescent="0.25">
      <c r="A17" s="45">
        <f>FMFSummaryPlayerCount*FMFSummaryEntryFee</f>
        <v>0</v>
      </c>
      <c r="B17" s="171" t="s">
        <v>1</v>
      </c>
      <c r="C17" s="171"/>
      <c r="E17" s="29"/>
      <c r="F17" s="67"/>
    </row>
    <row r="18" spans="1:14" x14ac:dyDescent="0.25">
      <c r="A18" s="45">
        <f>-FMFSummaryAccFee*FMFSummaryPlayerCount</f>
        <v>0</v>
      </c>
      <c r="B18" s="171" t="s">
        <v>94</v>
      </c>
      <c r="C18" s="171"/>
      <c r="E18" s="68"/>
      <c r="F18"/>
    </row>
    <row r="19" spans="1:14" x14ac:dyDescent="0.25">
      <c r="A19" s="45">
        <f>-FMFPlayerBenefitsTotal</f>
        <v>0</v>
      </c>
      <c r="B19" s="157" t="s">
        <v>3</v>
      </c>
      <c r="C19" s="157"/>
      <c r="F19"/>
    </row>
    <row r="20" spans="1:14" ht="15" customHeight="1" x14ac:dyDescent="0.25">
      <c r="A20" s="45">
        <f>-(FMFMiscExpensesTotal+FMFSummaryDonation)</f>
        <v>0</v>
      </c>
      <c r="B20" s="173" t="s">
        <v>165</v>
      </c>
      <c r="C20" s="173"/>
      <c r="D20" s="66"/>
      <c r="E20" s="176" t="s">
        <v>109</v>
      </c>
      <c r="F20" s="177"/>
      <c r="G20" s="172" t="s">
        <v>79</v>
      </c>
      <c r="H20" s="170" t="s">
        <v>80</v>
      </c>
      <c r="J20" s="23"/>
    </row>
    <row r="21" spans="1:14" ht="15.75" x14ac:dyDescent="0.25">
      <c r="A21" s="147">
        <f>SUM(A17:A20)</f>
        <v>0</v>
      </c>
      <c r="B21" s="178" t="s">
        <v>169</v>
      </c>
      <c r="C21" s="178"/>
      <c r="E21" s="11" t="s">
        <v>81</v>
      </c>
      <c r="F21" s="27">
        <f>FMFSummaryEntryFee*0.15</f>
        <v>0</v>
      </c>
      <c r="G21" s="172"/>
      <c r="H21" s="170"/>
    </row>
    <row r="22" spans="1:14" x14ac:dyDescent="0.25">
      <c r="B22" s="165" t="s">
        <v>103</v>
      </c>
      <c r="C22" s="165"/>
      <c r="D22" s="45">
        <f>IF(G22&lt;=F22,ROUNDUP(G22,0),ROUNDUP(F22,0))</f>
        <v>0</v>
      </c>
      <c r="E22" s="11" t="s">
        <v>110</v>
      </c>
      <c r="F22" s="27">
        <f>FMFSummaryPerPlayerExpenseAllowed*FMFSummaryPlayerCount</f>
        <v>0</v>
      </c>
      <c r="G22" s="46">
        <f>FMFMiscExpensesTotal + FMFSummaryDonation</f>
        <v>0</v>
      </c>
      <c r="H22" s="27">
        <f>+F22-G22</f>
        <v>0</v>
      </c>
    </row>
    <row r="23" spans="1:14" ht="18.75" x14ac:dyDescent="0.3">
      <c r="B23" s="26"/>
      <c r="C23" s="26"/>
      <c r="D23" s="179" t="str">
        <f>IF(G22&gt;F22,"***Actual Expenses More Than Total Allowed***","")</f>
        <v/>
      </c>
      <c r="E23" s="179"/>
      <c r="F23" s="179"/>
      <c r="G23" s="179"/>
      <c r="H23" s="179"/>
      <c r="I23" s="47"/>
      <c r="J23" s="48"/>
      <c r="K23" s="48"/>
      <c r="L23" s="48"/>
      <c r="M23" s="48"/>
      <c r="N23" s="95"/>
    </row>
    <row r="24" spans="1:14" ht="18.75" x14ac:dyDescent="0.3">
      <c r="A24" s="127">
        <v>14</v>
      </c>
      <c r="B24" s="181" t="s">
        <v>82</v>
      </c>
      <c r="C24" s="175"/>
      <c r="F24" s="49" t="str">
        <f>IF(LEFT($B$3,1)="M","Main Tourney", "Consolation Tourney")</f>
        <v>Main Tourney</v>
      </c>
    </row>
    <row r="25" spans="1:14" ht="18.75" x14ac:dyDescent="0.3">
      <c r="B25" s="128" t="s">
        <v>167</v>
      </c>
      <c r="C25" s="23"/>
      <c r="D25" s="128" t="s">
        <v>166</v>
      </c>
      <c r="E25" s="50" t="s">
        <v>83</v>
      </c>
      <c r="H25" s="51"/>
    </row>
    <row r="26" spans="1:14" ht="18.75" x14ac:dyDescent="0.3">
      <c r="B26" s="125">
        <f>FMFSummaryAvailablePool</f>
        <v>0</v>
      </c>
      <c r="C26" s="129" t="s">
        <v>116</v>
      </c>
      <c r="D26" s="126">
        <f>SUM(D30:D206)</f>
        <v>0</v>
      </c>
      <c r="E26" s="52">
        <f>FMFSummaryPrizePool - FMFSummaryRoundedPrizePool</f>
        <v>0</v>
      </c>
      <c r="F26" s="53"/>
      <c r="H26" s="54"/>
      <c r="J26" s="54"/>
    </row>
    <row r="27" spans="1:14" ht="18.75" x14ac:dyDescent="0.3">
      <c r="B27" s="26"/>
      <c r="C27" s="26"/>
      <c r="E27" s="148">
        <f>SUM(FMFSummaryAdjEntries)</f>
        <v>0</v>
      </c>
      <c r="F27" s="43" t="s">
        <v>84</v>
      </c>
    </row>
    <row r="28" spans="1:14" x14ac:dyDescent="0.25">
      <c r="A28" s="183" t="s">
        <v>91</v>
      </c>
      <c r="B28" s="182" t="s">
        <v>85</v>
      </c>
      <c r="C28" s="184" t="s">
        <v>86</v>
      </c>
      <c r="D28" s="180" t="s">
        <v>87</v>
      </c>
      <c r="E28" s="184" t="s">
        <v>88</v>
      </c>
      <c r="F28" s="184" t="s">
        <v>89</v>
      </c>
      <c r="G28" s="184" t="s">
        <v>90</v>
      </c>
      <c r="H28" s="136"/>
    </row>
    <row r="29" spans="1:14" ht="15.75" thickBot="1" x14ac:dyDescent="0.3">
      <c r="A29" s="183"/>
      <c r="B29" s="182"/>
      <c r="C29" s="184"/>
      <c r="D29" s="180"/>
      <c r="E29" s="184"/>
      <c r="F29" s="184"/>
      <c r="G29" s="184"/>
      <c r="H29" s="136"/>
    </row>
    <row r="30" spans="1:14" ht="15.75" thickBot="1" x14ac:dyDescent="0.3">
      <c r="A30" s="137"/>
      <c r="B30" s="138"/>
      <c r="C30" s="139"/>
      <c r="D30" s="140"/>
      <c r="E30" s="151"/>
      <c r="F30" s="140"/>
      <c r="G30" s="141"/>
      <c r="H30" s="21"/>
      <c r="J30" s="10"/>
    </row>
    <row r="31" spans="1:14" ht="15.75" thickBot="1" x14ac:dyDescent="0.3">
      <c r="A31" s="137"/>
      <c r="B31" s="138"/>
      <c r="C31" s="139"/>
      <c r="D31" s="140"/>
      <c r="E31" s="151"/>
      <c r="F31" s="140"/>
      <c r="G31" s="141"/>
      <c r="H31" s="21"/>
      <c r="J31" s="10"/>
    </row>
    <row r="32" spans="1:14" ht="15.75" thickBot="1" x14ac:dyDescent="0.3">
      <c r="A32" s="137"/>
      <c r="B32" s="142"/>
      <c r="C32" s="139"/>
      <c r="D32" s="140"/>
      <c r="E32" s="151"/>
      <c r="F32" s="140"/>
      <c r="G32" s="141"/>
      <c r="H32" s="21"/>
      <c r="J32" s="13"/>
    </row>
    <row r="33" spans="1:10" ht="15.75" thickBot="1" x14ac:dyDescent="0.3">
      <c r="A33" s="137"/>
      <c r="B33" s="142"/>
      <c r="C33" s="139"/>
      <c r="D33" s="140"/>
      <c r="E33" s="151"/>
      <c r="F33" s="140"/>
      <c r="G33" s="141"/>
      <c r="H33" s="21"/>
      <c r="J33" s="13"/>
    </row>
    <row r="34" spans="1:10" ht="15.75" thickBot="1" x14ac:dyDescent="0.3">
      <c r="A34" s="137"/>
      <c r="B34" s="138"/>
      <c r="C34" s="139"/>
      <c r="D34" s="140"/>
      <c r="E34" s="151"/>
      <c r="F34" s="140"/>
      <c r="G34" s="141"/>
      <c r="H34" s="21"/>
      <c r="J34" s="10"/>
    </row>
    <row r="35" spans="1:10" ht="15.75" thickBot="1" x14ac:dyDescent="0.3">
      <c r="A35" s="137"/>
      <c r="B35" s="138"/>
      <c r="C35" s="139"/>
      <c r="D35" s="140"/>
      <c r="E35" s="151"/>
      <c r="F35" s="140"/>
      <c r="G35" s="141"/>
      <c r="H35" s="21"/>
      <c r="J35" s="10"/>
    </row>
    <row r="36" spans="1:10" ht="15.75" thickBot="1" x14ac:dyDescent="0.3">
      <c r="A36" s="137"/>
      <c r="B36" s="138"/>
      <c r="C36" s="139"/>
      <c r="D36" s="140"/>
      <c r="E36" s="151"/>
      <c r="F36" s="140"/>
      <c r="G36" s="141"/>
      <c r="H36" s="21"/>
      <c r="J36" s="10"/>
    </row>
    <row r="37" spans="1:10" ht="15.75" thickBot="1" x14ac:dyDescent="0.3">
      <c r="A37" s="137"/>
      <c r="B37" s="138"/>
      <c r="C37" s="139"/>
      <c r="D37" s="140"/>
      <c r="E37" s="151"/>
      <c r="F37" s="140"/>
      <c r="G37" s="141"/>
      <c r="H37" s="21"/>
      <c r="J37" s="10"/>
    </row>
    <row r="38" spans="1:10" ht="15.75" thickBot="1" x14ac:dyDescent="0.3">
      <c r="A38" s="137"/>
      <c r="B38" s="138"/>
      <c r="C38" s="139"/>
      <c r="D38" s="140"/>
      <c r="E38" s="151"/>
      <c r="F38" s="140"/>
      <c r="G38" s="141"/>
      <c r="H38" s="21"/>
      <c r="J38" s="10"/>
    </row>
    <row r="39" spans="1:10" ht="15.75" thickBot="1" x14ac:dyDescent="0.3">
      <c r="A39" s="137"/>
      <c r="B39" s="138"/>
      <c r="C39" s="139"/>
      <c r="D39" s="140"/>
      <c r="E39" s="151"/>
      <c r="F39" s="140"/>
      <c r="G39" s="141"/>
      <c r="H39" s="21"/>
      <c r="J39" s="10"/>
    </row>
    <row r="40" spans="1:10" ht="15.75" thickBot="1" x14ac:dyDescent="0.3">
      <c r="A40" s="137"/>
      <c r="B40" s="138"/>
      <c r="C40" s="139"/>
      <c r="D40" s="140"/>
      <c r="E40" s="151"/>
      <c r="F40" s="140"/>
      <c r="G40" s="141"/>
      <c r="H40" s="21"/>
      <c r="J40" s="10"/>
    </row>
    <row r="41" spans="1:10" ht="15.75" thickBot="1" x14ac:dyDescent="0.3">
      <c r="A41" s="137"/>
      <c r="B41" s="138"/>
      <c r="C41" s="139"/>
      <c r="D41" s="140"/>
      <c r="E41" s="151"/>
      <c r="F41" s="140"/>
      <c r="G41" s="141"/>
      <c r="H41" s="21"/>
      <c r="J41" s="10"/>
    </row>
    <row r="42" spans="1:10" ht="15.75" thickBot="1" x14ac:dyDescent="0.3">
      <c r="A42" s="137"/>
      <c r="B42" s="138"/>
      <c r="C42" s="139"/>
      <c r="D42" s="140"/>
      <c r="E42" s="151"/>
      <c r="F42" s="140"/>
      <c r="G42" s="141"/>
      <c r="H42" s="21"/>
      <c r="J42" s="10"/>
    </row>
    <row r="43" spans="1:10" ht="15.75" thickBot="1" x14ac:dyDescent="0.3">
      <c r="A43" s="137"/>
      <c r="B43" s="138"/>
      <c r="C43" s="139"/>
      <c r="D43" s="140"/>
      <c r="E43" s="151"/>
      <c r="F43" s="140"/>
      <c r="G43" s="141"/>
      <c r="H43" s="21"/>
      <c r="J43" s="10"/>
    </row>
    <row r="44" spans="1:10" x14ac:dyDescent="0.25">
      <c r="A44" s="20"/>
      <c r="B44" s="10"/>
      <c r="C44" s="30"/>
      <c r="D44" s="98"/>
      <c r="E44" s="149"/>
      <c r="F44" s="98"/>
      <c r="G44" s="21"/>
      <c r="H44" s="21"/>
    </row>
    <row r="45" spans="1:10" x14ac:dyDescent="0.25">
      <c r="A45" s="20"/>
      <c r="B45" s="10"/>
      <c r="C45" s="30"/>
      <c r="D45" s="98"/>
      <c r="E45" s="149"/>
      <c r="F45" s="98"/>
      <c r="G45" s="21"/>
      <c r="H45" s="21"/>
    </row>
    <row r="46" spans="1:10" x14ac:dyDescent="0.25">
      <c r="A46" s="20"/>
      <c r="B46" s="10"/>
      <c r="C46" s="30"/>
      <c r="D46" s="98"/>
      <c r="E46" s="149"/>
      <c r="F46" s="98"/>
      <c r="G46" s="21"/>
      <c r="H46" s="21"/>
    </row>
    <row r="47" spans="1:10" x14ac:dyDescent="0.25">
      <c r="A47" s="20"/>
      <c r="B47" s="10"/>
      <c r="C47" s="30"/>
      <c r="D47" s="98"/>
      <c r="E47" s="149"/>
      <c r="F47" s="98"/>
      <c r="G47" s="21"/>
      <c r="H47" s="21"/>
    </row>
    <row r="48" spans="1:10" x14ac:dyDescent="0.25">
      <c r="A48" s="20"/>
      <c r="B48" s="10"/>
      <c r="C48" s="30"/>
      <c r="D48" s="98"/>
      <c r="E48" s="149"/>
      <c r="F48" s="98"/>
      <c r="G48" s="21"/>
      <c r="H48" s="21"/>
    </row>
    <row r="49" spans="1:8" x14ac:dyDescent="0.25">
      <c r="A49" s="20"/>
      <c r="B49" s="10"/>
      <c r="C49" s="30"/>
      <c r="D49" s="98"/>
      <c r="E49" s="150"/>
      <c r="F49" s="98"/>
      <c r="G49" s="21"/>
      <c r="H49" s="21"/>
    </row>
    <row r="50" spans="1:8" x14ac:dyDescent="0.25">
      <c r="A50" s="20"/>
      <c r="B50" s="10"/>
      <c r="C50" s="30"/>
      <c r="D50" s="98"/>
      <c r="E50" s="150"/>
      <c r="F50" s="98"/>
      <c r="G50" s="21"/>
      <c r="H50" s="21"/>
    </row>
    <row r="51" spans="1:8" x14ac:dyDescent="0.25">
      <c r="A51" s="20"/>
      <c r="B51" s="10"/>
      <c r="C51" s="30"/>
      <c r="D51" s="98"/>
      <c r="E51" s="150"/>
      <c r="F51" s="98"/>
      <c r="G51" s="21"/>
      <c r="H51" s="21"/>
    </row>
    <row r="52" spans="1:8" x14ac:dyDescent="0.25">
      <c r="A52" s="20"/>
      <c r="B52" s="10"/>
      <c r="C52" s="30"/>
      <c r="D52" s="98"/>
      <c r="E52" s="150"/>
      <c r="F52" s="98"/>
      <c r="G52" s="21"/>
      <c r="H52" s="21"/>
    </row>
    <row r="53" spans="1:8" x14ac:dyDescent="0.25">
      <c r="A53" s="20"/>
      <c r="B53" s="10"/>
      <c r="C53" s="30"/>
      <c r="D53" s="98"/>
      <c r="E53" s="150"/>
      <c r="F53" s="98"/>
      <c r="G53" s="21"/>
      <c r="H53" s="21"/>
    </row>
    <row r="54" spans="1:8" x14ac:dyDescent="0.25">
      <c r="A54" s="20"/>
      <c r="B54" s="10"/>
      <c r="C54" s="30"/>
      <c r="D54" s="98"/>
      <c r="E54" s="150"/>
      <c r="F54" s="98"/>
      <c r="G54" s="21"/>
      <c r="H54" s="21"/>
    </row>
    <row r="55" spans="1:8" x14ac:dyDescent="0.25">
      <c r="A55" s="20"/>
      <c r="B55" s="10"/>
      <c r="C55" s="30"/>
      <c r="D55" s="98"/>
      <c r="E55" s="150"/>
      <c r="F55" s="98"/>
      <c r="G55" s="21"/>
      <c r="H55" s="21"/>
    </row>
    <row r="56" spans="1:8" x14ac:dyDescent="0.25">
      <c r="A56" s="20"/>
      <c r="B56" s="10"/>
      <c r="C56" s="30"/>
      <c r="D56" s="98"/>
      <c r="E56" s="150"/>
      <c r="F56" s="98"/>
      <c r="G56" s="21"/>
      <c r="H56" s="21"/>
    </row>
    <row r="57" spans="1:8" x14ac:dyDescent="0.25">
      <c r="A57" s="20"/>
      <c r="B57" s="10"/>
      <c r="C57" s="30"/>
      <c r="D57" s="98"/>
      <c r="E57" s="150"/>
      <c r="F57" s="98"/>
      <c r="G57" s="21"/>
      <c r="H57" s="21"/>
    </row>
    <row r="58" spans="1:8" x14ac:dyDescent="0.25">
      <c r="A58" s="20"/>
      <c r="B58" s="10"/>
      <c r="C58" s="30"/>
      <c r="D58" s="98"/>
      <c r="E58" s="150"/>
      <c r="F58" s="98"/>
      <c r="G58" s="21"/>
      <c r="H58" s="21"/>
    </row>
    <row r="59" spans="1:8" x14ac:dyDescent="0.25">
      <c r="A59" s="20"/>
      <c r="B59" s="10"/>
      <c r="C59" s="30"/>
      <c r="D59" s="98"/>
      <c r="E59" s="150"/>
      <c r="F59" s="98"/>
      <c r="G59" s="21"/>
      <c r="H59" s="21"/>
    </row>
    <row r="60" spans="1:8" x14ac:dyDescent="0.25">
      <c r="A60" s="20"/>
      <c r="B60" s="10"/>
      <c r="C60" s="30"/>
      <c r="D60" s="98"/>
      <c r="E60" s="150"/>
      <c r="F60" s="98"/>
      <c r="G60" s="21"/>
      <c r="H60" s="21"/>
    </row>
    <row r="61" spans="1:8" x14ac:dyDescent="0.25">
      <c r="A61" s="20"/>
      <c r="B61" s="10"/>
      <c r="C61" s="30"/>
      <c r="D61" s="98"/>
      <c r="E61" s="150"/>
      <c r="F61" s="98"/>
      <c r="G61" s="21"/>
      <c r="H61" s="21"/>
    </row>
    <row r="62" spans="1:8" x14ac:dyDescent="0.25">
      <c r="A62" s="20"/>
      <c r="B62" s="13"/>
      <c r="C62" s="30"/>
      <c r="D62" s="98"/>
      <c r="E62" s="150"/>
      <c r="F62" s="98"/>
      <c r="G62" s="21"/>
      <c r="H62" s="21"/>
    </row>
    <row r="63" spans="1:8" x14ac:dyDescent="0.25">
      <c r="A63" s="20"/>
      <c r="B63" s="13"/>
      <c r="C63" s="30"/>
      <c r="D63" s="98"/>
      <c r="E63" s="150"/>
      <c r="F63" s="98"/>
      <c r="G63" s="21"/>
      <c r="H63" s="21"/>
    </row>
    <row r="64" spans="1:8" x14ac:dyDescent="0.25">
      <c r="A64" s="20"/>
      <c r="B64" s="13"/>
      <c r="C64" s="30"/>
      <c r="D64" s="98"/>
      <c r="E64" s="150"/>
      <c r="F64" s="98"/>
      <c r="G64" s="21"/>
      <c r="H64" s="21"/>
    </row>
    <row r="65" spans="1:8" x14ac:dyDescent="0.25">
      <c r="A65" s="20"/>
      <c r="B65" s="13"/>
      <c r="C65" s="30"/>
      <c r="D65" s="98"/>
      <c r="E65" s="150"/>
      <c r="F65" s="98"/>
      <c r="G65" s="21"/>
      <c r="H65" s="1"/>
    </row>
    <row r="66" spans="1:8" x14ac:dyDescent="0.25">
      <c r="A66" s="20"/>
      <c r="B66" s="13"/>
      <c r="C66" s="30"/>
      <c r="D66" s="98"/>
      <c r="E66" s="29"/>
      <c r="F66" s="98"/>
      <c r="G66" s="98"/>
      <c r="H66" s="1"/>
    </row>
    <row r="67" spans="1:8" x14ac:dyDescent="0.25">
      <c r="A67" s="20"/>
      <c r="B67" s="13"/>
      <c r="C67" s="30"/>
      <c r="D67" s="98"/>
      <c r="E67" s="29"/>
      <c r="F67" s="98"/>
      <c r="G67" s="98"/>
      <c r="H67" s="1"/>
    </row>
    <row r="68" spans="1:8" x14ac:dyDescent="0.25">
      <c r="A68" s="20"/>
      <c r="B68" s="1"/>
      <c r="C68" s="30"/>
      <c r="D68" s="98"/>
      <c r="E68" s="29"/>
      <c r="F68" s="98"/>
      <c r="G68" s="1"/>
      <c r="H68" s="1"/>
    </row>
    <row r="69" spans="1:8" x14ac:dyDescent="0.25">
      <c r="A69" s="20"/>
      <c r="B69" s="1"/>
      <c r="C69" s="30"/>
      <c r="D69" s="98"/>
      <c r="E69" s="29"/>
      <c r="F69" s="98"/>
      <c r="G69" s="1"/>
      <c r="H69" s="1"/>
    </row>
    <row r="70" spans="1:8" x14ac:dyDescent="0.25">
      <c r="A70" s="20"/>
      <c r="B70" s="1"/>
      <c r="C70" s="30"/>
      <c r="D70" s="98"/>
      <c r="E70" s="29"/>
      <c r="F70" s="98"/>
      <c r="G70" s="1"/>
      <c r="H70" s="1"/>
    </row>
    <row r="71" spans="1:8" x14ac:dyDescent="0.25">
      <c r="A71" s="20"/>
      <c r="B71" s="1"/>
      <c r="C71" s="30"/>
      <c r="D71" s="98"/>
      <c r="E71" s="29"/>
      <c r="F71" s="98" t="str">
        <f t="shared" ref="F71:F94" si="0">IF(D71&lt;&gt;"",D71+E71,"")</f>
        <v/>
      </c>
      <c r="G71" s="1"/>
      <c r="H71" s="1"/>
    </row>
    <row r="72" spans="1:8" x14ac:dyDescent="0.25">
      <c r="A72" s="20"/>
      <c r="B72" s="1"/>
      <c r="C72" s="30"/>
      <c r="D72" s="98"/>
      <c r="E72" s="29"/>
      <c r="F72" s="98" t="str">
        <f t="shared" si="0"/>
        <v/>
      </c>
      <c r="G72" s="1"/>
      <c r="H72" s="1"/>
    </row>
    <row r="73" spans="1:8" x14ac:dyDescent="0.25">
      <c r="C73" s="14"/>
      <c r="F73" s="98" t="str">
        <f t="shared" si="0"/>
        <v/>
      </c>
    </row>
    <row r="74" spans="1:8" x14ac:dyDescent="0.25">
      <c r="C74" s="14"/>
      <c r="F74" s="98" t="str">
        <f t="shared" si="0"/>
        <v/>
      </c>
    </row>
    <row r="75" spans="1:8" x14ac:dyDescent="0.25">
      <c r="C75" s="14"/>
      <c r="F75" s="98" t="str">
        <f t="shared" si="0"/>
        <v/>
      </c>
    </row>
    <row r="76" spans="1:8" x14ac:dyDescent="0.25">
      <c r="C76" s="14"/>
      <c r="F76" s="98" t="str">
        <f t="shared" si="0"/>
        <v/>
      </c>
    </row>
    <row r="77" spans="1:8" x14ac:dyDescent="0.25">
      <c r="C77" s="14"/>
      <c r="F77" s="98" t="str">
        <f t="shared" si="0"/>
        <v/>
      </c>
    </row>
    <row r="78" spans="1:8" x14ac:dyDescent="0.25">
      <c r="C78" s="14"/>
      <c r="F78" s="98" t="str">
        <f t="shared" si="0"/>
        <v/>
      </c>
    </row>
    <row r="79" spans="1:8" x14ac:dyDescent="0.25">
      <c r="C79" s="14"/>
      <c r="F79" s="98" t="str">
        <f t="shared" si="0"/>
        <v/>
      </c>
    </row>
    <row r="80" spans="1:8" x14ac:dyDescent="0.25">
      <c r="C80" s="14"/>
      <c r="F80" s="98" t="str">
        <f t="shared" si="0"/>
        <v/>
      </c>
    </row>
    <row r="81" spans="3:6" x14ac:dyDescent="0.25">
      <c r="C81" s="14"/>
      <c r="F81" s="98" t="str">
        <f t="shared" si="0"/>
        <v/>
      </c>
    </row>
    <row r="82" spans="3:6" x14ac:dyDescent="0.25">
      <c r="C82" s="14"/>
      <c r="F82" s="98" t="str">
        <f t="shared" si="0"/>
        <v/>
      </c>
    </row>
    <row r="83" spans="3:6" x14ac:dyDescent="0.25">
      <c r="C83" s="14"/>
      <c r="F83" s="98" t="str">
        <f t="shared" si="0"/>
        <v/>
      </c>
    </row>
    <row r="84" spans="3:6" x14ac:dyDescent="0.25">
      <c r="C84" s="14"/>
      <c r="F84" s="98" t="str">
        <f t="shared" si="0"/>
        <v/>
      </c>
    </row>
    <row r="85" spans="3:6" x14ac:dyDescent="0.25">
      <c r="C85" s="14"/>
      <c r="F85" s="98" t="str">
        <f t="shared" si="0"/>
        <v/>
      </c>
    </row>
    <row r="86" spans="3:6" x14ac:dyDescent="0.25">
      <c r="C86" s="14"/>
      <c r="F86" s="98" t="str">
        <f t="shared" si="0"/>
        <v/>
      </c>
    </row>
    <row r="87" spans="3:6" x14ac:dyDescent="0.25">
      <c r="C87" s="14"/>
      <c r="F87" s="98" t="str">
        <f t="shared" si="0"/>
        <v/>
      </c>
    </row>
    <row r="88" spans="3:6" x14ac:dyDescent="0.25">
      <c r="C88" s="14"/>
      <c r="F88" s="98" t="str">
        <f t="shared" si="0"/>
        <v/>
      </c>
    </row>
    <row r="89" spans="3:6" x14ac:dyDescent="0.25">
      <c r="C89" s="14"/>
      <c r="F89" s="98" t="str">
        <f t="shared" si="0"/>
        <v/>
      </c>
    </row>
    <row r="90" spans="3:6" x14ac:dyDescent="0.25">
      <c r="C90" s="14"/>
      <c r="F90" s="98" t="str">
        <f t="shared" si="0"/>
        <v/>
      </c>
    </row>
    <row r="91" spans="3:6" x14ac:dyDescent="0.25">
      <c r="C91" s="14"/>
      <c r="F91" s="98" t="str">
        <f t="shared" si="0"/>
        <v/>
      </c>
    </row>
    <row r="92" spans="3:6" x14ac:dyDescent="0.25">
      <c r="C92" s="14"/>
      <c r="F92" s="98" t="str">
        <f t="shared" si="0"/>
        <v/>
      </c>
    </row>
    <row r="93" spans="3:6" x14ac:dyDescent="0.25">
      <c r="C93" s="14"/>
      <c r="F93" s="98" t="str">
        <f t="shared" si="0"/>
        <v/>
      </c>
    </row>
    <row r="94" spans="3:6" x14ac:dyDescent="0.25">
      <c r="C94" s="14"/>
      <c r="F94" s="98" t="str">
        <f t="shared" si="0"/>
        <v/>
      </c>
    </row>
    <row r="95" spans="3:6" x14ac:dyDescent="0.25">
      <c r="F95" s="98" t="str">
        <f t="shared" ref="F95:F158" si="1">IF(D95&lt;&gt;"",D95+E95,"")</f>
        <v/>
      </c>
    </row>
    <row r="96" spans="3:6" x14ac:dyDescent="0.25">
      <c r="F96" s="98" t="str">
        <f t="shared" si="1"/>
        <v/>
      </c>
    </row>
    <row r="97" spans="6:6" x14ac:dyDescent="0.25">
      <c r="F97" s="98" t="str">
        <f t="shared" si="1"/>
        <v/>
      </c>
    </row>
    <row r="98" spans="6:6" x14ac:dyDescent="0.25">
      <c r="F98" s="98" t="str">
        <f t="shared" si="1"/>
        <v/>
      </c>
    </row>
    <row r="99" spans="6:6" x14ac:dyDescent="0.25">
      <c r="F99" s="98" t="str">
        <f t="shared" si="1"/>
        <v/>
      </c>
    </row>
    <row r="100" spans="6:6" x14ac:dyDescent="0.25">
      <c r="F100" s="98" t="str">
        <f t="shared" si="1"/>
        <v/>
      </c>
    </row>
    <row r="101" spans="6:6" x14ac:dyDescent="0.25">
      <c r="F101" s="98" t="str">
        <f t="shared" si="1"/>
        <v/>
      </c>
    </row>
    <row r="102" spans="6:6" x14ac:dyDescent="0.25">
      <c r="F102" s="98" t="str">
        <f t="shared" si="1"/>
        <v/>
      </c>
    </row>
    <row r="103" spans="6:6" x14ac:dyDescent="0.25">
      <c r="F103" s="98" t="str">
        <f t="shared" si="1"/>
        <v/>
      </c>
    </row>
    <row r="104" spans="6:6" x14ac:dyDescent="0.25">
      <c r="F104" s="98" t="str">
        <f t="shared" si="1"/>
        <v/>
      </c>
    </row>
    <row r="105" spans="6:6" x14ac:dyDescent="0.25">
      <c r="F105" s="98" t="str">
        <f t="shared" si="1"/>
        <v/>
      </c>
    </row>
    <row r="106" spans="6:6" x14ac:dyDescent="0.25">
      <c r="F106" s="98" t="str">
        <f t="shared" si="1"/>
        <v/>
      </c>
    </row>
    <row r="107" spans="6:6" x14ac:dyDescent="0.25">
      <c r="F107" s="98" t="str">
        <f t="shared" si="1"/>
        <v/>
      </c>
    </row>
    <row r="108" spans="6:6" x14ac:dyDescent="0.25">
      <c r="F108" s="98" t="str">
        <f t="shared" si="1"/>
        <v/>
      </c>
    </row>
    <row r="109" spans="6:6" x14ac:dyDescent="0.25">
      <c r="F109" s="98" t="str">
        <f t="shared" si="1"/>
        <v/>
      </c>
    </row>
    <row r="110" spans="6:6" x14ac:dyDescent="0.25">
      <c r="F110" s="98" t="str">
        <f t="shared" si="1"/>
        <v/>
      </c>
    </row>
    <row r="111" spans="6:6" x14ac:dyDescent="0.25">
      <c r="F111" s="98" t="str">
        <f t="shared" si="1"/>
        <v/>
      </c>
    </row>
    <row r="112" spans="6:6" x14ac:dyDescent="0.25">
      <c r="F112" s="98" t="str">
        <f t="shared" si="1"/>
        <v/>
      </c>
    </row>
    <row r="113" spans="6:6" x14ac:dyDescent="0.25">
      <c r="F113" s="98" t="str">
        <f t="shared" si="1"/>
        <v/>
      </c>
    </row>
    <row r="114" spans="6:6" x14ac:dyDescent="0.25">
      <c r="F114" s="98" t="str">
        <f t="shared" si="1"/>
        <v/>
      </c>
    </row>
    <row r="115" spans="6:6" x14ac:dyDescent="0.25">
      <c r="F115" s="98" t="str">
        <f t="shared" si="1"/>
        <v/>
      </c>
    </row>
    <row r="116" spans="6:6" x14ac:dyDescent="0.25">
      <c r="F116" s="98" t="str">
        <f t="shared" si="1"/>
        <v/>
      </c>
    </row>
    <row r="117" spans="6:6" x14ac:dyDescent="0.25">
      <c r="F117" s="98" t="str">
        <f t="shared" si="1"/>
        <v/>
      </c>
    </row>
    <row r="118" spans="6:6" x14ac:dyDescent="0.25">
      <c r="F118" s="98" t="str">
        <f t="shared" si="1"/>
        <v/>
      </c>
    </row>
    <row r="119" spans="6:6" x14ac:dyDescent="0.25">
      <c r="F119" s="98" t="str">
        <f t="shared" si="1"/>
        <v/>
      </c>
    </row>
    <row r="120" spans="6:6" x14ac:dyDescent="0.25">
      <c r="F120" s="98" t="str">
        <f t="shared" si="1"/>
        <v/>
      </c>
    </row>
    <row r="121" spans="6:6" x14ac:dyDescent="0.25">
      <c r="F121" s="98" t="str">
        <f t="shared" si="1"/>
        <v/>
      </c>
    </row>
    <row r="122" spans="6:6" x14ac:dyDescent="0.25">
      <c r="F122" s="98" t="str">
        <f t="shared" si="1"/>
        <v/>
      </c>
    </row>
    <row r="123" spans="6:6" x14ac:dyDescent="0.25">
      <c r="F123" s="98" t="str">
        <f t="shared" si="1"/>
        <v/>
      </c>
    </row>
    <row r="124" spans="6:6" x14ac:dyDescent="0.25">
      <c r="F124" s="98" t="str">
        <f t="shared" si="1"/>
        <v/>
      </c>
    </row>
    <row r="125" spans="6:6" x14ac:dyDescent="0.25">
      <c r="F125" s="98" t="str">
        <f t="shared" si="1"/>
        <v/>
      </c>
    </row>
    <row r="126" spans="6:6" x14ac:dyDescent="0.25">
      <c r="F126" s="98" t="str">
        <f t="shared" si="1"/>
        <v/>
      </c>
    </row>
    <row r="127" spans="6:6" x14ac:dyDescent="0.25">
      <c r="F127" s="98" t="str">
        <f t="shared" si="1"/>
        <v/>
      </c>
    </row>
    <row r="128" spans="6:6" x14ac:dyDescent="0.25">
      <c r="F128" s="98" t="str">
        <f t="shared" si="1"/>
        <v/>
      </c>
    </row>
    <row r="129" spans="6:6" x14ac:dyDescent="0.25">
      <c r="F129" s="98" t="str">
        <f t="shared" si="1"/>
        <v/>
      </c>
    </row>
    <row r="130" spans="6:6" x14ac:dyDescent="0.25">
      <c r="F130" s="98" t="str">
        <f t="shared" si="1"/>
        <v/>
      </c>
    </row>
    <row r="131" spans="6:6" x14ac:dyDescent="0.25">
      <c r="F131" s="98" t="str">
        <f t="shared" si="1"/>
        <v/>
      </c>
    </row>
    <row r="132" spans="6:6" x14ac:dyDescent="0.25">
      <c r="F132" s="98" t="str">
        <f t="shared" si="1"/>
        <v/>
      </c>
    </row>
    <row r="133" spans="6:6" x14ac:dyDescent="0.25">
      <c r="F133" s="98" t="str">
        <f t="shared" si="1"/>
        <v/>
      </c>
    </row>
    <row r="134" spans="6:6" x14ac:dyDescent="0.25">
      <c r="F134" s="98" t="str">
        <f t="shared" si="1"/>
        <v/>
      </c>
    </row>
    <row r="135" spans="6:6" x14ac:dyDescent="0.25">
      <c r="F135" s="98" t="str">
        <f t="shared" si="1"/>
        <v/>
      </c>
    </row>
    <row r="136" spans="6:6" x14ac:dyDescent="0.25">
      <c r="F136" s="98" t="str">
        <f t="shared" si="1"/>
        <v/>
      </c>
    </row>
    <row r="137" spans="6:6" x14ac:dyDescent="0.25">
      <c r="F137" s="98" t="str">
        <f t="shared" si="1"/>
        <v/>
      </c>
    </row>
    <row r="138" spans="6:6" x14ac:dyDescent="0.25">
      <c r="F138" s="98" t="str">
        <f t="shared" si="1"/>
        <v/>
      </c>
    </row>
    <row r="139" spans="6:6" x14ac:dyDescent="0.25">
      <c r="F139" s="98" t="str">
        <f t="shared" si="1"/>
        <v/>
      </c>
    </row>
    <row r="140" spans="6:6" x14ac:dyDescent="0.25">
      <c r="F140" s="98" t="str">
        <f t="shared" si="1"/>
        <v/>
      </c>
    </row>
    <row r="141" spans="6:6" x14ac:dyDescent="0.25">
      <c r="F141" s="98" t="str">
        <f t="shared" si="1"/>
        <v/>
      </c>
    </row>
    <row r="142" spans="6:6" x14ac:dyDescent="0.25">
      <c r="F142" s="98" t="str">
        <f t="shared" si="1"/>
        <v/>
      </c>
    </row>
    <row r="143" spans="6:6" x14ac:dyDescent="0.25">
      <c r="F143" s="98" t="str">
        <f t="shared" si="1"/>
        <v/>
      </c>
    </row>
    <row r="144" spans="6:6" x14ac:dyDescent="0.25">
      <c r="F144" s="98" t="str">
        <f t="shared" si="1"/>
        <v/>
      </c>
    </row>
    <row r="145" spans="6:6" x14ac:dyDescent="0.25">
      <c r="F145" s="98" t="str">
        <f t="shared" si="1"/>
        <v/>
      </c>
    </row>
    <row r="146" spans="6:6" x14ac:dyDescent="0.25">
      <c r="F146" s="98" t="str">
        <f t="shared" si="1"/>
        <v/>
      </c>
    </row>
    <row r="147" spans="6:6" x14ac:dyDescent="0.25">
      <c r="F147" s="98" t="str">
        <f t="shared" si="1"/>
        <v/>
      </c>
    </row>
    <row r="148" spans="6:6" x14ac:dyDescent="0.25">
      <c r="F148" s="98" t="str">
        <f t="shared" si="1"/>
        <v/>
      </c>
    </row>
    <row r="149" spans="6:6" x14ac:dyDescent="0.25">
      <c r="F149" s="98" t="str">
        <f t="shared" si="1"/>
        <v/>
      </c>
    </row>
    <row r="150" spans="6:6" x14ac:dyDescent="0.25">
      <c r="F150" s="98" t="str">
        <f t="shared" si="1"/>
        <v/>
      </c>
    </row>
    <row r="151" spans="6:6" x14ac:dyDescent="0.25">
      <c r="F151" s="98" t="str">
        <f t="shared" si="1"/>
        <v/>
      </c>
    </row>
    <row r="152" spans="6:6" x14ac:dyDescent="0.25">
      <c r="F152" s="98" t="str">
        <f t="shared" si="1"/>
        <v/>
      </c>
    </row>
    <row r="153" spans="6:6" x14ac:dyDescent="0.25">
      <c r="F153" s="98" t="str">
        <f t="shared" si="1"/>
        <v/>
      </c>
    </row>
    <row r="154" spans="6:6" x14ac:dyDescent="0.25">
      <c r="F154" s="98" t="str">
        <f t="shared" si="1"/>
        <v/>
      </c>
    </row>
    <row r="155" spans="6:6" x14ac:dyDescent="0.25">
      <c r="F155" s="98" t="str">
        <f t="shared" si="1"/>
        <v/>
      </c>
    </row>
    <row r="156" spans="6:6" x14ac:dyDescent="0.25">
      <c r="F156" s="98" t="str">
        <f t="shared" si="1"/>
        <v/>
      </c>
    </row>
    <row r="157" spans="6:6" x14ac:dyDescent="0.25">
      <c r="F157" s="98" t="str">
        <f t="shared" si="1"/>
        <v/>
      </c>
    </row>
    <row r="158" spans="6:6" x14ac:dyDescent="0.25">
      <c r="F158" s="98" t="str">
        <f t="shared" si="1"/>
        <v/>
      </c>
    </row>
    <row r="159" spans="6:6" x14ac:dyDescent="0.25">
      <c r="F159" s="98" t="str">
        <f t="shared" ref="F159:F206" si="2">IF(D159&lt;&gt;"",D159+E159,"")</f>
        <v/>
      </c>
    </row>
    <row r="160" spans="6:6" x14ac:dyDescent="0.25">
      <c r="F160" s="98" t="str">
        <f t="shared" si="2"/>
        <v/>
      </c>
    </row>
    <row r="161" spans="6:6" x14ac:dyDescent="0.25">
      <c r="F161" s="98" t="str">
        <f t="shared" si="2"/>
        <v/>
      </c>
    </row>
    <row r="162" spans="6:6" x14ac:dyDescent="0.25">
      <c r="F162" s="98" t="str">
        <f t="shared" si="2"/>
        <v/>
      </c>
    </row>
    <row r="163" spans="6:6" x14ac:dyDescent="0.25">
      <c r="F163" s="98" t="str">
        <f t="shared" si="2"/>
        <v/>
      </c>
    </row>
    <row r="164" spans="6:6" x14ac:dyDescent="0.25">
      <c r="F164" s="98" t="str">
        <f t="shared" si="2"/>
        <v/>
      </c>
    </row>
    <row r="165" spans="6:6" x14ac:dyDescent="0.25">
      <c r="F165" s="98" t="str">
        <f t="shared" si="2"/>
        <v/>
      </c>
    </row>
    <row r="166" spans="6:6" x14ac:dyDescent="0.25">
      <c r="F166" s="98" t="str">
        <f t="shared" si="2"/>
        <v/>
      </c>
    </row>
    <row r="167" spans="6:6" x14ac:dyDescent="0.25">
      <c r="F167" s="98" t="str">
        <f t="shared" si="2"/>
        <v/>
      </c>
    </row>
    <row r="168" spans="6:6" x14ac:dyDescent="0.25">
      <c r="F168" s="98" t="str">
        <f t="shared" si="2"/>
        <v/>
      </c>
    </row>
    <row r="169" spans="6:6" x14ac:dyDescent="0.25">
      <c r="F169" s="98" t="str">
        <f t="shared" si="2"/>
        <v/>
      </c>
    </row>
    <row r="170" spans="6:6" x14ac:dyDescent="0.25">
      <c r="F170" s="98" t="str">
        <f t="shared" si="2"/>
        <v/>
      </c>
    </row>
    <row r="171" spans="6:6" x14ac:dyDescent="0.25">
      <c r="F171" s="98" t="str">
        <f t="shared" si="2"/>
        <v/>
      </c>
    </row>
    <row r="172" spans="6:6" x14ac:dyDescent="0.25">
      <c r="F172" s="98" t="str">
        <f t="shared" si="2"/>
        <v/>
      </c>
    </row>
    <row r="173" spans="6:6" x14ac:dyDescent="0.25">
      <c r="F173" s="98" t="str">
        <f t="shared" si="2"/>
        <v/>
      </c>
    </row>
    <row r="174" spans="6:6" x14ac:dyDescent="0.25">
      <c r="F174" s="98" t="str">
        <f t="shared" si="2"/>
        <v/>
      </c>
    </row>
    <row r="175" spans="6:6" x14ac:dyDescent="0.25">
      <c r="F175" s="98" t="str">
        <f t="shared" si="2"/>
        <v/>
      </c>
    </row>
    <row r="176" spans="6:6" x14ac:dyDescent="0.25">
      <c r="F176" s="98" t="str">
        <f t="shared" si="2"/>
        <v/>
      </c>
    </row>
    <row r="177" spans="6:6" x14ac:dyDescent="0.25">
      <c r="F177" s="98" t="str">
        <f t="shared" si="2"/>
        <v/>
      </c>
    </row>
    <row r="178" spans="6:6" x14ac:dyDescent="0.25">
      <c r="F178" s="98" t="str">
        <f t="shared" si="2"/>
        <v/>
      </c>
    </row>
    <row r="179" spans="6:6" x14ac:dyDescent="0.25">
      <c r="F179" s="98" t="str">
        <f t="shared" si="2"/>
        <v/>
      </c>
    </row>
    <row r="180" spans="6:6" x14ac:dyDescent="0.25">
      <c r="F180" s="98" t="str">
        <f t="shared" si="2"/>
        <v/>
      </c>
    </row>
    <row r="181" spans="6:6" x14ac:dyDescent="0.25">
      <c r="F181" s="98" t="str">
        <f t="shared" si="2"/>
        <v/>
      </c>
    </row>
    <row r="182" spans="6:6" x14ac:dyDescent="0.25">
      <c r="F182" s="98" t="str">
        <f t="shared" si="2"/>
        <v/>
      </c>
    </row>
    <row r="183" spans="6:6" x14ac:dyDescent="0.25">
      <c r="F183" s="98" t="str">
        <f t="shared" si="2"/>
        <v/>
      </c>
    </row>
    <row r="184" spans="6:6" x14ac:dyDescent="0.25">
      <c r="F184" s="98" t="str">
        <f t="shared" si="2"/>
        <v/>
      </c>
    </row>
    <row r="185" spans="6:6" x14ac:dyDescent="0.25">
      <c r="F185" s="98" t="str">
        <f t="shared" si="2"/>
        <v/>
      </c>
    </row>
    <row r="186" spans="6:6" x14ac:dyDescent="0.25">
      <c r="F186" s="98" t="str">
        <f t="shared" si="2"/>
        <v/>
      </c>
    </row>
    <row r="187" spans="6:6" x14ac:dyDescent="0.25">
      <c r="F187" s="98" t="str">
        <f t="shared" si="2"/>
        <v/>
      </c>
    </row>
    <row r="188" spans="6:6" x14ac:dyDescent="0.25">
      <c r="F188" s="98" t="str">
        <f t="shared" si="2"/>
        <v/>
      </c>
    </row>
    <row r="189" spans="6:6" x14ac:dyDescent="0.25">
      <c r="F189" s="98" t="str">
        <f t="shared" si="2"/>
        <v/>
      </c>
    </row>
    <row r="190" spans="6:6" x14ac:dyDescent="0.25">
      <c r="F190" s="98" t="str">
        <f t="shared" si="2"/>
        <v/>
      </c>
    </row>
    <row r="191" spans="6:6" x14ac:dyDescent="0.25">
      <c r="F191" s="98" t="str">
        <f t="shared" si="2"/>
        <v/>
      </c>
    </row>
    <row r="192" spans="6:6" x14ac:dyDescent="0.25">
      <c r="F192" s="98" t="str">
        <f t="shared" si="2"/>
        <v/>
      </c>
    </row>
    <row r="193" spans="6:6" x14ac:dyDescent="0.25">
      <c r="F193" s="98" t="str">
        <f t="shared" si="2"/>
        <v/>
      </c>
    </row>
    <row r="194" spans="6:6" x14ac:dyDescent="0.25">
      <c r="F194" s="98" t="str">
        <f t="shared" si="2"/>
        <v/>
      </c>
    </row>
    <row r="195" spans="6:6" x14ac:dyDescent="0.25">
      <c r="F195" s="98" t="str">
        <f t="shared" si="2"/>
        <v/>
      </c>
    </row>
    <row r="196" spans="6:6" x14ac:dyDescent="0.25">
      <c r="F196" s="98" t="str">
        <f t="shared" si="2"/>
        <v/>
      </c>
    </row>
    <row r="197" spans="6:6" x14ac:dyDescent="0.25">
      <c r="F197" s="98" t="str">
        <f t="shared" si="2"/>
        <v/>
      </c>
    </row>
    <row r="198" spans="6:6" x14ac:dyDescent="0.25">
      <c r="F198" s="98" t="str">
        <f t="shared" si="2"/>
        <v/>
      </c>
    </row>
    <row r="199" spans="6:6" x14ac:dyDescent="0.25">
      <c r="F199" s="98" t="str">
        <f t="shared" si="2"/>
        <v/>
      </c>
    </row>
    <row r="200" spans="6:6" x14ac:dyDescent="0.25">
      <c r="F200" s="98" t="str">
        <f t="shared" si="2"/>
        <v/>
      </c>
    </row>
    <row r="201" spans="6:6" x14ac:dyDescent="0.25">
      <c r="F201" s="98" t="str">
        <f t="shared" si="2"/>
        <v/>
      </c>
    </row>
    <row r="202" spans="6:6" x14ac:dyDescent="0.25">
      <c r="F202" s="98" t="str">
        <f t="shared" si="2"/>
        <v/>
      </c>
    </row>
    <row r="203" spans="6:6" x14ac:dyDescent="0.25">
      <c r="F203" s="98" t="str">
        <f t="shared" si="2"/>
        <v/>
      </c>
    </row>
    <row r="204" spans="6:6" x14ac:dyDescent="0.25">
      <c r="F204" s="98" t="str">
        <f t="shared" si="2"/>
        <v/>
      </c>
    </row>
    <row r="205" spans="6:6" x14ac:dyDescent="0.25">
      <c r="F205" s="98" t="str">
        <f t="shared" si="2"/>
        <v/>
      </c>
    </row>
    <row r="206" spans="6:6" x14ac:dyDescent="0.25">
      <c r="F206" s="98" t="str">
        <f t="shared" si="2"/>
        <v/>
      </c>
    </row>
  </sheetData>
  <sheetProtection sheet="1" objects="1" scenarios="1" selectLockedCells="1"/>
  <sortState xmlns:xlrd2="http://schemas.microsoft.com/office/spreadsheetml/2017/richdata2" ref="A2:H69">
    <sortCondition descending="1" ref="A2:A200"/>
    <sortCondition ref="B2:B200"/>
    <sortCondition ref="D2:D200"/>
  </sortState>
  <mergeCells count="32">
    <mergeCell ref="D23:H23"/>
    <mergeCell ref="D28:D29"/>
    <mergeCell ref="B24:C24"/>
    <mergeCell ref="B28:B29"/>
    <mergeCell ref="A28:A29"/>
    <mergeCell ref="G28:G29"/>
    <mergeCell ref="E28:E29"/>
    <mergeCell ref="C28:C29"/>
    <mergeCell ref="F28:F29"/>
    <mergeCell ref="B22:C22"/>
    <mergeCell ref="B3:E3"/>
    <mergeCell ref="C4:H4"/>
    <mergeCell ref="G15:H15"/>
    <mergeCell ref="A5:B5"/>
    <mergeCell ref="A4:B4"/>
    <mergeCell ref="H20:H21"/>
    <mergeCell ref="A6:B6"/>
    <mergeCell ref="B17:C17"/>
    <mergeCell ref="B18:C18"/>
    <mergeCell ref="A7:B7"/>
    <mergeCell ref="G20:G21"/>
    <mergeCell ref="B20:C20"/>
    <mergeCell ref="B16:C16"/>
    <mergeCell ref="E20:F20"/>
    <mergeCell ref="B21:C21"/>
    <mergeCell ref="A13:B13"/>
    <mergeCell ref="B19:C19"/>
    <mergeCell ref="B1:D1"/>
    <mergeCell ref="A9:B9"/>
    <mergeCell ref="A8:B8"/>
    <mergeCell ref="A10:C10"/>
    <mergeCell ref="A11:C11"/>
  </mergeCell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MainSummaryFinancialsComplete">
              <controlPr defaultSize="0" print="0" autoFill="0" autoPict="0" macro="[0]!mainFinancialsDone_Click">
                <anchor moveWithCells="1" sizeWithCells="1">
                  <from>
                    <xdr:col>6</xdr:col>
                    <xdr:colOff>0</xdr:colOff>
                    <xdr:row>4</xdr:row>
                    <xdr:rowOff>19050</xdr:rowOff>
                  </from>
                  <to>
                    <xdr:col>7</xdr:col>
                    <xdr:colOff>619125</xdr:colOff>
                    <xdr:row>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setMainFinancials_Click">
                <anchor moveWithCells="1" sizeWithCells="1">
                  <from>
                    <xdr:col>3</xdr:col>
                    <xdr:colOff>781050</xdr:colOff>
                    <xdr:row>3</xdr:row>
                    <xdr:rowOff>228600</xdr:rowOff>
                  </from>
                  <to>
                    <xdr:col>5</xdr:col>
                    <xdr:colOff>209550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FinalizePayoffs">
                <anchor moveWithCells="1" sizeWithCells="1">
                  <from>
                    <xdr:col>6</xdr:col>
                    <xdr:colOff>9525</xdr:colOff>
                    <xdr:row>7</xdr:row>
                    <xdr:rowOff>28575</xdr:rowOff>
                  </from>
                  <to>
                    <xdr:col>7</xdr:col>
                    <xdr:colOff>628650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navigation_Click">
                <anchor moveWithCells="1" sizeWithCells="1">
                  <from>
                    <xdr:col>9</xdr:col>
                    <xdr:colOff>9525</xdr:colOff>
                    <xdr:row>4</xdr:row>
                    <xdr:rowOff>9525</xdr:rowOff>
                  </from>
                  <to>
                    <xdr:col>10</xdr:col>
                    <xdr:colOff>542925</xdr:colOff>
                    <xdr:row>5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474"/>
  <sheetViews>
    <sheetView workbookViewId="0">
      <selection activeCell="A11" sqref="A11"/>
    </sheetView>
  </sheetViews>
  <sheetFormatPr defaultRowHeight="15" x14ac:dyDescent="0.25"/>
  <cols>
    <col min="1" max="1" width="10.140625" style="26" customWidth="1"/>
    <col min="2" max="2" width="12.85546875" customWidth="1"/>
    <col min="3" max="3" width="8.42578125" customWidth="1"/>
    <col min="4" max="4" width="27.7109375" customWidth="1"/>
    <col min="5" max="5" width="25" customWidth="1"/>
    <col min="6" max="6" width="30" customWidth="1"/>
    <col min="7" max="7" width="12.28515625" customWidth="1"/>
  </cols>
  <sheetData>
    <row r="1" spans="1:7" x14ac:dyDescent="0.25">
      <c r="A1" s="14">
        <f>SUM(B11:B60)</f>
        <v>0</v>
      </c>
      <c r="B1" t="s">
        <v>75</v>
      </c>
    </row>
    <row r="2" spans="1:7" ht="21" x14ac:dyDescent="0.35">
      <c r="A2" s="14"/>
      <c r="D2" s="37"/>
    </row>
    <row r="3" spans="1:7" x14ac:dyDescent="0.25">
      <c r="A3" t="s">
        <v>157</v>
      </c>
      <c r="B3" s="23"/>
    </row>
    <row r="4" spans="1:7" x14ac:dyDescent="0.25">
      <c r="A4" t="s">
        <v>158</v>
      </c>
      <c r="B4" s="23"/>
    </row>
    <row r="5" spans="1:7" ht="18.75" x14ac:dyDescent="0.3">
      <c r="A5"/>
      <c r="B5" s="19"/>
      <c r="C5" s="32"/>
      <c r="D5" s="32"/>
    </row>
    <row r="6" spans="1:7" x14ac:dyDescent="0.25">
      <c r="A6" s="191" t="s">
        <v>2</v>
      </c>
      <c r="B6" s="191"/>
      <c r="C6" s="191"/>
    </row>
    <row r="7" spans="1:7" x14ac:dyDescent="0.25">
      <c r="A7"/>
      <c r="C7" s="14"/>
    </row>
    <row r="8" spans="1:7" x14ac:dyDescent="0.25">
      <c r="A8"/>
      <c r="B8" s="27">
        <f>FMFMiscExpensesTotal</f>
        <v>0</v>
      </c>
      <c r="C8" s="192" t="s">
        <v>75</v>
      </c>
      <c r="D8" s="192"/>
    </row>
    <row r="9" spans="1:7" x14ac:dyDescent="0.25">
      <c r="A9"/>
      <c r="C9" s="14"/>
    </row>
    <row r="10" spans="1:7" x14ac:dyDescent="0.25">
      <c r="A10" s="38" t="s">
        <v>76</v>
      </c>
      <c r="B10" s="39" t="s">
        <v>77</v>
      </c>
      <c r="C10" s="190" t="s">
        <v>78</v>
      </c>
      <c r="D10" s="190"/>
      <c r="E10" s="40" t="s">
        <v>93</v>
      </c>
      <c r="F10" s="41" t="s">
        <v>108</v>
      </c>
      <c r="G10" s="106" t="s">
        <v>121</v>
      </c>
    </row>
    <row r="11" spans="1:7" x14ac:dyDescent="0.25">
      <c r="A11" s="72"/>
      <c r="B11" s="73"/>
      <c r="C11" s="195"/>
      <c r="D11" s="195"/>
      <c r="E11" s="74"/>
      <c r="F11" s="74"/>
      <c r="G11" s="106"/>
    </row>
    <row r="12" spans="1:7" x14ac:dyDescent="0.25">
      <c r="A12" s="75"/>
      <c r="B12" s="76"/>
      <c r="C12" s="193"/>
      <c r="D12" s="193"/>
      <c r="E12" s="77"/>
      <c r="F12" s="77"/>
      <c r="G12" s="106"/>
    </row>
    <row r="13" spans="1:7" x14ac:dyDescent="0.25">
      <c r="A13" s="72"/>
      <c r="B13" s="73"/>
      <c r="C13" s="195"/>
      <c r="D13" s="195"/>
      <c r="E13" s="74"/>
      <c r="F13" s="74"/>
      <c r="G13" s="106"/>
    </row>
    <row r="14" spans="1:7" x14ac:dyDescent="0.25">
      <c r="A14" s="72"/>
      <c r="B14" s="73"/>
      <c r="C14" s="195"/>
      <c r="D14" s="195"/>
      <c r="E14" s="74"/>
      <c r="F14" s="74"/>
      <c r="G14" s="106"/>
    </row>
    <row r="15" spans="1:7" x14ac:dyDescent="0.25">
      <c r="A15" s="75"/>
      <c r="B15" s="76"/>
      <c r="C15" s="193"/>
      <c r="D15" s="194"/>
      <c r="E15" s="77"/>
      <c r="F15" s="77"/>
      <c r="G15" s="106"/>
    </row>
    <row r="16" spans="1:7" x14ac:dyDescent="0.25">
      <c r="A16" s="75"/>
      <c r="B16" s="76"/>
      <c r="C16" s="193"/>
      <c r="D16" s="193"/>
      <c r="E16" s="77"/>
      <c r="F16" s="77"/>
      <c r="G16" s="106"/>
    </row>
    <row r="17" spans="1:7" x14ac:dyDescent="0.25">
      <c r="A17" s="72"/>
      <c r="B17" s="73"/>
      <c r="C17" s="195"/>
      <c r="D17" s="195"/>
      <c r="E17" s="74"/>
      <c r="F17" s="74"/>
      <c r="G17" s="106"/>
    </row>
    <row r="18" spans="1:7" x14ac:dyDescent="0.25">
      <c r="A18" s="72"/>
      <c r="B18" s="73"/>
      <c r="C18" s="195"/>
      <c r="D18" s="195"/>
      <c r="E18" s="74"/>
      <c r="F18" s="74"/>
      <c r="G18" s="106"/>
    </row>
    <row r="19" spans="1:7" x14ac:dyDescent="0.25">
      <c r="A19" s="75"/>
      <c r="B19" s="76"/>
      <c r="C19" s="189"/>
      <c r="D19" s="189"/>
      <c r="E19" s="77"/>
      <c r="F19" s="77"/>
      <c r="G19" s="106"/>
    </row>
    <row r="20" spans="1:7" x14ac:dyDescent="0.25">
      <c r="A20" s="72"/>
      <c r="B20" s="73"/>
      <c r="C20" s="188"/>
      <c r="D20" s="188"/>
      <c r="E20" s="74"/>
      <c r="F20" s="74"/>
      <c r="G20" s="106"/>
    </row>
    <row r="21" spans="1:7" x14ac:dyDescent="0.25">
      <c r="A21" s="72"/>
      <c r="B21" s="73"/>
      <c r="C21" s="188"/>
      <c r="D21" s="188"/>
      <c r="E21" s="74"/>
      <c r="F21" s="74"/>
      <c r="G21" s="106"/>
    </row>
    <row r="22" spans="1:7" x14ac:dyDescent="0.25">
      <c r="A22" s="72"/>
      <c r="B22" s="73"/>
      <c r="C22" s="188"/>
      <c r="D22" s="188"/>
      <c r="E22" s="74"/>
      <c r="F22" s="74"/>
      <c r="G22" s="106"/>
    </row>
    <row r="23" spans="1:7" x14ac:dyDescent="0.25">
      <c r="A23" s="72"/>
      <c r="B23" s="73"/>
      <c r="C23" s="188"/>
      <c r="D23" s="188"/>
      <c r="E23" s="74"/>
      <c r="F23" s="74"/>
      <c r="G23" s="106"/>
    </row>
    <row r="24" spans="1:7" x14ac:dyDescent="0.25">
      <c r="A24" s="72"/>
      <c r="B24" s="73"/>
      <c r="C24" s="188"/>
      <c r="D24" s="188"/>
      <c r="E24" s="74"/>
      <c r="F24" s="74"/>
      <c r="G24" s="106"/>
    </row>
    <row r="25" spans="1:7" x14ac:dyDescent="0.25">
      <c r="A25" s="72"/>
      <c r="B25" s="73"/>
      <c r="C25" s="188"/>
      <c r="D25" s="188"/>
      <c r="E25" s="74"/>
      <c r="F25" s="74"/>
      <c r="G25" s="106"/>
    </row>
    <row r="26" spans="1:7" x14ac:dyDescent="0.25">
      <c r="A26" s="75"/>
      <c r="B26" s="76"/>
      <c r="C26" s="189"/>
      <c r="D26" s="189"/>
      <c r="E26" s="77"/>
      <c r="F26" s="77"/>
      <c r="G26" s="106"/>
    </row>
    <row r="27" spans="1:7" x14ac:dyDescent="0.25">
      <c r="A27" s="72"/>
      <c r="B27" s="73"/>
      <c r="C27" s="188"/>
      <c r="D27" s="188"/>
      <c r="E27" s="74"/>
      <c r="F27" s="74"/>
      <c r="G27" s="106"/>
    </row>
    <row r="28" spans="1:7" x14ac:dyDescent="0.25">
      <c r="A28" s="72"/>
      <c r="B28" s="73"/>
      <c r="C28" s="188"/>
      <c r="D28" s="188"/>
      <c r="E28" s="74"/>
      <c r="F28" s="74"/>
      <c r="G28" s="106"/>
    </row>
    <row r="29" spans="1:7" x14ac:dyDescent="0.25">
      <c r="A29" s="72"/>
      <c r="B29" s="73"/>
      <c r="C29" s="188"/>
      <c r="D29" s="188"/>
      <c r="E29" s="74"/>
      <c r="F29" s="74"/>
      <c r="G29" s="106"/>
    </row>
    <row r="30" spans="1:7" x14ac:dyDescent="0.25">
      <c r="A30" s="72"/>
      <c r="B30" s="73"/>
      <c r="C30" s="188"/>
      <c r="D30" s="188"/>
      <c r="E30" s="74"/>
      <c r="F30" s="74"/>
      <c r="G30" s="106"/>
    </row>
    <row r="31" spans="1:7" x14ac:dyDescent="0.25">
      <c r="A31" s="72"/>
      <c r="B31" s="73"/>
      <c r="C31" s="188"/>
      <c r="D31" s="188"/>
      <c r="E31" s="74"/>
      <c r="F31" s="74"/>
      <c r="G31" s="106"/>
    </row>
    <row r="32" spans="1:7" x14ac:dyDescent="0.25">
      <c r="A32" s="72"/>
      <c r="B32" s="73"/>
      <c r="C32" s="188"/>
      <c r="D32" s="188"/>
      <c r="E32" s="74"/>
      <c r="F32" s="74"/>
      <c r="G32" s="106"/>
    </row>
    <row r="33" spans="1:7" x14ac:dyDescent="0.25">
      <c r="A33" s="72"/>
      <c r="B33" s="73"/>
      <c r="C33" s="188"/>
      <c r="D33" s="188"/>
      <c r="E33" s="74"/>
      <c r="F33" s="74"/>
      <c r="G33" s="106"/>
    </row>
    <row r="34" spans="1:7" x14ac:dyDescent="0.25">
      <c r="A34" s="72"/>
      <c r="B34" s="73"/>
      <c r="C34" s="188"/>
      <c r="D34" s="188"/>
      <c r="E34" s="74"/>
      <c r="F34" s="74"/>
      <c r="G34" s="106"/>
    </row>
    <row r="35" spans="1:7" x14ac:dyDescent="0.25">
      <c r="A35" s="72"/>
      <c r="B35" s="73"/>
      <c r="C35" s="188"/>
      <c r="D35" s="188"/>
      <c r="E35" s="74"/>
      <c r="F35" s="74"/>
      <c r="G35" s="106"/>
    </row>
    <row r="36" spans="1:7" x14ac:dyDescent="0.25">
      <c r="A36" s="72"/>
      <c r="B36" s="73"/>
      <c r="C36" s="188"/>
      <c r="D36" s="188"/>
      <c r="E36" s="74"/>
      <c r="F36" s="74"/>
      <c r="G36" s="106"/>
    </row>
    <row r="37" spans="1:7" x14ac:dyDescent="0.25">
      <c r="A37" s="72"/>
      <c r="B37" s="73"/>
      <c r="C37" s="188"/>
      <c r="D37" s="188"/>
      <c r="E37" s="74"/>
      <c r="F37" s="74"/>
      <c r="G37" s="106"/>
    </row>
    <row r="38" spans="1:7" x14ac:dyDescent="0.25">
      <c r="A38" s="72"/>
      <c r="B38" s="73"/>
      <c r="C38" s="188"/>
      <c r="D38" s="188"/>
      <c r="E38" s="74"/>
      <c r="F38" s="74"/>
      <c r="G38" s="106"/>
    </row>
    <row r="39" spans="1:7" x14ac:dyDescent="0.25">
      <c r="A39" s="72"/>
      <c r="B39" s="73"/>
      <c r="C39" s="188"/>
      <c r="D39" s="188"/>
      <c r="E39" s="74"/>
      <c r="F39" s="74"/>
      <c r="G39" s="106"/>
    </row>
    <row r="40" spans="1:7" x14ac:dyDescent="0.25">
      <c r="A40" s="72"/>
      <c r="B40" s="73"/>
      <c r="C40" s="188"/>
      <c r="D40" s="188"/>
      <c r="E40" s="74"/>
      <c r="F40" s="74"/>
      <c r="G40" s="106"/>
    </row>
    <row r="41" spans="1:7" x14ac:dyDescent="0.25">
      <c r="A41" s="72"/>
      <c r="B41" s="73"/>
      <c r="C41" s="188"/>
      <c r="D41" s="188"/>
      <c r="E41" s="74"/>
      <c r="F41" s="74"/>
      <c r="G41" s="106"/>
    </row>
    <row r="42" spans="1:7" x14ac:dyDescent="0.25">
      <c r="A42" s="72"/>
      <c r="B42" s="73"/>
      <c r="C42" s="188"/>
      <c r="D42" s="188"/>
      <c r="E42" s="74"/>
      <c r="F42" s="74"/>
      <c r="G42" s="106"/>
    </row>
    <row r="43" spans="1:7" x14ac:dyDescent="0.25">
      <c r="A43" s="72"/>
      <c r="B43" s="73"/>
      <c r="C43" s="188"/>
      <c r="D43" s="188"/>
      <c r="E43" s="74"/>
      <c r="F43" s="74"/>
      <c r="G43" s="106"/>
    </row>
    <row r="44" spans="1:7" x14ac:dyDescent="0.25">
      <c r="A44" s="72"/>
      <c r="B44" s="73"/>
      <c r="C44" s="188"/>
      <c r="D44" s="188"/>
      <c r="E44" s="74"/>
      <c r="F44" s="74"/>
      <c r="G44" s="106"/>
    </row>
    <row r="45" spans="1:7" x14ac:dyDescent="0.25">
      <c r="A45" s="72"/>
      <c r="B45" s="73"/>
      <c r="C45" s="188"/>
      <c r="D45" s="188"/>
      <c r="E45" s="74"/>
      <c r="F45" s="74"/>
      <c r="G45" s="106"/>
    </row>
    <row r="46" spans="1:7" x14ac:dyDescent="0.25">
      <c r="A46" s="72"/>
      <c r="B46" s="73"/>
      <c r="C46" s="188"/>
      <c r="D46" s="188"/>
      <c r="E46" s="74"/>
      <c r="F46" s="74"/>
      <c r="G46" s="106"/>
    </row>
    <row r="47" spans="1:7" x14ac:dyDescent="0.25">
      <c r="A47" s="72"/>
      <c r="B47" s="73"/>
      <c r="C47" s="188"/>
      <c r="D47" s="188"/>
      <c r="E47" s="74"/>
      <c r="F47" s="74"/>
      <c r="G47" s="106"/>
    </row>
    <row r="48" spans="1:7" x14ac:dyDescent="0.25">
      <c r="A48" s="72"/>
      <c r="B48" s="73"/>
      <c r="C48" s="188"/>
      <c r="D48" s="188"/>
      <c r="E48" s="74"/>
      <c r="F48" s="74"/>
      <c r="G48" s="106"/>
    </row>
    <row r="49" spans="1:7" x14ac:dyDescent="0.25">
      <c r="A49" s="72"/>
      <c r="B49" s="73"/>
      <c r="C49" s="188"/>
      <c r="D49" s="188"/>
      <c r="E49" s="74"/>
      <c r="F49" s="74"/>
      <c r="G49" s="106"/>
    </row>
    <row r="50" spans="1:7" x14ac:dyDescent="0.25">
      <c r="A50" s="72"/>
      <c r="B50" s="73"/>
      <c r="C50" s="188"/>
      <c r="D50" s="188"/>
      <c r="E50" s="74"/>
      <c r="F50" s="74"/>
      <c r="G50" s="106"/>
    </row>
    <row r="51" spans="1:7" x14ac:dyDescent="0.25">
      <c r="A51" s="72"/>
      <c r="B51" s="73"/>
      <c r="C51" s="188"/>
      <c r="D51" s="188"/>
      <c r="E51" s="74"/>
      <c r="F51" s="74"/>
      <c r="G51" s="106"/>
    </row>
    <row r="52" spans="1:7" x14ac:dyDescent="0.25">
      <c r="A52" s="72"/>
      <c r="B52" s="73"/>
      <c r="C52" s="188"/>
      <c r="D52" s="188"/>
      <c r="E52" s="74"/>
      <c r="F52" s="74"/>
      <c r="G52" s="106"/>
    </row>
    <row r="53" spans="1:7" x14ac:dyDescent="0.25">
      <c r="A53" s="72"/>
      <c r="B53" s="73"/>
      <c r="C53" s="188"/>
      <c r="D53" s="188"/>
      <c r="E53" s="74"/>
      <c r="F53" s="74"/>
      <c r="G53" s="106"/>
    </row>
    <row r="54" spans="1:7" x14ac:dyDescent="0.25">
      <c r="A54" s="72"/>
      <c r="B54" s="73"/>
      <c r="C54" s="188"/>
      <c r="D54" s="188"/>
      <c r="E54" s="74"/>
      <c r="F54" s="74"/>
      <c r="G54" s="106"/>
    </row>
    <row r="55" spans="1:7" x14ac:dyDescent="0.25">
      <c r="A55" s="72"/>
      <c r="B55" s="73"/>
      <c r="C55" s="188"/>
      <c r="D55" s="188"/>
      <c r="E55" s="74"/>
      <c r="F55" s="74"/>
      <c r="G55" s="106"/>
    </row>
    <row r="56" spans="1:7" x14ac:dyDescent="0.25">
      <c r="A56" s="72"/>
      <c r="B56" s="73"/>
      <c r="C56" s="188"/>
      <c r="D56" s="188"/>
      <c r="E56" s="74"/>
      <c r="F56" s="74"/>
      <c r="G56" s="106"/>
    </row>
    <row r="57" spans="1:7" x14ac:dyDescent="0.25">
      <c r="A57" s="72"/>
      <c r="B57" s="73"/>
      <c r="C57" s="188"/>
      <c r="D57" s="188"/>
      <c r="E57" s="74"/>
      <c r="F57" s="74"/>
      <c r="G57" s="106"/>
    </row>
    <row r="58" spans="1:7" x14ac:dyDescent="0.25">
      <c r="A58" s="72"/>
      <c r="B58" s="73"/>
      <c r="C58" s="188"/>
      <c r="D58" s="188"/>
      <c r="E58" s="74"/>
      <c r="F58" s="74"/>
      <c r="G58" s="106"/>
    </row>
    <row r="59" spans="1:7" x14ac:dyDescent="0.25">
      <c r="A59" s="72"/>
      <c r="B59" s="73"/>
      <c r="C59" s="188"/>
      <c r="D59" s="188"/>
      <c r="E59" s="74"/>
      <c r="F59" s="74"/>
      <c r="G59" s="106"/>
    </row>
    <row r="60" spans="1:7" x14ac:dyDescent="0.25">
      <c r="A60" s="72"/>
      <c r="B60" s="73"/>
      <c r="C60" s="188"/>
      <c r="D60" s="188"/>
      <c r="E60" s="74"/>
      <c r="F60" s="74"/>
      <c r="G60" s="106"/>
    </row>
    <row r="61" spans="1:7" x14ac:dyDescent="0.25">
      <c r="A61" s="116"/>
      <c r="B61" s="117"/>
      <c r="C61" s="187"/>
      <c r="D61" s="187"/>
      <c r="E61" s="118"/>
      <c r="F61" s="118"/>
    </row>
    <row r="62" spans="1:7" x14ac:dyDescent="0.25">
      <c r="A62" s="116"/>
      <c r="B62" s="117"/>
      <c r="C62" s="187"/>
      <c r="D62" s="187"/>
      <c r="E62" s="118"/>
      <c r="F62" s="118"/>
    </row>
    <row r="63" spans="1:7" x14ac:dyDescent="0.25">
      <c r="A63" s="116"/>
      <c r="B63" s="117"/>
      <c r="C63" s="187"/>
      <c r="D63" s="187"/>
      <c r="E63" s="118"/>
      <c r="F63" s="118"/>
    </row>
    <row r="64" spans="1:7" x14ac:dyDescent="0.25">
      <c r="A64" s="116"/>
      <c r="B64" s="117"/>
      <c r="C64" s="187"/>
      <c r="D64" s="187"/>
      <c r="E64" s="118"/>
      <c r="F64" s="118"/>
    </row>
    <row r="65" spans="1:6" x14ac:dyDescent="0.25">
      <c r="A65" s="116"/>
      <c r="B65" s="117"/>
      <c r="C65" s="187"/>
      <c r="D65" s="187"/>
      <c r="E65" s="118"/>
      <c r="F65" s="118"/>
    </row>
    <row r="66" spans="1:6" x14ac:dyDescent="0.25">
      <c r="A66" s="116"/>
      <c r="B66" s="117"/>
      <c r="C66" s="187"/>
      <c r="D66" s="187"/>
      <c r="E66" s="118"/>
      <c r="F66" s="118"/>
    </row>
    <row r="67" spans="1:6" x14ac:dyDescent="0.25">
      <c r="A67" s="116"/>
      <c r="B67" s="117"/>
      <c r="C67" s="187"/>
      <c r="D67" s="187"/>
      <c r="E67" s="118"/>
      <c r="F67" s="118"/>
    </row>
    <row r="68" spans="1:6" x14ac:dyDescent="0.25">
      <c r="A68" s="116"/>
      <c r="B68" s="117"/>
      <c r="C68" s="187"/>
      <c r="D68" s="187"/>
      <c r="E68" s="118"/>
      <c r="F68" s="118"/>
    </row>
    <row r="69" spans="1:6" x14ac:dyDescent="0.25">
      <c r="A69" s="116"/>
      <c r="B69" s="117"/>
      <c r="C69" s="187"/>
      <c r="D69" s="187"/>
      <c r="E69" s="118"/>
      <c r="F69" s="118"/>
    </row>
    <row r="70" spans="1:6" x14ac:dyDescent="0.25">
      <c r="A70" s="116"/>
      <c r="B70" s="117"/>
      <c r="C70" s="187"/>
      <c r="D70" s="187"/>
      <c r="E70" s="118"/>
      <c r="F70" s="118"/>
    </row>
    <row r="71" spans="1:6" x14ac:dyDescent="0.25">
      <c r="A71" s="116"/>
      <c r="B71" s="117"/>
      <c r="C71" s="187"/>
      <c r="D71" s="187"/>
      <c r="E71" s="118"/>
      <c r="F71" s="118"/>
    </row>
    <row r="72" spans="1:6" x14ac:dyDescent="0.25">
      <c r="A72" s="116"/>
      <c r="B72" s="117"/>
      <c r="C72" s="187"/>
      <c r="D72" s="187"/>
      <c r="E72" s="118"/>
      <c r="F72" s="118"/>
    </row>
    <row r="73" spans="1:6" x14ac:dyDescent="0.25">
      <c r="A73" s="116"/>
      <c r="B73" s="117"/>
      <c r="C73" s="187"/>
      <c r="D73" s="187"/>
      <c r="E73" s="118"/>
      <c r="F73" s="118"/>
    </row>
    <row r="74" spans="1:6" x14ac:dyDescent="0.25">
      <c r="A74" s="116"/>
      <c r="B74" s="117"/>
      <c r="C74" s="187"/>
      <c r="D74" s="187"/>
      <c r="E74" s="118"/>
      <c r="F74" s="118"/>
    </row>
    <row r="75" spans="1:6" x14ac:dyDescent="0.25">
      <c r="A75" s="116"/>
      <c r="B75" s="117"/>
      <c r="C75" s="187"/>
      <c r="D75" s="187"/>
      <c r="E75" s="118"/>
      <c r="F75" s="118"/>
    </row>
    <row r="76" spans="1:6" x14ac:dyDescent="0.25">
      <c r="A76" s="116"/>
      <c r="B76" s="117"/>
      <c r="C76" s="187"/>
      <c r="D76" s="187"/>
      <c r="E76" s="118"/>
      <c r="F76" s="118"/>
    </row>
    <row r="77" spans="1:6" x14ac:dyDescent="0.25">
      <c r="A77" s="116"/>
      <c r="B77" s="117"/>
      <c r="C77" s="187"/>
      <c r="D77" s="187"/>
      <c r="E77" s="118"/>
      <c r="F77" s="118"/>
    </row>
    <row r="78" spans="1:6" x14ac:dyDescent="0.25">
      <c r="A78" s="116"/>
      <c r="B78" s="117"/>
      <c r="C78" s="187"/>
      <c r="D78" s="187"/>
      <c r="E78" s="118"/>
      <c r="F78" s="118"/>
    </row>
    <row r="79" spans="1:6" x14ac:dyDescent="0.25">
      <c r="A79" s="116"/>
      <c r="B79" s="117"/>
      <c r="C79" s="187"/>
      <c r="D79" s="187"/>
      <c r="E79" s="118"/>
      <c r="F79" s="118"/>
    </row>
    <row r="80" spans="1:6" x14ac:dyDescent="0.25">
      <c r="A80" s="116"/>
      <c r="B80" s="117"/>
      <c r="C80" s="187"/>
      <c r="D80" s="187"/>
      <c r="E80" s="118"/>
      <c r="F80" s="118"/>
    </row>
    <row r="81" spans="1:6" x14ac:dyDescent="0.25">
      <c r="A81" s="116"/>
      <c r="B81" s="117"/>
      <c r="C81" s="187"/>
      <c r="D81" s="187"/>
      <c r="E81" s="118"/>
      <c r="F81" s="118"/>
    </row>
    <row r="82" spans="1:6" x14ac:dyDescent="0.25">
      <c r="A82" s="116"/>
      <c r="B82" s="117"/>
      <c r="C82" s="187"/>
      <c r="D82" s="187"/>
      <c r="E82" s="118"/>
      <c r="F82" s="118"/>
    </row>
    <row r="83" spans="1:6" x14ac:dyDescent="0.25">
      <c r="A83" s="116"/>
      <c r="B83" s="117"/>
      <c r="C83" s="187"/>
      <c r="D83" s="187"/>
      <c r="E83" s="118"/>
      <c r="F83" s="118"/>
    </row>
    <row r="84" spans="1:6" x14ac:dyDescent="0.25">
      <c r="A84" s="116"/>
      <c r="B84" s="117"/>
      <c r="C84" s="187"/>
      <c r="D84" s="187"/>
      <c r="E84" s="118"/>
      <c r="F84" s="118"/>
    </row>
    <row r="85" spans="1:6" x14ac:dyDescent="0.25">
      <c r="A85" s="116"/>
      <c r="B85" s="117"/>
      <c r="C85" s="187"/>
      <c r="D85" s="187"/>
      <c r="E85" s="118"/>
      <c r="F85" s="118"/>
    </row>
    <row r="86" spans="1:6" x14ac:dyDescent="0.25">
      <c r="A86" s="116"/>
      <c r="B86" s="117"/>
      <c r="C86" s="187"/>
      <c r="D86" s="187"/>
      <c r="E86" s="118"/>
      <c r="F86" s="118"/>
    </row>
    <row r="87" spans="1:6" x14ac:dyDescent="0.25">
      <c r="A87" s="116"/>
      <c r="B87" s="117"/>
      <c r="C87" s="187"/>
      <c r="D87" s="187"/>
      <c r="E87" s="118"/>
      <c r="F87" s="118"/>
    </row>
    <row r="88" spans="1:6" x14ac:dyDescent="0.25">
      <c r="A88" s="116"/>
      <c r="B88" s="117"/>
      <c r="C88" s="187"/>
      <c r="D88" s="187"/>
      <c r="E88" s="118"/>
      <c r="F88" s="118"/>
    </row>
    <row r="89" spans="1:6" x14ac:dyDescent="0.25">
      <c r="A89" s="116"/>
      <c r="B89" s="117"/>
      <c r="C89" s="187"/>
      <c r="D89" s="187"/>
      <c r="E89" s="118"/>
      <c r="F89" s="118"/>
    </row>
    <row r="90" spans="1:6" x14ac:dyDescent="0.25">
      <c r="A90" s="116"/>
      <c r="B90" s="117"/>
      <c r="C90" s="187"/>
      <c r="D90" s="187"/>
      <c r="E90" s="118"/>
      <c r="F90" s="118"/>
    </row>
    <row r="91" spans="1:6" x14ac:dyDescent="0.25">
      <c r="A91" s="116"/>
      <c r="B91" s="117"/>
      <c r="C91" s="187"/>
      <c r="D91" s="187"/>
      <c r="E91" s="118"/>
      <c r="F91" s="118"/>
    </row>
    <row r="92" spans="1:6" x14ac:dyDescent="0.25">
      <c r="A92" s="116"/>
      <c r="B92" s="117"/>
      <c r="C92" s="187"/>
      <c r="D92" s="187"/>
      <c r="E92" s="118"/>
      <c r="F92" s="118"/>
    </row>
    <row r="93" spans="1:6" x14ac:dyDescent="0.25">
      <c r="A93" s="116"/>
      <c r="B93" s="117"/>
      <c r="C93" s="187"/>
      <c r="D93" s="187"/>
      <c r="E93" s="118"/>
      <c r="F93" s="118"/>
    </row>
    <row r="94" spans="1:6" x14ac:dyDescent="0.25">
      <c r="A94" s="116"/>
      <c r="B94" s="117"/>
      <c r="C94" s="187"/>
      <c r="D94" s="187"/>
      <c r="E94" s="118"/>
      <c r="F94" s="118"/>
    </row>
    <row r="95" spans="1:6" x14ac:dyDescent="0.25">
      <c r="A95" s="116"/>
      <c r="B95" s="117"/>
      <c r="C95" s="187"/>
      <c r="D95" s="187"/>
      <c r="E95" s="118"/>
      <c r="F95" s="118"/>
    </row>
    <row r="96" spans="1:6" x14ac:dyDescent="0.25">
      <c r="A96" s="116"/>
      <c r="B96" s="117"/>
      <c r="C96" s="187"/>
      <c r="D96" s="187"/>
      <c r="E96" s="118"/>
      <c r="F96" s="118"/>
    </row>
    <row r="97" spans="1:6" x14ac:dyDescent="0.25">
      <c r="A97" s="116"/>
      <c r="B97" s="117"/>
      <c r="C97" s="187"/>
      <c r="D97" s="187"/>
      <c r="E97" s="118"/>
      <c r="F97" s="118"/>
    </row>
    <row r="98" spans="1:6" x14ac:dyDescent="0.25">
      <c r="A98" s="116"/>
      <c r="B98" s="117"/>
      <c r="C98" s="187"/>
      <c r="D98" s="187"/>
      <c r="E98" s="118"/>
      <c r="F98" s="118"/>
    </row>
    <row r="99" spans="1:6" x14ac:dyDescent="0.25">
      <c r="A99" s="116"/>
      <c r="B99" s="117"/>
      <c r="C99" s="187"/>
      <c r="D99" s="187"/>
      <c r="E99" s="118"/>
      <c r="F99" s="118"/>
    </row>
    <row r="100" spans="1:6" x14ac:dyDescent="0.25">
      <c r="A100" s="116"/>
      <c r="B100" s="117"/>
      <c r="C100" s="187"/>
      <c r="D100" s="187"/>
      <c r="E100" s="118"/>
      <c r="F100" s="118"/>
    </row>
    <row r="101" spans="1:6" x14ac:dyDescent="0.25">
      <c r="A101" s="116"/>
      <c r="B101" s="117"/>
      <c r="C101" s="187"/>
      <c r="D101" s="187"/>
      <c r="E101" s="118"/>
      <c r="F101" s="118"/>
    </row>
    <row r="102" spans="1:6" x14ac:dyDescent="0.25">
      <c r="A102" s="116"/>
      <c r="B102" s="117"/>
      <c r="C102" s="187"/>
      <c r="D102" s="187"/>
      <c r="E102" s="118"/>
      <c r="F102" s="118"/>
    </row>
    <row r="103" spans="1:6" x14ac:dyDescent="0.25">
      <c r="A103" s="116"/>
      <c r="B103" s="117"/>
      <c r="C103" s="187"/>
      <c r="D103" s="187"/>
      <c r="E103" s="118"/>
      <c r="F103" s="118"/>
    </row>
    <row r="104" spans="1:6" x14ac:dyDescent="0.25">
      <c r="A104" s="116"/>
      <c r="B104" s="117"/>
      <c r="C104" s="187"/>
      <c r="D104" s="187"/>
      <c r="E104" s="118"/>
      <c r="F104" s="118"/>
    </row>
    <row r="105" spans="1:6" x14ac:dyDescent="0.25">
      <c r="A105" s="116"/>
      <c r="B105" s="117"/>
      <c r="C105" s="187"/>
      <c r="D105" s="187"/>
      <c r="E105" s="118"/>
      <c r="F105" s="118"/>
    </row>
    <row r="106" spans="1:6" x14ac:dyDescent="0.25">
      <c r="A106" s="116"/>
      <c r="B106" s="117"/>
      <c r="C106" s="187"/>
      <c r="D106" s="187"/>
      <c r="E106" s="118"/>
      <c r="F106" s="118"/>
    </row>
    <row r="107" spans="1:6" x14ac:dyDescent="0.25">
      <c r="A107" s="116"/>
      <c r="B107" s="117"/>
      <c r="C107" s="187"/>
      <c r="D107" s="187"/>
      <c r="E107" s="118"/>
      <c r="F107" s="118"/>
    </row>
    <row r="108" spans="1:6" x14ac:dyDescent="0.25">
      <c r="A108" s="116"/>
      <c r="B108" s="117"/>
      <c r="C108" s="187"/>
      <c r="D108" s="187"/>
      <c r="E108" s="118"/>
      <c r="F108" s="118"/>
    </row>
    <row r="109" spans="1:6" x14ac:dyDescent="0.25">
      <c r="A109" s="116"/>
      <c r="B109" s="117"/>
      <c r="C109" s="187"/>
      <c r="D109" s="187"/>
      <c r="E109" s="118"/>
      <c r="F109" s="118"/>
    </row>
    <row r="110" spans="1:6" x14ac:dyDescent="0.25">
      <c r="A110" s="116"/>
      <c r="B110" s="117"/>
      <c r="C110" s="187"/>
      <c r="D110" s="187"/>
      <c r="E110" s="118"/>
      <c r="F110" s="118"/>
    </row>
    <row r="111" spans="1:6" x14ac:dyDescent="0.25">
      <c r="A111" s="116"/>
      <c r="B111" s="117"/>
      <c r="C111" s="187"/>
      <c r="D111" s="187"/>
      <c r="E111" s="118"/>
      <c r="F111" s="118"/>
    </row>
    <row r="112" spans="1:6" x14ac:dyDescent="0.25">
      <c r="A112" s="116"/>
      <c r="B112" s="117"/>
      <c r="C112" s="187"/>
      <c r="D112" s="187"/>
      <c r="E112" s="118"/>
      <c r="F112" s="118"/>
    </row>
    <row r="113" spans="1:6" x14ac:dyDescent="0.25">
      <c r="A113" s="116"/>
      <c r="B113" s="117"/>
      <c r="C113" s="187"/>
      <c r="D113" s="187"/>
      <c r="E113" s="118"/>
      <c r="F113" s="118"/>
    </row>
    <row r="114" spans="1:6" x14ac:dyDescent="0.25">
      <c r="A114" s="116"/>
      <c r="B114" s="117"/>
      <c r="C114" s="187"/>
      <c r="D114" s="187"/>
      <c r="E114" s="118"/>
      <c r="F114" s="118"/>
    </row>
    <row r="115" spans="1:6" x14ac:dyDescent="0.25">
      <c r="A115" s="116"/>
      <c r="B115" s="117"/>
      <c r="C115" s="187"/>
      <c r="D115" s="187"/>
      <c r="E115" s="118"/>
      <c r="F115" s="118"/>
    </row>
    <row r="116" spans="1:6" x14ac:dyDescent="0.25">
      <c r="A116" s="116"/>
      <c r="B116" s="117"/>
      <c r="C116" s="187"/>
      <c r="D116" s="187"/>
      <c r="E116" s="118"/>
      <c r="F116" s="118"/>
    </row>
    <row r="117" spans="1:6" x14ac:dyDescent="0.25">
      <c r="A117" s="116"/>
      <c r="B117" s="117"/>
      <c r="C117" s="187"/>
      <c r="D117" s="187"/>
      <c r="E117" s="118"/>
      <c r="F117" s="118"/>
    </row>
    <row r="118" spans="1:6" x14ac:dyDescent="0.25">
      <c r="A118" s="116"/>
      <c r="B118" s="117"/>
      <c r="C118" s="187"/>
      <c r="D118" s="187"/>
      <c r="E118" s="118"/>
      <c r="F118" s="118"/>
    </row>
    <row r="119" spans="1:6" x14ac:dyDescent="0.25">
      <c r="A119" s="116"/>
      <c r="B119" s="117"/>
      <c r="C119" s="187"/>
      <c r="D119" s="187"/>
      <c r="E119" s="118"/>
      <c r="F119" s="118"/>
    </row>
    <row r="120" spans="1:6" x14ac:dyDescent="0.25">
      <c r="A120" s="116"/>
      <c r="B120" s="117"/>
      <c r="C120" s="187"/>
      <c r="D120" s="187"/>
      <c r="E120" s="118"/>
      <c r="F120" s="118"/>
    </row>
    <row r="121" spans="1:6" x14ac:dyDescent="0.25">
      <c r="A121" s="116"/>
      <c r="B121" s="117"/>
      <c r="C121" s="187"/>
      <c r="D121" s="187"/>
      <c r="E121" s="118"/>
      <c r="F121" s="118"/>
    </row>
    <row r="122" spans="1:6" x14ac:dyDescent="0.25">
      <c r="A122" s="116"/>
      <c r="B122" s="117"/>
      <c r="C122" s="187"/>
      <c r="D122" s="187"/>
      <c r="E122" s="118"/>
      <c r="F122" s="118"/>
    </row>
    <row r="123" spans="1:6" x14ac:dyDescent="0.25">
      <c r="A123" s="116"/>
      <c r="B123" s="117"/>
      <c r="C123" s="187"/>
      <c r="D123" s="187"/>
      <c r="E123" s="118"/>
      <c r="F123" s="118"/>
    </row>
    <row r="124" spans="1:6" x14ac:dyDescent="0.25">
      <c r="A124" s="116"/>
      <c r="B124" s="117"/>
      <c r="C124" s="187"/>
      <c r="D124" s="187"/>
      <c r="E124" s="118"/>
      <c r="F124" s="118"/>
    </row>
    <row r="125" spans="1:6" x14ac:dyDescent="0.25">
      <c r="A125" s="116"/>
      <c r="B125" s="117"/>
      <c r="C125" s="187"/>
      <c r="D125" s="187"/>
      <c r="E125" s="118"/>
      <c r="F125" s="118"/>
    </row>
    <row r="126" spans="1:6" x14ac:dyDescent="0.25">
      <c r="A126" s="116"/>
      <c r="B126" s="117"/>
      <c r="C126" s="187"/>
      <c r="D126" s="187"/>
      <c r="E126" s="118"/>
      <c r="F126" s="118"/>
    </row>
    <row r="127" spans="1:6" x14ac:dyDescent="0.25">
      <c r="A127" s="116"/>
      <c r="B127" s="117"/>
      <c r="C127" s="187"/>
      <c r="D127" s="187"/>
      <c r="E127" s="118"/>
      <c r="F127" s="118"/>
    </row>
    <row r="128" spans="1:6" x14ac:dyDescent="0.25">
      <c r="A128" s="116"/>
      <c r="B128" s="117"/>
      <c r="C128" s="187"/>
      <c r="D128" s="187"/>
      <c r="E128" s="118"/>
      <c r="F128" s="118"/>
    </row>
    <row r="129" spans="1:6" x14ac:dyDescent="0.25">
      <c r="A129" s="116"/>
      <c r="B129" s="117"/>
      <c r="C129" s="187"/>
      <c r="D129" s="187"/>
      <c r="E129" s="118"/>
      <c r="F129" s="118"/>
    </row>
    <row r="130" spans="1:6" x14ac:dyDescent="0.25">
      <c r="A130" s="116"/>
      <c r="B130" s="117"/>
      <c r="C130" s="187"/>
      <c r="D130" s="187"/>
      <c r="E130" s="118"/>
      <c r="F130" s="118"/>
    </row>
    <row r="131" spans="1:6" x14ac:dyDescent="0.25">
      <c r="A131" s="116"/>
      <c r="B131" s="117"/>
      <c r="C131" s="187"/>
      <c r="D131" s="187"/>
      <c r="E131" s="118"/>
      <c r="F131" s="118"/>
    </row>
    <row r="132" spans="1:6" x14ac:dyDescent="0.25">
      <c r="A132" s="116"/>
      <c r="B132" s="117"/>
      <c r="C132" s="187"/>
      <c r="D132" s="187"/>
      <c r="E132" s="118"/>
      <c r="F132" s="118"/>
    </row>
    <row r="133" spans="1:6" x14ac:dyDescent="0.25">
      <c r="A133" s="116"/>
      <c r="B133" s="117"/>
      <c r="C133" s="187"/>
      <c r="D133" s="187"/>
      <c r="E133" s="118"/>
      <c r="F133" s="118"/>
    </row>
    <row r="134" spans="1:6" x14ac:dyDescent="0.25">
      <c r="A134" s="116"/>
      <c r="B134" s="117"/>
      <c r="C134" s="187"/>
      <c r="D134" s="187"/>
      <c r="E134" s="118"/>
      <c r="F134" s="118"/>
    </row>
    <row r="135" spans="1:6" x14ac:dyDescent="0.25">
      <c r="A135" s="116"/>
      <c r="B135" s="117"/>
      <c r="C135" s="187"/>
      <c r="D135" s="187"/>
      <c r="E135" s="118"/>
      <c r="F135" s="118"/>
    </row>
    <row r="136" spans="1:6" x14ac:dyDescent="0.25">
      <c r="A136" s="116"/>
      <c r="B136" s="117"/>
      <c r="C136" s="187"/>
      <c r="D136" s="187"/>
      <c r="E136" s="118"/>
      <c r="F136" s="118"/>
    </row>
    <row r="137" spans="1:6" x14ac:dyDescent="0.25">
      <c r="A137" s="116"/>
      <c r="B137" s="117"/>
      <c r="C137" s="187"/>
      <c r="D137" s="187"/>
      <c r="E137" s="118"/>
      <c r="F137" s="118"/>
    </row>
    <row r="138" spans="1:6" x14ac:dyDescent="0.25">
      <c r="A138" s="116"/>
      <c r="B138" s="117"/>
      <c r="C138" s="187"/>
      <c r="D138" s="187"/>
      <c r="E138" s="118"/>
      <c r="F138" s="118"/>
    </row>
    <row r="139" spans="1:6" x14ac:dyDescent="0.25">
      <c r="A139" s="116"/>
      <c r="B139" s="117"/>
      <c r="C139" s="187"/>
      <c r="D139" s="187"/>
      <c r="E139" s="118"/>
      <c r="F139" s="118"/>
    </row>
    <row r="140" spans="1:6" x14ac:dyDescent="0.25">
      <c r="A140" s="116"/>
      <c r="B140" s="117"/>
      <c r="C140" s="187"/>
      <c r="D140" s="187"/>
      <c r="E140" s="118"/>
      <c r="F140" s="118"/>
    </row>
    <row r="141" spans="1:6" x14ac:dyDescent="0.25">
      <c r="A141" s="116"/>
      <c r="B141" s="117"/>
      <c r="C141" s="187"/>
      <c r="D141" s="187"/>
      <c r="E141" s="118"/>
      <c r="F141" s="118"/>
    </row>
    <row r="142" spans="1:6" x14ac:dyDescent="0.25">
      <c r="A142" s="116"/>
      <c r="B142" s="117"/>
      <c r="C142" s="187"/>
      <c r="D142" s="187"/>
      <c r="E142" s="118"/>
      <c r="F142" s="118"/>
    </row>
    <row r="143" spans="1:6" x14ac:dyDescent="0.25">
      <c r="A143" s="116"/>
      <c r="B143" s="117"/>
      <c r="C143" s="187"/>
      <c r="D143" s="187"/>
      <c r="E143" s="118"/>
      <c r="F143" s="118"/>
    </row>
    <row r="144" spans="1:6" x14ac:dyDescent="0.25">
      <c r="A144" s="116"/>
      <c r="B144" s="117"/>
      <c r="C144" s="187"/>
      <c r="D144" s="187"/>
      <c r="E144" s="118"/>
      <c r="F144" s="118"/>
    </row>
    <row r="145" spans="1:6" x14ac:dyDescent="0.25">
      <c r="A145" s="116"/>
      <c r="B145" s="117"/>
      <c r="C145" s="187"/>
      <c r="D145" s="187"/>
      <c r="E145" s="118"/>
      <c r="F145" s="118"/>
    </row>
    <row r="146" spans="1:6" x14ac:dyDescent="0.25">
      <c r="A146" s="116"/>
      <c r="B146" s="117"/>
      <c r="C146" s="187"/>
      <c r="D146" s="187"/>
      <c r="E146" s="118"/>
      <c r="F146" s="118"/>
    </row>
    <row r="147" spans="1:6" x14ac:dyDescent="0.25">
      <c r="A147" s="116"/>
      <c r="B147" s="117"/>
      <c r="C147" s="187"/>
      <c r="D147" s="187"/>
      <c r="E147" s="118"/>
      <c r="F147" s="118"/>
    </row>
    <row r="148" spans="1:6" x14ac:dyDescent="0.25">
      <c r="A148" s="116"/>
      <c r="B148" s="117"/>
      <c r="C148" s="187"/>
      <c r="D148" s="187"/>
      <c r="E148" s="118"/>
      <c r="F148" s="118"/>
    </row>
    <row r="149" spans="1:6" x14ac:dyDescent="0.25">
      <c r="A149" s="116"/>
      <c r="B149" s="117"/>
      <c r="C149" s="187"/>
      <c r="D149" s="187"/>
      <c r="E149" s="118"/>
      <c r="F149" s="118"/>
    </row>
    <row r="150" spans="1:6" x14ac:dyDescent="0.25">
      <c r="A150" s="116"/>
      <c r="B150" s="117"/>
      <c r="C150" s="187"/>
      <c r="D150" s="187"/>
      <c r="E150" s="118"/>
      <c r="F150" s="118"/>
    </row>
    <row r="151" spans="1:6" x14ac:dyDescent="0.25">
      <c r="A151" s="116"/>
      <c r="B151" s="117"/>
      <c r="C151" s="187"/>
      <c r="D151" s="187"/>
      <c r="E151" s="118"/>
      <c r="F151" s="118"/>
    </row>
    <row r="152" spans="1:6" x14ac:dyDescent="0.25">
      <c r="A152" s="116"/>
      <c r="B152" s="117"/>
      <c r="C152" s="187"/>
      <c r="D152" s="187"/>
      <c r="E152" s="118"/>
      <c r="F152" s="118"/>
    </row>
    <row r="153" spans="1:6" x14ac:dyDescent="0.25">
      <c r="A153" s="116"/>
      <c r="B153" s="117"/>
      <c r="C153" s="187"/>
      <c r="D153" s="187"/>
      <c r="E153" s="118"/>
      <c r="F153" s="118"/>
    </row>
    <row r="154" spans="1:6" x14ac:dyDescent="0.25">
      <c r="A154" s="116"/>
      <c r="B154" s="117"/>
      <c r="C154" s="187"/>
      <c r="D154" s="187"/>
      <c r="E154" s="118"/>
      <c r="F154" s="118"/>
    </row>
    <row r="155" spans="1:6" x14ac:dyDescent="0.25">
      <c r="A155" s="116"/>
      <c r="B155" s="117"/>
      <c r="C155" s="187"/>
      <c r="D155" s="187"/>
      <c r="E155" s="118"/>
      <c r="F155" s="118"/>
    </row>
    <row r="156" spans="1:6" x14ac:dyDescent="0.25">
      <c r="A156" s="116"/>
      <c r="B156" s="117"/>
      <c r="C156" s="187"/>
      <c r="D156" s="187"/>
      <c r="E156" s="118"/>
      <c r="F156" s="118"/>
    </row>
    <row r="157" spans="1:6" x14ac:dyDescent="0.25">
      <c r="A157" s="116"/>
      <c r="B157" s="117"/>
      <c r="C157" s="187"/>
      <c r="D157" s="187"/>
      <c r="E157" s="118"/>
      <c r="F157" s="118"/>
    </row>
    <row r="158" spans="1:6" x14ac:dyDescent="0.25">
      <c r="A158" s="116"/>
      <c r="B158" s="117"/>
      <c r="C158" s="187"/>
      <c r="D158" s="187"/>
      <c r="E158" s="118"/>
      <c r="F158" s="118"/>
    </row>
    <row r="159" spans="1:6" x14ac:dyDescent="0.25">
      <c r="A159" s="116"/>
      <c r="B159" s="117"/>
      <c r="C159" s="187"/>
      <c r="D159" s="187"/>
      <c r="E159" s="118"/>
      <c r="F159" s="118"/>
    </row>
    <row r="160" spans="1:6" x14ac:dyDescent="0.25">
      <c r="A160" s="116"/>
      <c r="B160" s="117"/>
      <c r="C160" s="187"/>
      <c r="D160" s="187"/>
      <c r="E160" s="118"/>
      <c r="F160" s="118"/>
    </row>
    <row r="161" spans="1:6" x14ac:dyDescent="0.25">
      <c r="A161" s="116"/>
      <c r="B161" s="117"/>
      <c r="C161" s="187"/>
      <c r="D161" s="187"/>
      <c r="E161" s="118"/>
      <c r="F161" s="118"/>
    </row>
    <row r="162" spans="1:6" x14ac:dyDescent="0.25">
      <c r="A162" s="116"/>
      <c r="B162" s="117"/>
      <c r="C162" s="187"/>
      <c r="D162" s="187"/>
      <c r="E162" s="118"/>
      <c r="F162" s="118"/>
    </row>
    <row r="163" spans="1:6" x14ac:dyDescent="0.25">
      <c r="A163" s="116"/>
      <c r="B163" s="117"/>
      <c r="C163" s="187"/>
      <c r="D163" s="187"/>
      <c r="E163" s="118"/>
      <c r="F163" s="118"/>
    </row>
    <row r="164" spans="1:6" x14ac:dyDescent="0.25">
      <c r="A164" s="116"/>
      <c r="B164" s="117"/>
      <c r="C164" s="187"/>
      <c r="D164" s="187"/>
      <c r="E164" s="118"/>
      <c r="F164" s="118"/>
    </row>
    <row r="165" spans="1:6" x14ac:dyDescent="0.25">
      <c r="A165" s="116"/>
      <c r="B165" s="117"/>
      <c r="C165" s="187"/>
      <c r="D165" s="187"/>
      <c r="E165" s="118"/>
      <c r="F165" s="118"/>
    </row>
    <row r="166" spans="1:6" x14ac:dyDescent="0.25">
      <c r="A166" s="116"/>
      <c r="B166" s="117"/>
      <c r="C166" s="187"/>
      <c r="D166" s="187"/>
      <c r="E166" s="118"/>
      <c r="F166" s="118"/>
    </row>
    <row r="167" spans="1:6" x14ac:dyDescent="0.25">
      <c r="A167" s="116"/>
      <c r="B167" s="117"/>
      <c r="C167" s="187"/>
      <c r="D167" s="187"/>
      <c r="E167" s="118"/>
      <c r="F167" s="118"/>
    </row>
    <row r="168" spans="1:6" x14ac:dyDescent="0.25">
      <c r="A168" s="116"/>
      <c r="B168" s="117"/>
      <c r="C168" s="187"/>
      <c r="D168" s="187"/>
      <c r="E168" s="118"/>
      <c r="F168" s="118"/>
    </row>
    <row r="169" spans="1:6" x14ac:dyDescent="0.25">
      <c r="A169" s="116"/>
      <c r="B169" s="117"/>
      <c r="C169" s="187"/>
      <c r="D169" s="187"/>
      <c r="E169" s="118"/>
      <c r="F169" s="118"/>
    </row>
    <row r="170" spans="1:6" x14ac:dyDescent="0.25">
      <c r="A170" s="116"/>
      <c r="B170" s="117"/>
      <c r="C170" s="187"/>
      <c r="D170" s="187"/>
      <c r="E170" s="118"/>
      <c r="F170" s="118"/>
    </row>
    <row r="171" spans="1:6" x14ac:dyDescent="0.25">
      <c r="A171" s="116"/>
      <c r="B171" s="117"/>
      <c r="C171" s="187"/>
      <c r="D171" s="187"/>
      <c r="E171" s="118"/>
      <c r="F171" s="118"/>
    </row>
    <row r="172" spans="1:6" x14ac:dyDescent="0.25">
      <c r="A172" s="116"/>
      <c r="B172" s="117"/>
      <c r="C172" s="187"/>
      <c r="D172" s="187"/>
      <c r="E172" s="118"/>
      <c r="F172" s="118"/>
    </row>
    <row r="173" spans="1:6" x14ac:dyDescent="0.25">
      <c r="A173" s="116"/>
      <c r="B173" s="117"/>
      <c r="C173" s="187"/>
      <c r="D173" s="187"/>
      <c r="E173" s="118"/>
      <c r="F173" s="118"/>
    </row>
    <row r="174" spans="1:6" x14ac:dyDescent="0.25">
      <c r="A174" s="116"/>
      <c r="B174" s="117"/>
      <c r="C174" s="187"/>
      <c r="D174" s="187"/>
      <c r="E174" s="118"/>
      <c r="F174" s="118"/>
    </row>
    <row r="175" spans="1:6" x14ac:dyDescent="0.25">
      <c r="A175" s="116"/>
      <c r="B175" s="117"/>
      <c r="C175" s="187"/>
      <c r="D175" s="187"/>
      <c r="E175" s="118"/>
      <c r="F175" s="118"/>
    </row>
    <row r="176" spans="1:6" x14ac:dyDescent="0.25">
      <c r="A176" s="116"/>
      <c r="B176" s="117"/>
      <c r="C176" s="187"/>
      <c r="D176" s="187"/>
      <c r="E176" s="118"/>
      <c r="F176" s="118"/>
    </row>
    <row r="177" spans="1:6" x14ac:dyDescent="0.25">
      <c r="A177" s="116"/>
      <c r="B177" s="117"/>
      <c r="C177" s="187"/>
      <c r="D177" s="187"/>
      <c r="E177" s="118"/>
      <c r="F177" s="118"/>
    </row>
    <row r="178" spans="1:6" x14ac:dyDescent="0.25">
      <c r="A178" s="116"/>
      <c r="B178" s="117"/>
      <c r="C178" s="187"/>
      <c r="D178" s="187"/>
      <c r="E178" s="118"/>
      <c r="F178" s="118"/>
    </row>
    <row r="179" spans="1:6" x14ac:dyDescent="0.25">
      <c r="A179" s="116"/>
      <c r="B179" s="117"/>
      <c r="C179" s="187"/>
      <c r="D179" s="187"/>
      <c r="E179" s="118"/>
      <c r="F179" s="118"/>
    </row>
    <row r="180" spans="1:6" x14ac:dyDescent="0.25">
      <c r="A180" s="116"/>
      <c r="B180" s="117"/>
      <c r="C180" s="187"/>
      <c r="D180" s="187"/>
      <c r="E180" s="118"/>
      <c r="F180" s="118"/>
    </row>
    <row r="181" spans="1:6" x14ac:dyDescent="0.25">
      <c r="A181" s="116"/>
      <c r="B181" s="117"/>
      <c r="C181" s="187"/>
      <c r="D181" s="187"/>
      <c r="E181" s="118"/>
      <c r="F181" s="118"/>
    </row>
    <row r="182" spans="1:6" x14ac:dyDescent="0.25">
      <c r="A182" s="116"/>
      <c r="B182" s="117"/>
      <c r="C182" s="187"/>
      <c r="D182" s="187"/>
      <c r="E182" s="118"/>
      <c r="F182" s="118"/>
    </row>
    <row r="183" spans="1:6" x14ac:dyDescent="0.25">
      <c r="A183" s="116"/>
      <c r="B183" s="117"/>
      <c r="C183" s="187"/>
      <c r="D183" s="187"/>
      <c r="E183" s="118"/>
      <c r="F183" s="118"/>
    </row>
    <row r="184" spans="1:6" x14ac:dyDescent="0.25">
      <c r="A184" s="116"/>
      <c r="B184" s="117"/>
      <c r="C184" s="187"/>
      <c r="D184" s="187"/>
      <c r="E184" s="118"/>
      <c r="F184" s="118"/>
    </row>
    <row r="185" spans="1:6" x14ac:dyDescent="0.25">
      <c r="A185" s="116"/>
      <c r="B185" s="117"/>
      <c r="C185" s="187"/>
      <c r="D185" s="187"/>
      <c r="E185" s="118"/>
      <c r="F185" s="118"/>
    </row>
    <row r="186" spans="1:6" x14ac:dyDescent="0.25">
      <c r="A186" s="116"/>
      <c r="B186" s="117"/>
      <c r="C186" s="187"/>
      <c r="D186" s="187"/>
      <c r="E186" s="118"/>
      <c r="F186" s="118"/>
    </row>
    <row r="187" spans="1:6" x14ac:dyDescent="0.25">
      <c r="A187" s="116"/>
      <c r="B187" s="117"/>
      <c r="C187" s="187"/>
      <c r="D187" s="187"/>
      <c r="E187" s="118"/>
      <c r="F187" s="118"/>
    </row>
    <row r="188" spans="1:6" x14ac:dyDescent="0.25">
      <c r="A188" s="116"/>
      <c r="B188" s="117"/>
      <c r="C188" s="187"/>
      <c r="D188" s="187"/>
      <c r="E188" s="118"/>
      <c r="F188" s="118"/>
    </row>
    <row r="189" spans="1:6" x14ac:dyDescent="0.25">
      <c r="A189" s="116"/>
      <c r="B189" s="117"/>
      <c r="C189" s="187"/>
      <c r="D189" s="187"/>
      <c r="E189" s="118"/>
      <c r="F189" s="118"/>
    </row>
    <row r="190" spans="1:6" x14ac:dyDescent="0.25">
      <c r="A190" s="116"/>
      <c r="B190" s="117"/>
      <c r="C190" s="187"/>
      <c r="D190" s="187"/>
      <c r="E190" s="118"/>
      <c r="F190" s="118"/>
    </row>
    <row r="191" spans="1:6" x14ac:dyDescent="0.25">
      <c r="A191" s="116"/>
      <c r="B191" s="117"/>
      <c r="C191" s="187"/>
      <c r="D191" s="187"/>
      <c r="E191" s="118"/>
      <c r="F191" s="118"/>
    </row>
    <row r="192" spans="1:6" x14ac:dyDescent="0.25">
      <c r="A192" s="116"/>
      <c r="B192" s="117"/>
      <c r="C192" s="187"/>
      <c r="D192" s="187"/>
      <c r="E192" s="118"/>
      <c r="F192" s="118"/>
    </row>
    <row r="193" spans="1:6" x14ac:dyDescent="0.25">
      <c r="A193" s="116"/>
      <c r="B193" s="117"/>
      <c r="C193" s="187"/>
      <c r="D193" s="187"/>
      <c r="E193" s="118"/>
      <c r="F193" s="118"/>
    </row>
    <row r="194" spans="1:6" x14ac:dyDescent="0.25">
      <c r="A194" s="116"/>
      <c r="B194" s="117"/>
      <c r="C194" s="187"/>
      <c r="D194" s="187"/>
      <c r="E194" s="118"/>
      <c r="F194" s="118"/>
    </row>
    <row r="195" spans="1:6" x14ac:dyDescent="0.25">
      <c r="A195" s="116"/>
      <c r="B195" s="117"/>
      <c r="C195" s="187"/>
      <c r="D195" s="187"/>
      <c r="E195" s="118"/>
      <c r="F195" s="118"/>
    </row>
    <row r="196" spans="1:6" x14ac:dyDescent="0.25">
      <c r="A196" s="116"/>
      <c r="B196" s="117"/>
      <c r="C196" s="187"/>
      <c r="D196" s="187"/>
      <c r="E196" s="118"/>
      <c r="F196" s="118"/>
    </row>
    <row r="197" spans="1:6" x14ac:dyDescent="0.25">
      <c r="A197" s="119"/>
      <c r="B197" s="120"/>
      <c r="C197" s="186"/>
      <c r="D197" s="186"/>
      <c r="E197" s="118"/>
      <c r="F197" s="118"/>
    </row>
    <row r="198" spans="1:6" x14ac:dyDescent="0.25">
      <c r="A198" s="119"/>
      <c r="B198" s="120"/>
      <c r="C198" s="186"/>
      <c r="D198" s="186"/>
      <c r="E198" s="118"/>
      <c r="F198" s="118"/>
    </row>
    <row r="199" spans="1:6" x14ac:dyDescent="0.25">
      <c r="A199" s="119"/>
      <c r="B199" s="120"/>
      <c r="C199" s="186"/>
      <c r="D199" s="186"/>
      <c r="E199" s="118"/>
      <c r="F199" s="118"/>
    </row>
    <row r="200" spans="1:6" x14ac:dyDescent="0.25">
      <c r="A200" s="119"/>
      <c r="B200" s="120"/>
      <c r="C200" s="186"/>
      <c r="D200" s="186"/>
      <c r="E200" s="118"/>
      <c r="F200" s="118"/>
    </row>
    <row r="201" spans="1:6" x14ac:dyDescent="0.25">
      <c r="A201" s="119"/>
      <c r="B201" s="120"/>
      <c r="C201" s="186"/>
      <c r="D201" s="186"/>
      <c r="E201" s="118"/>
      <c r="F201" s="118"/>
    </row>
    <row r="202" spans="1:6" x14ac:dyDescent="0.25">
      <c r="B202" s="34"/>
      <c r="C202" s="185"/>
      <c r="D202" s="185"/>
    </row>
    <row r="203" spans="1:6" x14ac:dyDescent="0.25">
      <c r="B203" s="34"/>
      <c r="C203" s="185"/>
      <c r="D203" s="185"/>
    </row>
    <row r="204" spans="1:6" x14ac:dyDescent="0.25">
      <c r="B204" s="34"/>
      <c r="C204" s="185"/>
      <c r="D204" s="185"/>
    </row>
    <row r="205" spans="1:6" x14ac:dyDescent="0.25">
      <c r="B205" s="34"/>
      <c r="C205" s="185"/>
      <c r="D205" s="185"/>
    </row>
    <row r="206" spans="1:6" x14ac:dyDescent="0.25">
      <c r="B206" s="34"/>
      <c r="C206" s="185"/>
      <c r="D206" s="185"/>
    </row>
    <row r="207" spans="1:6" x14ac:dyDescent="0.25">
      <c r="B207" s="34"/>
      <c r="C207" s="185"/>
      <c r="D207" s="185"/>
    </row>
    <row r="208" spans="1:6" x14ac:dyDescent="0.25">
      <c r="B208" s="34"/>
      <c r="C208" s="185"/>
      <c r="D208" s="185"/>
    </row>
    <row r="209" spans="2:4" x14ac:dyDescent="0.25">
      <c r="B209" s="34"/>
      <c r="C209" s="185"/>
      <c r="D209" s="185"/>
    </row>
    <row r="210" spans="2:4" x14ac:dyDescent="0.25">
      <c r="B210" s="34"/>
      <c r="C210" s="185"/>
      <c r="D210" s="185"/>
    </row>
    <row r="211" spans="2:4" x14ac:dyDescent="0.25">
      <c r="B211" s="34"/>
      <c r="C211" s="185"/>
      <c r="D211" s="185"/>
    </row>
    <row r="212" spans="2:4" x14ac:dyDescent="0.25">
      <c r="B212" s="34"/>
      <c r="C212" s="185"/>
      <c r="D212" s="185"/>
    </row>
    <row r="213" spans="2:4" x14ac:dyDescent="0.25">
      <c r="B213" s="34"/>
      <c r="C213" s="185"/>
      <c r="D213" s="185"/>
    </row>
    <row r="214" spans="2:4" x14ac:dyDescent="0.25">
      <c r="B214" s="34"/>
      <c r="C214" s="185"/>
      <c r="D214" s="185"/>
    </row>
    <row r="215" spans="2:4" x14ac:dyDescent="0.25">
      <c r="B215" s="34"/>
      <c r="C215" s="185"/>
      <c r="D215" s="185"/>
    </row>
    <row r="216" spans="2:4" x14ac:dyDescent="0.25">
      <c r="B216" s="34"/>
      <c r="C216" s="185"/>
      <c r="D216" s="185"/>
    </row>
    <row r="217" spans="2:4" x14ac:dyDescent="0.25">
      <c r="B217" s="34"/>
      <c r="C217" s="185"/>
      <c r="D217" s="185"/>
    </row>
    <row r="218" spans="2:4" x14ac:dyDescent="0.25">
      <c r="B218" s="34"/>
      <c r="C218" s="185"/>
      <c r="D218" s="185"/>
    </row>
    <row r="219" spans="2:4" x14ac:dyDescent="0.25">
      <c r="B219" s="34"/>
      <c r="C219" s="185"/>
      <c r="D219" s="185"/>
    </row>
    <row r="220" spans="2:4" x14ac:dyDescent="0.25">
      <c r="B220" s="34"/>
      <c r="C220" s="185"/>
      <c r="D220" s="185"/>
    </row>
    <row r="221" spans="2:4" x14ac:dyDescent="0.25">
      <c r="B221" s="34"/>
      <c r="C221" s="185"/>
      <c r="D221" s="185"/>
    </row>
    <row r="222" spans="2:4" x14ac:dyDescent="0.25">
      <c r="B222" s="34"/>
      <c r="C222" s="185"/>
      <c r="D222" s="185"/>
    </row>
    <row r="223" spans="2:4" x14ac:dyDescent="0.25">
      <c r="B223" s="34"/>
      <c r="C223" s="185"/>
      <c r="D223" s="185"/>
    </row>
    <row r="224" spans="2:4" x14ac:dyDescent="0.25">
      <c r="B224" s="34"/>
      <c r="C224" s="185"/>
      <c r="D224" s="185"/>
    </row>
    <row r="225" spans="2:4" x14ac:dyDescent="0.25">
      <c r="B225" s="34"/>
      <c r="C225" s="185"/>
      <c r="D225" s="185"/>
    </row>
    <row r="226" spans="2:4" x14ac:dyDescent="0.25">
      <c r="B226" s="34"/>
      <c r="C226" s="185"/>
      <c r="D226" s="185"/>
    </row>
    <row r="227" spans="2:4" x14ac:dyDescent="0.25">
      <c r="B227" s="34"/>
      <c r="C227" s="185"/>
      <c r="D227" s="185"/>
    </row>
    <row r="228" spans="2:4" x14ac:dyDescent="0.25">
      <c r="B228" s="34"/>
      <c r="C228" s="185"/>
      <c r="D228" s="185"/>
    </row>
    <row r="229" spans="2:4" x14ac:dyDescent="0.25">
      <c r="B229" s="34"/>
      <c r="C229" s="185"/>
      <c r="D229" s="185"/>
    </row>
    <row r="230" spans="2:4" x14ac:dyDescent="0.25">
      <c r="B230" s="34"/>
      <c r="C230" s="185"/>
      <c r="D230" s="185"/>
    </row>
    <row r="231" spans="2:4" x14ac:dyDescent="0.25">
      <c r="B231" s="34"/>
      <c r="C231" s="185"/>
      <c r="D231" s="185"/>
    </row>
    <row r="232" spans="2:4" x14ac:dyDescent="0.25">
      <c r="B232" s="34"/>
      <c r="C232" s="185"/>
      <c r="D232" s="185"/>
    </row>
    <row r="233" spans="2:4" x14ac:dyDescent="0.25">
      <c r="B233" s="34"/>
      <c r="C233" s="185"/>
      <c r="D233" s="185"/>
    </row>
    <row r="234" spans="2:4" x14ac:dyDescent="0.25">
      <c r="B234" s="34"/>
      <c r="C234" s="185"/>
      <c r="D234" s="185"/>
    </row>
    <row r="235" spans="2:4" x14ac:dyDescent="0.25">
      <c r="B235" s="34"/>
      <c r="C235" s="185"/>
      <c r="D235" s="185"/>
    </row>
    <row r="236" spans="2:4" x14ac:dyDescent="0.25">
      <c r="B236" s="34"/>
      <c r="C236" s="185"/>
      <c r="D236" s="185"/>
    </row>
    <row r="237" spans="2:4" x14ac:dyDescent="0.25">
      <c r="B237" s="34"/>
      <c r="C237" s="185"/>
      <c r="D237" s="185"/>
    </row>
    <row r="238" spans="2:4" x14ac:dyDescent="0.25">
      <c r="B238" s="34"/>
      <c r="C238" s="185"/>
      <c r="D238" s="185"/>
    </row>
    <row r="239" spans="2:4" x14ac:dyDescent="0.25">
      <c r="B239" s="34"/>
      <c r="C239" s="185"/>
      <c r="D239" s="185"/>
    </row>
    <row r="240" spans="2:4" x14ac:dyDescent="0.25">
      <c r="B240" s="34"/>
      <c r="C240" s="185"/>
      <c r="D240" s="185"/>
    </row>
    <row r="241" spans="2:4" x14ac:dyDescent="0.25">
      <c r="B241" s="34"/>
      <c r="C241" s="185"/>
      <c r="D241" s="185"/>
    </row>
    <row r="242" spans="2:4" x14ac:dyDescent="0.25">
      <c r="B242" s="34"/>
      <c r="C242" s="185"/>
      <c r="D242" s="185"/>
    </row>
    <row r="243" spans="2:4" x14ac:dyDescent="0.25">
      <c r="B243" s="34"/>
      <c r="C243" s="185"/>
      <c r="D243" s="185"/>
    </row>
    <row r="244" spans="2:4" x14ac:dyDescent="0.25">
      <c r="B244" s="34"/>
      <c r="C244" s="185"/>
      <c r="D244" s="185"/>
    </row>
    <row r="245" spans="2:4" x14ac:dyDescent="0.25">
      <c r="B245" s="34"/>
      <c r="C245" s="185"/>
      <c r="D245" s="185"/>
    </row>
    <row r="246" spans="2:4" x14ac:dyDescent="0.25">
      <c r="B246" s="34"/>
      <c r="C246" s="185"/>
      <c r="D246" s="185"/>
    </row>
    <row r="247" spans="2:4" x14ac:dyDescent="0.25">
      <c r="B247" s="34"/>
      <c r="C247" s="185"/>
      <c r="D247" s="185"/>
    </row>
    <row r="248" spans="2:4" x14ac:dyDescent="0.25">
      <c r="B248" s="34"/>
      <c r="C248" s="185"/>
      <c r="D248" s="185"/>
    </row>
    <row r="249" spans="2:4" x14ac:dyDescent="0.25">
      <c r="B249" s="34"/>
      <c r="C249" s="185"/>
      <c r="D249" s="185"/>
    </row>
    <row r="250" spans="2:4" x14ac:dyDescent="0.25">
      <c r="B250" s="34"/>
      <c r="C250" s="185"/>
      <c r="D250" s="185"/>
    </row>
    <row r="251" spans="2:4" x14ac:dyDescent="0.25">
      <c r="B251" s="34"/>
      <c r="C251" s="185"/>
      <c r="D251" s="185"/>
    </row>
    <row r="252" spans="2:4" x14ac:dyDescent="0.25">
      <c r="B252" s="34"/>
      <c r="C252" s="185"/>
      <c r="D252" s="185"/>
    </row>
    <row r="253" spans="2:4" x14ac:dyDescent="0.25">
      <c r="B253" s="34"/>
      <c r="C253" s="185"/>
      <c r="D253" s="185"/>
    </row>
    <row r="254" spans="2:4" x14ac:dyDescent="0.25">
      <c r="B254" s="34"/>
      <c r="C254" s="185"/>
      <c r="D254" s="185"/>
    </row>
    <row r="255" spans="2:4" x14ac:dyDescent="0.25">
      <c r="B255" s="34"/>
      <c r="C255" s="185"/>
      <c r="D255" s="185"/>
    </row>
    <row r="256" spans="2:4" x14ac:dyDescent="0.25">
      <c r="B256" s="34"/>
      <c r="C256" s="185"/>
      <c r="D256" s="185"/>
    </row>
    <row r="257" spans="2:4" x14ac:dyDescent="0.25">
      <c r="B257" s="34"/>
      <c r="C257" s="185"/>
      <c r="D257" s="185"/>
    </row>
    <row r="258" spans="2:4" x14ac:dyDescent="0.25">
      <c r="B258" s="34"/>
      <c r="C258" s="185"/>
      <c r="D258" s="185"/>
    </row>
    <row r="259" spans="2:4" x14ac:dyDescent="0.25">
      <c r="B259" s="34"/>
      <c r="C259" s="185"/>
      <c r="D259" s="185"/>
    </row>
    <row r="260" spans="2:4" x14ac:dyDescent="0.25">
      <c r="B260" s="34"/>
      <c r="C260" s="185"/>
      <c r="D260" s="185"/>
    </row>
    <row r="261" spans="2:4" x14ac:dyDescent="0.25">
      <c r="B261" s="34"/>
      <c r="C261" s="185"/>
      <c r="D261" s="185"/>
    </row>
    <row r="262" spans="2:4" x14ac:dyDescent="0.25">
      <c r="B262" s="34"/>
      <c r="C262" s="185"/>
      <c r="D262" s="185"/>
    </row>
    <row r="263" spans="2:4" x14ac:dyDescent="0.25">
      <c r="B263" s="34"/>
      <c r="C263" s="185"/>
      <c r="D263" s="185"/>
    </row>
    <row r="264" spans="2:4" x14ac:dyDescent="0.25">
      <c r="B264" s="34"/>
      <c r="C264" s="185"/>
      <c r="D264" s="185"/>
    </row>
    <row r="265" spans="2:4" x14ac:dyDescent="0.25">
      <c r="B265" s="34"/>
      <c r="C265" s="185"/>
      <c r="D265" s="185"/>
    </row>
    <row r="266" spans="2:4" x14ac:dyDescent="0.25">
      <c r="B266" s="34"/>
      <c r="C266" s="185"/>
      <c r="D266" s="185"/>
    </row>
    <row r="267" spans="2:4" x14ac:dyDescent="0.25">
      <c r="B267" s="34"/>
      <c r="C267" s="185"/>
      <c r="D267" s="185"/>
    </row>
    <row r="268" spans="2:4" x14ac:dyDescent="0.25">
      <c r="B268" s="34"/>
      <c r="C268" s="185"/>
      <c r="D268" s="185"/>
    </row>
    <row r="269" spans="2:4" x14ac:dyDescent="0.25">
      <c r="B269" s="34"/>
      <c r="C269" s="185"/>
      <c r="D269" s="185"/>
    </row>
    <row r="270" spans="2:4" x14ac:dyDescent="0.25">
      <c r="B270" s="34"/>
      <c r="C270" s="185"/>
      <c r="D270" s="185"/>
    </row>
    <row r="271" spans="2:4" x14ac:dyDescent="0.25">
      <c r="B271" s="34"/>
      <c r="C271" s="185"/>
      <c r="D271" s="185"/>
    </row>
    <row r="272" spans="2:4" x14ac:dyDescent="0.25">
      <c r="B272" s="34"/>
      <c r="C272" s="185"/>
      <c r="D272" s="185"/>
    </row>
    <row r="273" spans="2:4" x14ac:dyDescent="0.25">
      <c r="B273" s="34"/>
      <c r="C273" s="185"/>
      <c r="D273" s="185"/>
    </row>
    <row r="274" spans="2:4" x14ac:dyDescent="0.25">
      <c r="B274" s="34"/>
      <c r="C274" s="185"/>
      <c r="D274" s="185"/>
    </row>
    <row r="275" spans="2:4" x14ac:dyDescent="0.25">
      <c r="B275" s="34"/>
      <c r="C275" s="185"/>
      <c r="D275" s="185"/>
    </row>
    <row r="276" spans="2:4" x14ac:dyDescent="0.25">
      <c r="B276" s="34"/>
      <c r="C276" s="185"/>
      <c r="D276" s="185"/>
    </row>
    <row r="277" spans="2:4" x14ac:dyDescent="0.25">
      <c r="B277" s="34"/>
      <c r="C277" s="185"/>
      <c r="D277" s="185"/>
    </row>
    <row r="278" spans="2:4" x14ac:dyDescent="0.25">
      <c r="B278" s="34"/>
      <c r="C278" s="185"/>
      <c r="D278" s="185"/>
    </row>
    <row r="279" spans="2:4" x14ac:dyDescent="0.25">
      <c r="B279" s="34"/>
      <c r="C279" s="185"/>
      <c r="D279" s="185"/>
    </row>
    <row r="280" spans="2:4" x14ac:dyDescent="0.25">
      <c r="B280" s="34"/>
      <c r="C280" s="185"/>
      <c r="D280" s="185"/>
    </row>
    <row r="281" spans="2:4" x14ac:dyDescent="0.25">
      <c r="B281" s="34"/>
      <c r="C281" s="185"/>
      <c r="D281" s="185"/>
    </row>
    <row r="282" spans="2:4" x14ac:dyDescent="0.25">
      <c r="B282" s="34"/>
      <c r="C282" s="185"/>
      <c r="D282" s="185"/>
    </row>
    <row r="283" spans="2:4" x14ac:dyDescent="0.25">
      <c r="B283" s="34"/>
      <c r="C283" s="185"/>
      <c r="D283" s="185"/>
    </row>
    <row r="284" spans="2:4" x14ac:dyDescent="0.25">
      <c r="B284" s="34"/>
      <c r="C284" s="185"/>
      <c r="D284" s="185"/>
    </row>
    <row r="285" spans="2:4" x14ac:dyDescent="0.25">
      <c r="B285" s="34"/>
      <c r="C285" s="185"/>
      <c r="D285" s="185"/>
    </row>
    <row r="286" spans="2:4" x14ac:dyDescent="0.25">
      <c r="B286" s="34"/>
      <c r="C286" s="185"/>
      <c r="D286" s="185"/>
    </row>
    <row r="287" spans="2:4" x14ac:dyDescent="0.25">
      <c r="B287" s="34"/>
      <c r="C287" s="185"/>
      <c r="D287" s="185"/>
    </row>
    <row r="288" spans="2:4" x14ac:dyDescent="0.25">
      <c r="B288" s="34"/>
      <c r="C288" s="185"/>
      <c r="D288" s="185"/>
    </row>
    <row r="289" spans="2:4" x14ac:dyDescent="0.25">
      <c r="B289" s="34"/>
      <c r="C289" s="185"/>
      <c r="D289" s="185"/>
    </row>
    <row r="290" spans="2:4" x14ac:dyDescent="0.25">
      <c r="B290" s="34"/>
      <c r="C290" s="185"/>
      <c r="D290" s="185"/>
    </row>
    <row r="291" spans="2:4" x14ac:dyDescent="0.25">
      <c r="B291" s="34"/>
      <c r="C291" s="185"/>
      <c r="D291" s="185"/>
    </row>
    <row r="292" spans="2:4" x14ac:dyDescent="0.25">
      <c r="B292" s="34"/>
      <c r="C292" s="185"/>
      <c r="D292" s="185"/>
    </row>
    <row r="293" spans="2:4" x14ac:dyDescent="0.25">
      <c r="B293" s="34"/>
      <c r="C293" s="185"/>
      <c r="D293" s="185"/>
    </row>
    <row r="294" spans="2:4" x14ac:dyDescent="0.25">
      <c r="B294" s="34"/>
      <c r="C294" s="185"/>
      <c r="D294" s="185"/>
    </row>
    <row r="295" spans="2:4" x14ac:dyDescent="0.25">
      <c r="B295" s="34"/>
      <c r="C295" s="185"/>
      <c r="D295" s="185"/>
    </row>
    <row r="296" spans="2:4" x14ac:dyDescent="0.25">
      <c r="B296" s="34"/>
      <c r="C296" s="185"/>
      <c r="D296" s="185"/>
    </row>
    <row r="297" spans="2:4" x14ac:dyDescent="0.25">
      <c r="B297" s="34"/>
      <c r="C297" s="185"/>
      <c r="D297" s="185"/>
    </row>
    <row r="298" spans="2:4" x14ac:dyDescent="0.25">
      <c r="B298" s="34"/>
      <c r="C298" s="185"/>
      <c r="D298" s="185"/>
    </row>
    <row r="299" spans="2:4" x14ac:dyDescent="0.25">
      <c r="B299" s="34"/>
      <c r="C299" s="185"/>
      <c r="D299" s="185"/>
    </row>
    <row r="300" spans="2:4" x14ac:dyDescent="0.25">
      <c r="B300" s="34"/>
      <c r="C300" s="185"/>
      <c r="D300" s="185"/>
    </row>
    <row r="301" spans="2:4" x14ac:dyDescent="0.25">
      <c r="B301" s="34"/>
      <c r="C301" s="185"/>
      <c r="D301" s="185"/>
    </row>
    <row r="302" spans="2:4" x14ac:dyDescent="0.25">
      <c r="B302" s="34"/>
      <c r="C302" s="185"/>
      <c r="D302" s="185"/>
    </row>
    <row r="303" spans="2:4" x14ac:dyDescent="0.25">
      <c r="B303" s="34"/>
      <c r="C303" s="185"/>
      <c r="D303" s="185"/>
    </row>
    <row r="304" spans="2:4" x14ac:dyDescent="0.25">
      <c r="B304" s="34"/>
      <c r="C304" s="185"/>
      <c r="D304" s="185"/>
    </row>
    <row r="305" spans="2:4" x14ac:dyDescent="0.25">
      <c r="B305" s="34"/>
      <c r="C305" s="185"/>
      <c r="D305" s="185"/>
    </row>
    <row r="306" spans="2:4" x14ac:dyDescent="0.25">
      <c r="B306" s="34"/>
      <c r="C306" s="185"/>
      <c r="D306" s="185"/>
    </row>
    <row r="307" spans="2:4" x14ac:dyDescent="0.25">
      <c r="B307" s="34"/>
      <c r="C307" s="185"/>
      <c r="D307" s="185"/>
    </row>
    <row r="308" spans="2:4" x14ac:dyDescent="0.25">
      <c r="B308" s="34"/>
      <c r="C308" s="185"/>
      <c r="D308" s="185"/>
    </row>
    <row r="309" spans="2:4" x14ac:dyDescent="0.25">
      <c r="B309" s="34"/>
      <c r="C309" s="185"/>
      <c r="D309" s="185"/>
    </row>
    <row r="310" spans="2:4" x14ac:dyDescent="0.25">
      <c r="B310" s="34"/>
      <c r="C310" s="185"/>
      <c r="D310" s="185"/>
    </row>
    <row r="311" spans="2:4" x14ac:dyDescent="0.25">
      <c r="B311" s="34"/>
      <c r="C311" s="185"/>
      <c r="D311" s="185"/>
    </row>
    <row r="312" spans="2:4" x14ac:dyDescent="0.25">
      <c r="B312" s="34"/>
      <c r="C312" s="185"/>
      <c r="D312" s="185"/>
    </row>
    <row r="313" spans="2:4" x14ac:dyDescent="0.25">
      <c r="B313" s="34"/>
      <c r="C313" s="185"/>
      <c r="D313" s="185"/>
    </row>
    <row r="314" spans="2:4" x14ac:dyDescent="0.25">
      <c r="B314" s="34"/>
      <c r="C314" s="185"/>
      <c r="D314" s="185"/>
    </row>
    <row r="315" spans="2:4" x14ac:dyDescent="0.25">
      <c r="B315" s="34"/>
      <c r="C315" s="185"/>
      <c r="D315" s="185"/>
    </row>
    <row r="316" spans="2:4" x14ac:dyDescent="0.25">
      <c r="B316" s="34"/>
      <c r="C316" s="185"/>
      <c r="D316" s="185"/>
    </row>
    <row r="317" spans="2:4" x14ac:dyDescent="0.25">
      <c r="B317" s="34"/>
      <c r="C317" s="185"/>
      <c r="D317" s="185"/>
    </row>
    <row r="318" spans="2:4" x14ac:dyDescent="0.25">
      <c r="B318" s="34"/>
      <c r="C318" s="185"/>
      <c r="D318" s="185"/>
    </row>
    <row r="319" spans="2:4" x14ac:dyDescent="0.25">
      <c r="B319" s="34"/>
      <c r="C319" s="185"/>
      <c r="D319" s="185"/>
    </row>
    <row r="320" spans="2:4" x14ac:dyDescent="0.25">
      <c r="B320" s="34"/>
      <c r="C320" s="185"/>
      <c r="D320" s="185"/>
    </row>
    <row r="321" spans="2:4" x14ac:dyDescent="0.25">
      <c r="B321" s="34"/>
      <c r="C321" s="185"/>
      <c r="D321" s="185"/>
    </row>
    <row r="322" spans="2:4" x14ac:dyDescent="0.25">
      <c r="B322" s="34"/>
      <c r="C322" s="185"/>
      <c r="D322" s="185"/>
    </row>
    <row r="323" spans="2:4" x14ac:dyDescent="0.25">
      <c r="B323" s="34"/>
      <c r="C323" s="185"/>
      <c r="D323" s="185"/>
    </row>
    <row r="324" spans="2:4" x14ac:dyDescent="0.25">
      <c r="B324" s="34"/>
      <c r="C324" s="185"/>
      <c r="D324" s="185"/>
    </row>
    <row r="325" spans="2:4" x14ac:dyDescent="0.25">
      <c r="B325" s="34"/>
      <c r="C325" s="185"/>
      <c r="D325" s="185"/>
    </row>
    <row r="326" spans="2:4" x14ac:dyDescent="0.25">
      <c r="B326" s="34"/>
      <c r="C326" s="35"/>
      <c r="D326" s="35"/>
    </row>
    <row r="327" spans="2:4" x14ac:dyDescent="0.25">
      <c r="B327" s="34"/>
      <c r="C327" s="35"/>
      <c r="D327" s="35"/>
    </row>
    <row r="328" spans="2:4" x14ac:dyDescent="0.25">
      <c r="B328" s="34"/>
      <c r="C328" s="35"/>
      <c r="D328" s="35"/>
    </row>
    <row r="329" spans="2:4" x14ac:dyDescent="0.25">
      <c r="B329" s="34"/>
      <c r="C329" s="35"/>
      <c r="D329" s="35"/>
    </row>
    <row r="330" spans="2:4" x14ac:dyDescent="0.25">
      <c r="B330" s="34"/>
      <c r="C330" s="35"/>
      <c r="D330" s="35"/>
    </row>
    <row r="331" spans="2:4" x14ac:dyDescent="0.25">
      <c r="B331" s="34"/>
      <c r="C331" s="35"/>
      <c r="D331" s="35"/>
    </row>
    <row r="332" spans="2:4" x14ac:dyDescent="0.25">
      <c r="B332" s="34"/>
      <c r="C332" s="35"/>
      <c r="D332" s="35"/>
    </row>
    <row r="333" spans="2:4" x14ac:dyDescent="0.25">
      <c r="B333" s="34"/>
      <c r="C333" s="35"/>
      <c r="D333" s="35"/>
    </row>
    <row r="334" spans="2:4" x14ac:dyDescent="0.25">
      <c r="B334" s="34"/>
      <c r="C334" s="35"/>
      <c r="D334" s="35"/>
    </row>
    <row r="335" spans="2:4" x14ac:dyDescent="0.25">
      <c r="B335" s="34"/>
      <c r="C335" s="35"/>
      <c r="D335" s="35"/>
    </row>
    <row r="336" spans="2:4" x14ac:dyDescent="0.25">
      <c r="B336" s="34"/>
      <c r="C336" s="35"/>
      <c r="D336" s="35"/>
    </row>
    <row r="337" spans="2:4" x14ac:dyDescent="0.25">
      <c r="B337" s="34"/>
      <c r="C337" s="35"/>
      <c r="D337" s="35"/>
    </row>
    <row r="338" spans="2:4" x14ac:dyDescent="0.25">
      <c r="B338" s="34"/>
      <c r="C338" s="35"/>
      <c r="D338" s="35"/>
    </row>
    <row r="339" spans="2:4" x14ac:dyDescent="0.25">
      <c r="B339" s="34"/>
      <c r="C339" s="35"/>
      <c r="D339" s="35"/>
    </row>
    <row r="340" spans="2:4" x14ac:dyDescent="0.25">
      <c r="B340" s="34"/>
      <c r="C340" s="35"/>
      <c r="D340" s="35"/>
    </row>
    <row r="341" spans="2:4" x14ac:dyDescent="0.25">
      <c r="B341" s="34"/>
      <c r="C341" s="35"/>
      <c r="D341" s="35"/>
    </row>
    <row r="342" spans="2:4" x14ac:dyDescent="0.25">
      <c r="B342" s="34"/>
      <c r="C342" s="35"/>
      <c r="D342" s="35"/>
    </row>
    <row r="343" spans="2:4" x14ac:dyDescent="0.25">
      <c r="B343" s="34"/>
      <c r="C343" s="35"/>
      <c r="D343" s="35"/>
    </row>
    <row r="344" spans="2:4" x14ac:dyDescent="0.25">
      <c r="B344" s="34"/>
      <c r="C344" s="35"/>
      <c r="D344" s="35"/>
    </row>
    <row r="345" spans="2:4" x14ac:dyDescent="0.25">
      <c r="B345" s="34"/>
      <c r="C345" s="35"/>
      <c r="D345" s="35"/>
    </row>
    <row r="346" spans="2:4" x14ac:dyDescent="0.25">
      <c r="B346" s="34"/>
      <c r="C346" s="35"/>
      <c r="D346" s="35"/>
    </row>
    <row r="347" spans="2:4" x14ac:dyDescent="0.25">
      <c r="B347" s="34"/>
      <c r="C347" s="35"/>
      <c r="D347" s="35"/>
    </row>
    <row r="348" spans="2:4" x14ac:dyDescent="0.25">
      <c r="B348" s="34"/>
      <c r="C348" s="35"/>
      <c r="D348" s="35"/>
    </row>
    <row r="349" spans="2:4" x14ac:dyDescent="0.25">
      <c r="B349" s="34"/>
      <c r="C349" s="35"/>
      <c r="D349" s="35"/>
    </row>
    <row r="350" spans="2:4" x14ac:dyDescent="0.25">
      <c r="B350" s="34"/>
      <c r="C350" s="35"/>
      <c r="D350" s="35"/>
    </row>
    <row r="351" spans="2:4" x14ac:dyDescent="0.25">
      <c r="B351" s="34"/>
      <c r="C351" s="35"/>
      <c r="D351" s="35"/>
    </row>
    <row r="352" spans="2:4" x14ac:dyDescent="0.25">
      <c r="B352" s="34"/>
      <c r="C352" s="35"/>
      <c r="D352" s="35"/>
    </row>
    <row r="353" spans="2:4" x14ac:dyDescent="0.25">
      <c r="B353" s="34"/>
      <c r="C353" s="35"/>
      <c r="D353" s="35"/>
    </row>
    <row r="354" spans="2:4" x14ac:dyDescent="0.25">
      <c r="B354" s="34"/>
      <c r="C354" s="35"/>
      <c r="D354" s="35"/>
    </row>
    <row r="355" spans="2:4" x14ac:dyDescent="0.25">
      <c r="B355" s="34"/>
      <c r="C355" s="35"/>
      <c r="D355" s="35"/>
    </row>
    <row r="356" spans="2:4" x14ac:dyDescent="0.25">
      <c r="B356" s="34"/>
      <c r="C356" s="35"/>
      <c r="D356" s="35"/>
    </row>
    <row r="357" spans="2:4" x14ac:dyDescent="0.25">
      <c r="B357" s="34"/>
      <c r="C357" s="35"/>
      <c r="D357" s="35"/>
    </row>
    <row r="358" spans="2:4" x14ac:dyDescent="0.25">
      <c r="B358" s="34"/>
      <c r="C358" s="35"/>
      <c r="D358" s="35"/>
    </row>
    <row r="359" spans="2:4" x14ac:dyDescent="0.25">
      <c r="B359" s="34"/>
      <c r="C359" s="35"/>
      <c r="D359" s="35"/>
    </row>
    <row r="360" spans="2:4" x14ac:dyDescent="0.25">
      <c r="B360" s="34"/>
      <c r="C360" s="35"/>
      <c r="D360" s="35"/>
    </row>
    <row r="361" spans="2:4" x14ac:dyDescent="0.25">
      <c r="B361" s="34"/>
      <c r="C361" s="35"/>
      <c r="D361" s="35"/>
    </row>
    <row r="362" spans="2:4" x14ac:dyDescent="0.25">
      <c r="B362" s="34"/>
      <c r="C362" s="35"/>
      <c r="D362" s="35"/>
    </row>
    <row r="363" spans="2:4" x14ac:dyDescent="0.25">
      <c r="B363" s="34"/>
      <c r="C363" s="35"/>
      <c r="D363" s="35"/>
    </row>
    <row r="364" spans="2:4" x14ac:dyDescent="0.25">
      <c r="B364" s="34"/>
      <c r="C364" s="35"/>
      <c r="D364" s="35"/>
    </row>
    <row r="365" spans="2:4" x14ac:dyDescent="0.25">
      <c r="B365" s="34"/>
      <c r="C365" s="35"/>
      <c r="D365" s="35"/>
    </row>
    <row r="366" spans="2:4" x14ac:dyDescent="0.25">
      <c r="B366" s="34"/>
      <c r="C366" s="35"/>
      <c r="D366" s="35"/>
    </row>
    <row r="367" spans="2:4" x14ac:dyDescent="0.25">
      <c r="B367" s="34"/>
      <c r="C367" s="35"/>
      <c r="D367" s="35"/>
    </row>
    <row r="368" spans="2:4" x14ac:dyDescent="0.25">
      <c r="B368" s="34"/>
      <c r="C368" s="35"/>
      <c r="D368" s="35"/>
    </row>
    <row r="369" spans="2:4" x14ac:dyDescent="0.25">
      <c r="B369" s="34"/>
      <c r="C369" s="35"/>
      <c r="D369" s="35"/>
    </row>
    <row r="370" spans="2:4" x14ac:dyDescent="0.25">
      <c r="B370" s="34"/>
      <c r="C370" s="35"/>
      <c r="D370" s="35"/>
    </row>
    <row r="371" spans="2:4" x14ac:dyDescent="0.25">
      <c r="B371" s="34"/>
      <c r="C371" s="35"/>
      <c r="D371" s="35"/>
    </row>
    <row r="372" spans="2:4" x14ac:dyDescent="0.25">
      <c r="B372" s="34"/>
      <c r="C372" s="35"/>
      <c r="D372" s="35"/>
    </row>
    <row r="373" spans="2:4" x14ac:dyDescent="0.25">
      <c r="B373" s="34"/>
      <c r="C373" s="35"/>
      <c r="D373" s="35"/>
    </row>
    <row r="374" spans="2:4" x14ac:dyDescent="0.25">
      <c r="B374" s="34"/>
      <c r="C374" s="35"/>
      <c r="D374" s="35"/>
    </row>
    <row r="375" spans="2:4" x14ac:dyDescent="0.25">
      <c r="B375" s="34"/>
      <c r="C375" s="35"/>
      <c r="D375" s="35"/>
    </row>
    <row r="376" spans="2:4" x14ac:dyDescent="0.25">
      <c r="B376" s="34"/>
      <c r="C376" s="35"/>
      <c r="D376" s="35"/>
    </row>
    <row r="377" spans="2:4" x14ac:dyDescent="0.25">
      <c r="B377" s="34"/>
      <c r="C377" s="35"/>
      <c r="D377" s="35"/>
    </row>
    <row r="378" spans="2:4" x14ac:dyDescent="0.25">
      <c r="B378" s="34"/>
      <c r="C378" s="35"/>
      <c r="D378" s="35"/>
    </row>
    <row r="379" spans="2:4" x14ac:dyDescent="0.25">
      <c r="B379" s="34"/>
      <c r="C379" s="35"/>
      <c r="D379" s="35"/>
    </row>
    <row r="380" spans="2:4" x14ac:dyDescent="0.25">
      <c r="B380" s="34"/>
      <c r="C380" s="35"/>
      <c r="D380" s="35"/>
    </row>
    <row r="381" spans="2:4" x14ac:dyDescent="0.25">
      <c r="B381" s="34"/>
      <c r="C381" s="35"/>
      <c r="D381" s="35"/>
    </row>
    <row r="382" spans="2:4" x14ac:dyDescent="0.25">
      <c r="B382" s="34"/>
      <c r="C382" s="35"/>
      <c r="D382" s="35"/>
    </row>
    <row r="383" spans="2:4" x14ac:dyDescent="0.25">
      <c r="B383" s="34"/>
      <c r="C383" s="35"/>
      <c r="D383" s="35"/>
    </row>
    <row r="384" spans="2:4" x14ac:dyDescent="0.25">
      <c r="B384" s="34"/>
      <c r="C384" s="35"/>
      <c r="D384" s="35"/>
    </row>
    <row r="385" spans="2:4" x14ac:dyDescent="0.25">
      <c r="B385" s="34"/>
      <c r="C385" s="35"/>
      <c r="D385" s="35"/>
    </row>
    <row r="386" spans="2:4" x14ac:dyDescent="0.25">
      <c r="B386" s="34"/>
      <c r="C386" s="35"/>
      <c r="D386" s="35"/>
    </row>
    <row r="387" spans="2:4" x14ac:dyDescent="0.25">
      <c r="B387" s="34"/>
      <c r="C387" s="35"/>
      <c r="D387" s="35"/>
    </row>
    <row r="388" spans="2:4" x14ac:dyDescent="0.25">
      <c r="B388" s="34"/>
      <c r="C388" s="35"/>
      <c r="D388" s="35"/>
    </row>
    <row r="389" spans="2:4" x14ac:dyDescent="0.25">
      <c r="B389" s="34"/>
      <c r="C389" s="35"/>
      <c r="D389" s="35"/>
    </row>
    <row r="390" spans="2:4" x14ac:dyDescent="0.25">
      <c r="B390" s="34"/>
      <c r="C390" s="35"/>
      <c r="D390" s="35"/>
    </row>
    <row r="391" spans="2:4" x14ac:dyDescent="0.25">
      <c r="B391" s="34"/>
      <c r="C391" s="35"/>
      <c r="D391" s="35"/>
    </row>
    <row r="392" spans="2:4" x14ac:dyDescent="0.25">
      <c r="B392" s="34"/>
      <c r="C392" s="35"/>
      <c r="D392" s="35"/>
    </row>
    <row r="393" spans="2:4" x14ac:dyDescent="0.25">
      <c r="B393" s="34"/>
      <c r="C393" s="35"/>
      <c r="D393" s="35"/>
    </row>
    <row r="394" spans="2:4" x14ac:dyDescent="0.25">
      <c r="B394" s="34"/>
      <c r="C394" s="35"/>
      <c r="D394" s="35"/>
    </row>
    <row r="395" spans="2:4" x14ac:dyDescent="0.25">
      <c r="B395" s="34"/>
      <c r="C395" s="35"/>
      <c r="D395" s="35"/>
    </row>
    <row r="396" spans="2:4" x14ac:dyDescent="0.25">
      <c r="B396" s="34"/>
      <c r="C396" s="35"/>
      <c r="D396" s="35"/>
    </row>
    <row r="397" spans="2:4" x14ac:dyDescent="0.25">
      <c r="B397" s="34"/>
      <c r="C397" s="35"/>
      <c r="D397" s="35"/>
    </row>
    <row r="398" spans="2:4" x14ac:dyDescent="0.25">
      <c r="B398" s="34"/>
      <c r="C398" s="35"/>
      <c r="D398" s="35"/>
    </row>
    <row r="399" spans="2:4" x14ac:dyDescent="0.25">
      <c r="B399" s="34"/>
      <c r="C399" s="35"/>
      <c r="D399" s="35"/>
    </row>
    <row r="400" spans="2:4" x14ac:dyDescent="0.25">
      <c r="B400" s="34"/>
      <c r="C400" s="35"/>
      <c r="D400" s="35"/>
    </row>
    <row r="401" spans="2:4" x14ac:dyDescent="0.25">
      <c r="B401" s="34"/>
      <c r="C401" s="35"/>
      <c r="D401" s="35"/>
    </row>
    <row r="402" spans="2:4" x14ac:dyDescent="0.25">
      <c r="B402" s="34"/>
      <c r="C402" s="35"/>
      <c r="D402" s="35"/>
    </row>
    <row r="403" spans="2:4" x14ac:dyDescent="0.25">
      <c r="B403" s="34"/>
      <c r="C403" s="35"/>
      <c r="D403" s="35"/>
    </row>
    <row r="404" spans="2:4" x14ac:dyDescent="0.25">
      <c r="B404" s="34"/>
      <c r="C404" s="35"/>
      <c r="D404" s="35"/>
    </row>
    <row r="405" spans="2:4" x14ac:dyDescent="0.25">
      <c r="B405" s="34"/>
      <c r="C405" s="35"/>
      <c r="D405" s="35"/>
    </row>
    <row r="406" spans="2:4" x14ac:dyDescent="0.25">
      <c r="B406" s="34"/>
      <c r="C406" s="35"/>
      <c r="D406" s="35"/>
    </row>
    <row r="407" spans="2:4" x14ac:dyDescent="0.25">
      <c r="B407" s="34"/>
      <c r="C407" s="35"/>
      <c r="D407" s="35"/>
    </row>
    <row r="408" spans="2:4" x14ac:dyDescent="0.25">
      <c r="B408" s="34"/>
      <c r="C408" s="35"/>
      <c r="D408" s="35"/>
    </row>
    <row r="409" spans="2:4" x14ac:dyDescent="0.25">
      <c r="B409" s="34"/>
      <c r="C409" s="35"/>
      <c r="D409" s="35"/>
    </row>
    <row r="410" spans="2:4" x14ac:dyDescent="0.25">
      <c r="B410" s="34"/>
      <c r="C410" s="35"/>
      <c r="D410" s="35"/>
    </row>
    <row r="411" spans="2:4" x14ac:dyDescent="0.25">
      <c r="B411" s="34"/>
      <c r="C411" s="35"/>
      <c r="D411" s="35"/>
    </row>
    <row r="412" spans="2:4" x14ac:dyDescent="0.25">
      <c r="B412" s="34"/>
      <c r="C412" s="35"/>
      <c r="D412" s="35"/>
    </row>
    <row r="413" spans="2:4" x14ac:dyDescent="0.25">
      <c r="B413" s="34"/>
      <c r="C413" s="35"/>
      <c r="D413" s="35"/>
    </row>
    <row r="414" spans="2:4" x14ac:dyDescent="0.25">
      <c r="B414" s="34"/>
      <c r="C414" s="35"/>
      <c r="D414" s="35"/>
    </row>
    <row r="415" spans="2:4" x14ac:dyDescent="0.25">
      <c r="B415" s="34"/>
      <c r="C415" s="35"/>
      <c r="D415" s="35"/>
    </row>
    <row r="416" spans="2:4" x14ac:dyDescent="0.25">
      <c r="B416" s="34"/>
      <c r="C416" s="35"/>
      <c r="D416" s="35"/>
    </row>
    <row r="417" spans="2:4" x14ac:dyDescent="0.25">
      <c r="B417" s="34"/>
      <c r="C417" s="35"/>
      <c r="D417" s="35"/>
    </row>
    <row r="418" spans="2:4" x14ac:dyDescent="0.25">
      <c r="B418" s="34"/>
      <c r="C418" s="35"/>
      <c r="D418" s="35"/>
    </row>
    <row r="419" spans="2:4" x14ac:dyDescent="0.25">
      <c r="B419" s="34"/>
      <c r="C419" s="35"/>
      <c r="D419" s="35"/>
    </row>
    <row r="420" spans="2:4" x14ac:dyDescent="0.25">
      <c r="B420" s="34"/>
      <c r="C420" s="35"/>
      <c r="D420" s="35"/>
    </row>
    <row r="421" spans="2:4" x14ac:dyDescent="0.25">
      <c r="B421" s="34"/>
      <c r="C421" s="35"/>
      <c r="D421" s="35"/>
    </row>
    <row r="422" spans="2:4" x14ac:dyDescent="0.25">
      <c r="B422" s="34"/>
      <c r="C422" s="35"/>
      <c r="D422" s="35"/>
    </row>
    <row r="423" spans="2:4" x14ac:dyDescent="0.25">
      <c r="B423" s="34"/>
      <c r="C423" s="35"/>
      <c r="D423" s="35"/>
    </row>
    <row r="424" spans="2:4" x14ac:dyDescent="0.25">
      <c r="B424" s="34"/>
      <c r="C424" s="35"/>
      <c r="D424" s="35"/>
    </row>
    <row r="425" spans="2:4" x14ac:dyDescent="0.25">
      <c r="B425" s="34"/>
      <c r="C425" s="35"/>
      <c r="D425" s="35"/>
    </row>
    <row r="426" spans="2:4" x14ac:dyDescent="0.25">
      <c r="B426" s="34"/>
      <c r="C426" s="35"/>
      <c r="D426" s="35"/>
    </row>
    <row r="427" spans="2:4" x14ac:dyDescent="0.25">
      <c r="B427" s="34"/>
      <c r="C427" s="35"/>
      <c r="D427" s="35"/>
    </row>
    <row r="428" spans="2:4" x14ac:dyDescent="0.25">
      <c r="B428" s="34"/>
      <c r="C428" s="35"/>
      <c r="D428" s="35"/>
    </row>
    <row r="429" spans="2:4" x14ac:dyDescent="0.25">
      <c r="B429" s="34"/>
      <c r="C429" s="35"/>
      <c r="D429" s="35"/>
    </row>
    <row r="430" spans="2:4" x14ac:dyDescent="0.25">
      <c r="B430" s="34"/>
      <c r="C430" s="35"/>
      <c r="D430" s="35"/>
    </row>
    <row r="431" spans="2:4" x14ac:dyDescent="0.25">
      <c r="B431" s="34"/>
      <c r="C431" s="35"/>
      <c r="D431" s="35"/>
    </row>
    <row r="432" spans="2:4" x14ac:dyDescent="0.25">
      <c r="C432" s="35"/>
      <c r="D432" s="35"/>
    </row>
    <row r="433" spans="3:4" x14ac:dyDescent="0.25">
      <c r="C433" s="35"/>
      <c r="D433" s="35"/>
    </row>
    <row r="434" spans="3:4" x14ac:dyDescent="0.25">
      <c r="C434" s="35"/>
      <c r="D434" s="35"/>
    </row>
    <row r="435" spans="3:4" x14ac:dyDescent="0.25">
      <c r="C435" s="35"/>
      <c r="D435" s="35"/>
    </row>
    <row r="436" spans="3:4" x14ac:dyDescent="0.25">
      <c r="C436" s="35"/>
      <c r="D436" s="35"/>
    </row>
    <row r="437" spans="3:4" x14ac:dyDescent="0.25">
      <c r="C437" s="35"/>
      <c r="D437" s="35"/>
    </row>
    <row r="438" spans="3:4" x14ac:dyDescent="0.25">
      <c r="C438" s="35"/>
      <c r="D438" s="35"/>
    </row>
    <row r="439" spans="3:4" x14ac:dyDescent="0.25">
      <c r="C439" s="35"/>
      <c r="D439" s="35"/>
    </row>
    <row r="440" spans="3:4" x14ac:dyDescent="0.25">
      <c r="C440" s="35"/>
      <c r="D440" s="35"/>
    </row>
    <row r="441" spans="3:4" x14ac:dyDescent="0.25">
      <c r="C441" s="35"/>
      <c r="D441" s="35"/>
    </row>
    <row r="442" spans="3:4" x14ac:dyDescent="0.25">
      <c r="C442" s="35"/>
      <c r="D442" s="35"/>
    </row>
    <row r="443" spans="3:4" x14ac:dyDescent="0.25">
      <c r="C443" s="35"/>
      <c r="D443" s="35"/>
    </row>
    <row r="444" spans="3:4" x14ac:dyDescent="0.25">
      <c r="C444" s="35"/>
      <c r="D444" s="35"/>
    </row>
    <row r="445" spans="3:4" x14ac:dyDescent="0.25">
      <c r="C445" s="35"/>
      <c r="D445" s="35"/>
    </row>
    <row r="446" spans="3:4" x14ac:dyDescent="0.25">
      <c r="C446" s="35"/>
      <c r="D446" s="35"/>
    </row>
    <row r="447" spans="3:4" x14ac:dyDescent="0.25">
      <c r="C447" s="35"/>
      <c r="D447" s="35"/>
    </row>
    <row r="448" spans="3:4" x14ac:dyDescent="0.25">
      <c r="C448" s="35"/>
      <c r="D448" s="35"/>
    </row>
    <row r="449" spans="3:4" x14ac:dyDescent="0.25">
      <c r="C449" s="35"/>
      <c r="D449" s="35"/>
    </row>
    <row r="450" spans="3:4" x14ac:dyDescent="0.25">
      <c r="C450" s="35"/>
      <c r="D450" s="35"/>
    </row>
    <row r="451" spans="3:4" x14ac:dyDescent="0.25">
      <c r="C451" s="35"/>
      <c r="D451" s="35"/>
    </row>
    <row r="452" spans="3:4" x14ac:dyDescent="0.25">
      <c r="C452" s="35"/>
      <c r="D452" s="35"/>
    </row>
    <row r="453" spans="3:4" x14ac:dyDescent="0.25">
      <c r="C453" s="35"/>
      <c r="D453" s="35"/>
    </row>
    <row r="454" spans="3:4" x14ac:dyDescent="0.25">
      <c r="C454" s="35"/>
      <c r="D454" s="35"/>
    </row>
    <row r="455" spans="3:4" x14ac:dyDescent="0.25">
      <c r="C455" s="35"/>
      <c r="D455" s="35"/>
    </row>
    <row r="456" spans="3:4" x14ac:dyDescent="0.25">
      <c r="C456" s="35"/>
      <c r="D456" s="35"/>
    </row>
    <row r="457" spans="3:4" x14ac:dyDescent="0.25">
      <c r="C457" s="35"/>
      <c r="D457" s="35"/>
    </row>
    <row r="458" spans="3:4" x14ac:dyDescent="0.25">
      <c r="C458" s="35"/>
      <c r="D458" s="35"/>
    </row>
    <row r="459" spans="3:4" x14ac:dyDescent="0.25">
      <c r="C459" s="35"/>
      <c r="D459" s="35"/>
    </row>
    <row r="460" spans="3:4" x14ac:dyDescent="0.25">
      <c r="C460" s="35"/>
      <c r="D460" s="35"/>
    </row>
    <row r="461" spans="3:4" x14ac:dyDescent="0.25">
      <c r="C461" s="35"/>
      <c r="D461" s="35"/>
    </row>
    <row r="462" spans="3:4" x14ac:dyDescent="0.25">
      <c r="C462" s="35"/>
      <c r="D462" s="35"/>
    </row>
    <row r="463" spans="3:4" x14ac:dyDescent="0.25">
      <c r="C463" s="35"/>
      <c r="D463" s="35"/>
    </row>
    <row r="464" spans="3:4" x14ac:dyDescent="0.25">
      <c r="C464" s="35"/>
      <c r="D464" s="35"/>
    </row>
    <row r="465" spans="3:4" x14ac:dyDescent="0.25">
      <c r="C465" s="35"/>
      <c r="D465" s="35"/>
    </row>
    <row r="466" spans="3:4" x14ac:dyDescent="0.25">
      <c r="C466" s="35"/>
      <c r="D466" s="35"/>
    </row>
    <row r="467" spans="3:4" x14ac:dyDescent="0.25">
      <c r="C467" s="35"/>
      <c r="D467" s="35"/>
    </row>
    <row r="468" spans="3:4" x14ac:dyDescent="0.25">
      <c r="C468" s="35"/>
      <c r="D468" s="35"/>
    </row>
    <row r="469" spans="3:4" x14ac:dyDescent="0.25">
      <c r="C469" s="35"/>
      <c r="D469" s="35"/>
    </row>
    <row r="470" spans="3:4" x14ac:dyDescent="0.25">
      <c r="C470" s="35"/>
      <c r="D470" s="35"/>
    </row>
    <row r="471" spans="3:4" x14ac:dyDescent="0.25">
      <c r="C471" s="35"/>
      <c r="D471" s="35"/>
    </row>
    <row r="472" spans="3:4" x14ac:dyDescent="0.25">
      <c r="C472" s="35"/>
      <c r="D472" s="35"/>
    </row>
    <row r="473" spans="3:4" x14ac:dyDescent="0.25">
      <c r="C473" s="35"/>
      <c r="D473" s="35"/>
    </row>
    <row r="474" spans="3:4" x14ac:dyDescent="0.25">
      <c r="C474" s="35"/>
      <c r="D474" s="35"/>
    </row>
  </sheetData>
  <sheetProtection selectLockedCells="1"/>
  <mergeCells count="318">
    <mergeCell ref="C21:D21"/>
    <mergeCell ref="C22:D22"/>
    <mergeCell ref="C23:D23"/>
    <mergeCell ref="C24:D24"/>
    <mergeCell ref="C19:D19"/>
    <mergeCell ref="C10:D10"/>
    <mergeCell ref="A6:C6"/>
    <mergeCell ref="C8:D8"/>
    <mergeCell ref="C20:D20"/>
    <mergeCell ref="C15:D15"/>
    <mergeCell ref="C16:D16"/>
    <mergeCell ref="C17:D17"/>
    <mergeCell ref="C18:D18"/>
    <mergeCell ref="C13:D13"/>
    <mergeCell ref="C14:D14"/>
    <mergeCell ref="C12:D12"/>
    <mergeCell ref="C11:D11"/>
    <mergeCell ref="C30:D30"/>
    <mergeCell ref="C31:D31"/>
    <mergeCell ref="C32:D32"/>
    <mergeCell ref="C33:D33"/>
    <mergeCell ref="C34:D34"/>
    <mergeCell ref="C25:D25"/>
    <mergeCell ref="C26:D26"/>
    <mergeCell ref="C27:D27"/>
    <mergeCell ref="C28:D28"/>
    <mergeCell ref="C29:D29"/>
    <mergeCell ref="C40:D40"/>
    <mergeCell ref="C41:D41"/>
    <mergeCell ref="C42:D42"/>
    <mergeCell ref="C43:D43"/>
    <mergeCell ref="C44:D44"/>
    <mergeCell ref="C35:D35"/>
    <mergeCell ref="C36:D36"/>
    <mergeCell ref="C37:D37"/>
    <mergeCell ref="C38:D38"/>
    <mergeCell ref="C39:D39"/>
    <mergeCell ref="C50:D50"/>
    <mergeCell ref="C51:D51"/>
    <mergeCell ref="C52:D52"/>
    <mergeCell ref="C53:D53"/>
    <mergeCell ref="C54:D54"/>
    <mergeCell ref="C45:D45"/>
    <mergeCell ref="C46:D46"/>
    <mergeCell ref="C47:D47"/>
    <mergeCell ref="C48:D48"/>
    <mergeCell ref="C49:D49"/>
    <mergeCell ref="C60:D60"/>
    <mergeCell ref="C61:D61"/>
    <mergeCell ref="C62:D62"/>
    <mergeCell ref="C63:D63"/>
    <mergeCell ref="C64:D64"/>
    <mergeCell ref="C55:D55"/>
    <mergeCell ref="C56:D56"/>
    <mergeCell ref="C57:D57"/>
    <mergeCell ref="C58:D58"/>
    <mergeCell ref="C59:D59"/>
    <mergeCell ref="C70:D70"/>
    <mergeCell ref="C71:D71"/>
    <mergeCell ref="C72:D72"/>
    <mergeCell ref="C73:D73"/>
    <mergeCell ref="C74:D74"/>
    <mergeCell ref="C65:D65"/>
    <mergeCell ref="C66:D66"/>
    <mergeCell ref="C67:D67"/>
    <mergeCell ref="C68:D68"/>
    <mergeCell ref="C69:D69"/>
    <mergeCell ref="C80:D80"/>
    <mergeCell ref="C81:D81"/>
    <mergeCell ref="C82:D82"/>
    <mergeCell ref="C83:D83"/>
    <mergeCell ref="C84:D84"/>
    <mergeCell ref="C75:D75"/>
    <mergeCell ref="C76:D76"/>
    <mergeCell ref="C77:D77"/>
    <mergeCell ref="C78:D78"/>
    <mergeCell ref="C79:D79"/>
    <mergeCell ref="C90:D90"/>
    <mergeCell ref="C91:D91"/>
    <mergeCell ref="C92:D92"/>
    <mergeCell ref="C93:D93"/>
    <mergeCell ref="C94:D94"/>
    <mergeCell ref="C85:D85"/>
    <mergeCell ref="C86:D86"/>
    <mergeCell ref="C87:D87"/>
    <mergeCell ref="C88:D88"/>
    <mergeCell ref="C89:D89"/>
    <mergeCell ref="C100:D100"/>
    <mergeCell ref="C101:D101"/>
    <mergeCell ref="C102:D102"/>
    <mergeCell ref="C103:D103"/>
    <mergeCell ref="C104:D104"/>
    <mergeCell ref="C95:D95"/>
    <mergeCell ref="C96:D96"/>
    <mergeCell ref="C97:D97"/>
    <mergeCell ref="C98:D98"/>
    <mergeCell ref="C99:D99"/>
    <mergeCell ref="C110:D110"/>
    <mergeCell ref="C111:D111"/>
    <mergeCell ref="C112:D112"/>
    <mergeCell ref="C113:D113"/>
    <mergeCell ref="C114:D114"/>
    <mergeCell ref="C105:D105"/>
    <mergeCell ref="C106:D106"/>
    <mergeCell ref="C107:D107"/>
    <mergeCell ref="C108:D108"/>
    <mergeCell ref="C109:D109"/>
    <mergeCell ref="C120:D120"/>
    <mergeCell ref="C121:D121"/>
    <mergeCell ref="C122:D122"/>
    <mergeCell ref="C123:D123"/>
    <mergeCell ref="C124:D124"/>
    <mergeCell ref="C115:D115"/>
    <mergeCell ref="C116:D116"/>
    <mergeCell ref="C117:D117"/>
    <mergeCell ref="C118:D118"/>
    <mergeCell ref="C119:D119"/>
    <mergeCell ref="C130:D130"/>
    <mergeCell ref="C131:D131"/>
    <mergeCell ref="C132:D132"/>
    <mergeCell ref="C133:D133"/>
    <mergeCell ref="C134:D134"/>
    <mergeCell ref="C125:D125"/>
    <mergeCell ref="C126:D126"/>
    <mergeCell ref="C127:D127"/>
    <mergeCell ref="C128:D128"/>
    <mergeCell ref="C129:D129"/>
    <mergeCell ref="C140:D140"/>
    <mergeCell ref="C141:D141"/>
    <mergeCell ref="C142:D142"/>
    <mergeCell ref="C143:D143"/>
    <mergeCell ref="C144:D144"/>
    <mergeCell ref="C135:D135"/>
    <mergeCell ref="C136:D136"/>
    <mergeCell ref="C137:D137"/>
    <mergeCell ref="C138:D138"/>
    <mergeCell ref="C139:D139"/>
    <mergeCell ref="C150:D150"/>
    <mergeCell ref="C151:D151"/>
    <mergeCell ref="C152:D152"/>
    <mergeCell ref="C153:D153"/>
    <mergeCell ref="C154:D154"/>
    <mergeCell ref="C145:D145"/>
    <mergeCell ref="C146:D146"/>
    <mergeCell ref="C147:D147"/>
    <mergeCell ref="C148:D148"/>
    <mergeCell ref="C149:D149"/>
    <mergeCell ref="C160:D160"/>
    <mergeCell ref="C161:D161"/>
    <mergeCell ref="C162:D162"/>
    <mergeCell ref="C163:D163"/>
    <mergeCell ref="C164:D164"/>
    <mergeCell ref="C155:D155"/>
    <mergeCell ref="C156:D156"/>
    <mergeCell ref="C157:D157"/>
    <mergeCell ref="C158:D158"/>
    <mergeCell ref="C159:D159"/>
    <mergeCell ref="C170:D170"/>
    <mergeCell ref="C171:D171"/>
    <mergeCell ref="C172:D172"/>
    <mergeCell ref="C173:D173"/>
    <mergeCell ref="C174:D174"/>
    <mergeCell ref="C165:D165"/>
    <mergeCell ref="C166:D166"/>
    <mergeCell ref="C167:D167"/>
    <mergeCell ref="C168:D168"/>
    <mergeCell ref="C169:D169"/>
    <mergeCell ref="C180:D180"/>
    <mergeCell ref="C181:D181"/>
    <mergeCell ref="C182:D182"/>
    <mergeCell ref="C183:D183"/>
    <mergeCell ref="C184:D184"/>
    <mergeCell ref="C175:D175"/>
    <mergeCell ref="C176:D176"/>
    <mergeCell ref="C177:D177"/>
    <mergeCell ref="C178:D178"/>
    <mergeCell ref="C179:D179"/>
    <mergeCell ref="C190:D190"/>
    <mergeCell ref="C191:D191"/>
    <mergeCell ref="C192:D192"/>
    <mergeCell ref="C193:D193"/>
    <mergeCell ref="C194:D194"/>
    <mergeCell ref="C185:D185"/>
    <mergeCell ref="C186:D186"/>
    <mergeCell ref="C187:D187"/>
    <mergeCell ref="C188:D188"/>
    <mergeCell ref="C189:D189"/>
    <mergeCell ref="C200:D200"/>
    <mergeCell ref="C201:D201"/>
    <mergeCell ref="C202:D202"/>
    <mergeCell ref="C203:D203"/>
    <mergeCell ref="C204:D204"/>
    <mergeCell ref="C195:D195"/>
    <mergeCell ref="C196:D196"/>
    <mergeCell ref="C197:D197"/>
    <mergeCell ref="C198:D198"/>
    <mergeCell ref="C199:D199"/>
    <mergeCell ref="C210:D210"/>
    <mergeCell ref="C211:D211"/>
    <mergeCell ref="C212:D212"/>
    <mergeCell ref="C213:D213"/>
    <mergeCell ref="C214:D214"/>
    <mergeCell ref="C205:D205"/>
    <mergeCell ref="C206:D206"/>
    <mergeCell ref="C207:D207"/>
    <mergeCell ref="C208:D208"/>
    <mergeCell ref="C209:D209"/>
    <mergeCell ref="C220:D220"/>
    <mergeCell ref="C221:D221"/>
    <mergeCell ref="C222:D222"/>
    <mergeCell ref="C223:D223"/>
    <mergeCell ref="C224:D224"/>
    <mergeCell ref="C215:D215"/>
    <mergeCell ref="C216:D216"/>
    <mergeCell ref="C217:D217"/>
    <mergeCell ref="C218:D218"/>
    <mergeCell ref="C219:D219"/>
    <mergeCell ref="C230:D230"/>
    <mergeCell ref="C231:D231"/>
    <mergeCell ref="C232:D232"/>
    <mergeCell ref="C233:D233"/>
    <mergeCell ref="C234:D234"/>
    <mergeCell ref="C225:D225"/>
    <mergeCell ref="C226:D226"/>
    <mergeCell ref="C227:D227"/>
    <mergeCell ref="C228:D228"/>
    <mergeCell ref="C229:D229"/>
    <mergeCell ref="C240:D240"/>
    <mergeCell ref="C241:D241"/>
    <mergeCell ref="C242:D242"/>
    <mergeCell ref="C243:D243"/>
    <mergeCell ref="C244:D244"/>
    <mergeCell ref="C235:D235"/>
    <mergeCell ref="C236:D236"/>
    <mergeCell ref="C237:D237"/>
    <mergeCell ref="C238:D238"/>
    <mergeCell ref="C239:D239"/>
    <mergeCell ref="C250:D250"/>
    <mergeCell ref="C251:D251"/>
    <mergeCell ref="C252:D252"/>
    <mergeCell ref="C253:D253"/>
    <mergeCell ref="C254:D254"/>
    <mergeCell ref="C245:D245"/>
    <mergeCell ref="C246:D246"/>
    <mergeCell ref="C247:D247"/>
    <mergeCell ref="C248:D248"/>
    <mergeCell ref="C249:D249"/>
    <mergeCell ref="C260:D260"/>
    <mergeCell ref="C261:D261"/>
    <mergeCell ref="C262:D262"/>
    <mergeCell ref="C263:D263"/>
    <mergeCell ref="C264:D264"/>
    <mergeCell ref="C255:D255"/>
    <mergeCell ref="C256:D256"/>
    <mergeCell ref="C257:D257"/>
    <mergeCell ref="C258:D258"/>
    <mergeCell ref="C259:D259"/>
    <mergeCell ref="C270:D270"/>
    <mergeCell ref="C271:D271"/>
    <mergeCell ref="C272:D272"/>
    <mergeCell ref="C273:D273"/>
    <mergeCell ref="C274:D274"/>
    <mergeCell ref="C265:D265"/>
    <mergeCell ref="C266:D266"/>
    <mergeCell ref="C267:D267"/>
    <mergeCell ref="C268:D268"/>
    <mergeCell ref="C269:D269"/>
    <mergeCell ref="C280:D280"/>
    <mergeCell ref="C281:D281"/>
    <mergeCell ref="C282:D282"/>
    <mergeCell ref="C283:D283"/>
    <mergeCell ref="C284:D284"/>
    <mergeCell ref="C275:D275"/>
    <mergeCell ref="C276:D276"/>
    <mergeCell ref="C277:D277"/>
    <mergeCell ref="C278:D278"/>
    <mergeCell ref="C279:D279"/>
    <mergeCell ref="C290:D290"/>
    <mergeCell ref="C291:D291"/>
    <mergeCell ref="C292:D292"/>
    <mergeCell ref="C293:D293"/>
    <mergeCell ref="C294:D294"/>
    <mergeCell ref="C285:D285"/>
    <mergeCell ref="C286:D286"/>
    <mergeCell ref="C287:D287"/>
    <mergeCell ref="C288:D288"/>
    <mergeCell ref="C289:D289"/>
    <mergeCell ref="C300:D300"/>
    <mergeCell ref="C301:D301"/>
    <mergeCell ref="C302:D302"/>
    <mergeCell ref="C303:D303"/>
    <mergeCell ref="C304:D304"/>
    <mergeCell ref="C295:D295"/>
    <mergeCell ref="C296:D296"/>
    <mergeCell ref="C297:D297"/>
    <mergeCell ref="C298:D298"/>
    <mergeCell ref="C299:D299"/>
    <mergeCell ref="C325:D325"/>
    <mergeCell ref="C320:D320"/>
    <mergeCell ref="C321:D321"/>
    <mergeCell ref="C322:D322"/>
    <mergeCell ref="C323:D323"/>
    <mergeCell ref="C324:D324"/>
    <mergeCell ref="C315:D315"/>
    <mergeCell ref="C316:D316"/>
    <mergeCell ref="C317:D317"/>
    <mergeCell ref="C318:D318"/>
    <mergeCell ref="C319:D319"/>
    <mergeCell ref="C310:D310"/>
    <mergeCell ref="C311:D311"/>
    <mergeCell ref="C312:D312"/>
    <mergeCell ref="C313:D313"/>
    <mergeCell ref="C314:D314"/>
    <mergeCell ref="C305:D305"/>
    <mergeCell ref="C306:D306"/>
    <mergeCell ref="C307:D307"/>
    <mergeCell ref="C308:D308"/>
    <mergeCell ref="C309:D309"/>
  </mergeCells>
  <dataValidations count="1">
    <dataValidation type="list" allowBlank="1" showInputMessage="1" showErrorMessage="1" sqref="G11:G60" xr:uid="{00000000-0002-0000-0100-000000000000}">
      <formula1>"Hall Rental, Supplies, Cards, Printing, Phone"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MainExpensesFinancialsComplete">
              <controlPr defaultSize="0" print="0" autoFill="0" autoPict="0" macro="[0]!nonBeneFinancialsDone_Click">
                <anchor moveWithCells="1" sizeWithCells="1">
                  <from>
                    <xdr:col>5</xdr:col>
                    <xdr:colOff>19050</xdr:colOff>
                    <xdr:row>4</xdr:row>
                    <xdr:rowOff>19050</xdr:rowOff>
                  </from>
                  <to>
                    <xdr:col>5</xdr:col>
                    <xdr:colOff>1247775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U215"/>
  <sheetViews>
    <sheetView workbookViewId="0">
      <selection activeCell="L21" sqref="L21"/>
    </sheetView>
  </sheetViews>
  <sheetFormatPr defaultRowHeight="15" x14ac:dyDescent="0.25"/>
  <cols>
    <col min="1" max="1" width="10.28515625" style="1" customWidth="1"/>
    <col min="2" max="2" width="12.28515625" customWidth="1"/>
    <col min="3" max="3" width="12.85546875" customWidth="1"/>
    <col min="4" max="4" width="44" customWidth="1"/>
    <col min="5" max="5" width="12.7109375" style="42" customWidth="1"/>
    <col min="6" max="6" width="9.140625" style="21"/>
    <col min="7" max="9" width="0" hidden="1" customWidth="1"/>
    <col min="10" max="10" width="2.140625" customWidth="1"/>
    <col min="19" max="20" width="9.140625" style="1" customWidth="1"/>
  </cols>
  <sheetData>
    <row r="1" spans="1:21" x14ac:dyDescent="0.25">
      <c r="A1" s="14">
        <f>SUM(C11:C56)</f>
        <v>0</v>
      </c>
      <c r="B1" s="31" t="s">
        <v>156</v>
      </c>
      <c r="R1" s="2"/>
      <c r="U1" s="31"/>
    </row>
    <row r="2" spans="1:21" x14ac:dyDescent="0.25">
      <c r="A2"/>
      <c r="D2" s="124"/>
      <c r="E2" s="16"/>
      <c r="F2" s="16"/>
    </row>
    <row r="3" spans="1:21" x14ac:dyDescent="0.25">
      <c r="A3"/>
      <c r="B3" s="33"/>
    </row>
    <row r="4" spans="1:21" x14ac:dyDescent="0.25">
      <c r="A4" s="26">
        <f>FMFSummaryPlayerCount</f>
        <v>0</v>
      </c>
      <c r="B4" s="196" t="s">
        <v>123</v>
      </c>
      <c r="C4" s="196"/>
      <c r="E4" s="70"/>
    </row>
    <row r="5" spans="1:21" ht="21" x14ac:dyDescent="0.35">
      <c r="A5"/>
      <c r="B5" s="69"/>
      <c r="D5" s="37"/>
    </row>
    <row r="6" spans="1:21" x14ac:dyDescent="0.25">
      <c r="A6" s="28" t="s">
        <v>114</v>
      </c>
      <c r="B6" s="15"/>
      <c r="C6" s="15"/>
      <c r="F6" s="115"/>
    </row>
    <row r="7" spans="1:21" x14ac:dyDescent="0.25">
      <c r="A7" s="28"/>
      <c r="B7" s="15"/>
      <c r="C7" s="15"/>
      <c r="F7" s="115"/>
      <c r="K7" s="107"/>
      <c r="L7" s="107"/>
      <c r="M7" s="107"/>
      <c r="N7" s="107"/>
      <c r="O7" s="107"/>
      <c r="P7" s="107"/>
    </row>
    <row r="8" spans="1:21" x14ac:dyDescent="0.25">
      <c r="A8" s="14">
        <f>FMFPlayerBenefitsTotal</f>
        <v>0</v>
      </c>
      <c r="B8" s="36" t="s">
        <v>126</v>
      </c>
      <c r="E8"/>
      <c r="F8" s="115"/>
      <c r="K8" s="107"/>
      <c r="L8" s="107"/>
      <c r="M8" s="107"/>
      <c r="N8" s="107"/>
      <c r="O8" s="107"/>
      <c r="P8" s="107"/>
    </row>
    <row r="9" spans="1:21" x14ac:dyDescent="0.25">
      <c r="A9" s="28"/>
      <c r="B9" s="15"/>
      <c r="C9" s="15"/>
      <c r="E9" s="2" t="s">
        <v>122</v>
      </c>
      <c r="F9" s="115"/>
      <c r="K9" s="107"/>
      <c r="L9" s="107"/>
      <c r="M9" s="107"/>
      <c r="N9" s="107"/>
      <c r="O9" s="107"/>
      <c r="P9" s="107"/>
      <c r="S9"/>
      <c r="T9"/>
    </row>
    <row r="10" spans="1:21" x14ac:dyDescent="0.25">
      <c r="A10" s="63" t="s">
        <v>73</v>
      </c>
      <c r="B10" s="27" t="s">
        <v>74</v>
      </c>
      <c r="C10" s="63" t="s">
        <v>120</v>
      </c>
      <c r="D10" s="64" t="s">
        <v>78</v>
      </c>
      <c r="E10" s="109" t="s">
        <v>121</v>
      </c>
      <c r="F10" s="113"/>
    </row>
    <row r="11" spans="1:21" x14ac:dyDescent="0.25">
      <c r="A11" s="79"/>
      <c r="B11" s="73"/>
      <c r="C11" s="73"/>
      <c r="D11" s="74"/>
      <c r="E11" s="110"/>
      <c r="F11" s="114"/>
      <c r="G11" s="71"/>
    </row>
    <row r="12" spans="1:21" x14ac:dyDescent="0.25">
      <c r="A12" s="81"/>
      <c r="B12" s="76"/>
      <c r="C12" s="76"/>
      <c r="D12" s="77"/>
      <c r="E12" s="110"/>
      <c r="F12" s="114"/>
      <c r="G12" s="71"/>
    </row>
    <row r="13" spans="1:21" x14ac:dyDescent="0.25">
      <c r="A13" s="79"/>
      <c r="B13" s="73"/>
      <c r="C13" s="73"/>
      <c r="D13" s="74"/>
      <c r="E13" s="110"/>
      <c r="F13" s="114"/>
      <c r="G13" s="71"/>
    </row>
    <row r="14" spans="1:21" x14ac:dyDescent="0.25">
      <c r="A14" s="79"/>
      <c r="B14" s="73"/>
      <c r="C14" s="73"/>
      <c r="D14" s="74"/>
      <c r="E14" s="110"/>
      <c r="F14" s="114"/>
    </row>
    <row r="15" spans="1:21" x14ac:dyDescent="0.25">
      <c r="A15" s="79"/>
      <c r="B15" s="73"/>
      <c r="C15" s="73"/>
      <c r="D15" s="74"/>
      <c r="E15" s="110"/>
      <c r="F15" s="114"/>
    </row>
    <row r="16" spans="1:21" x14ac:dyDescent="0.25">
      <c r="A16" s="79"/>
      <c r="B16" s="73"/>
      <c r="C16" s="73"/>
      <c r="D16" s="74"/>
      <c r="E16" s="110"/>
      <c r="F16" s="114"/>
    </row>
    <row r="17" spans="1:6" x14ac:dyDescent="0.25">
      <c r="A17" s="79"/>
      <c r="B17" s="73"/>
      <c r="C17" s="73"/>
      <c r="D17" s="74"/>
      <c r="E17" s="110"/>
      <c r="F17" s="114"/>
    </row>
    <row r="18" spans="1:6" x14ac:dyDescent="0.25">
      <c r="A18" s="79"/>
      <c r="B18" s="73"/>
      <c r="C18" s="73"/>
      <c r="D18" s="78"/>
      <c r="E18" s="110"/>
      <c r="F18" s="114"/>
    </row>
    <row r="19" spans="1:6" x14ac:dyDescent="0.25">
      <c r="A19" s="81"/>
      <c r="B19" s="76"/>
      <c r="C19" s="76"/>
      <c r="D19" s="77"/>
      <c r="E19" s="111"/>
      <c r="F19" s="114"/>
    </row>
    <row r="20" spans="1:6" x14ac:dyDescent="0.25">
      <c r="A20" s="79"/>
      <c r="B20" s="73"/>
      <c r="C20" s="73"/>
      <c r="D20" s="74"/>
      <c r="E20" s="110"/>
      <c r="F20" s="114"/>
    </row>
    <row r="21" spans="1:6" x14ac:dyDescent="0.25">
      <c r="A21" s="79"/>
      <c r="B21" s="73"/>
      <c r="C21" s="73"/>
      <c r="D21" s="74"/>
      <c r="E21" s="110"/>
      <c r="F21" s="114"/>
    </row>
    <row r="22" spans="1:6" x14ac:dyDescent="0.25">
      <c r="A22" s="79"/>
      <c r="B22" s="73"/>
      <c r="C22" s="73"/>
      <c r="D22" s="74"/>
      <c r="E22" s="110"/>
      <c r="F22" s="114"/>
    </row>
    <row r="23" spans="1:6" x14ac:dyDescent="0.25">
      <c r="A23" s="79"/>
      <c r="B23" s="73"/>
      <c r="C23" s="73"/>
      <c r="D23" s="74"/>
      <c r="E23" s="110"/>
      <c r="F23" s="114"/>
    </row>
    <row r="24" spans="1:6" x14ac:dyDescent="0.25">
      <c r="A24" s="79"/>
      <c r="B24" s="73"/>
      <c r="C24" s="73"/>
      <c r="D24" s="74"/>
      <c r="E24" s="110"/>
      <c r="F24" s="114"/>
    </row>
    <row r="25" spans="1:6" x14ac:dyDescent="0.25">
      <c r="A25" s="79"/>
      <c r="B25" s="73"/>
      <c r="C25" s="73"/>
      <c r="D25" s="74"/>
      <c r="E25" s="110"/>
      <c r="F25" s="114"/>
    </row>
    <row r="26" spans="1:6" x14ac:dyDescent="0.25">
      <c r="A26" s="79"/>
      <c r="B26" s="73"/>
      <c r="C26" s="73"/>
      <c r="D26" s="74"/>
      <c r="E26" s="110"/>
      <c r="F26" s="114"/>
    </row>
    <row r="27" spans="1:6" x14ac:dyDescent="0.25">
      <c r="A27" s="79"/>
      <c r="B27" s="73"/>
      <c r="C27" s="73"/>
      <c r="D27" s="74"/>
      <c r="E27" s="110"/>
      <c r="F27" s="114"/>
    </row>
    <row r="28" spans="1:6" x14ac:dyDescent="0.25">
      <c r="A28" s="79"/>
      <c r="B28" s="73"/>
      <c r="C28" s="73"/>
      <c r="D28" s="74"/>
      <c r="E28" s="110"/>
      <c r="F28" s="114"/>
    </row>
    <row r="29" spans="1:6" x14ac:dyDescent="0.25">
      <c r="A29" s="79"/>
      <c r="B29" s="73"/>
      <c r="C29" s="73"/>
      <c r="D29" s="74"/>
      <c r="E29" s="110"/>
      <c r="F29" s="114"/>
    </row>
    <row r="30" spans="1:6" x14ac:dyDescent="0.25">
      <c r="A30" s="79"/>
      <c r="B30" s="73"/>
      <c r="C30" s="73"/>
      <c r="D30" s="74"/>
      <c r="E30" s="110"/>
      <c r="F30" s="114"/>
    </row>
    <row r="31" spans="1:6" x14ac:dyDescent="0.25">
      <c r="A31" s="79"/>
      <c r="B31" s="73"/>
      <c r="C31" s="73"/>
      <c r="D31" s="74"/>
      <c r="E31" s="110"/>
      <c r="F31" s="114"/>
    </row>
    <row r="32" spans="1:6" x14ac:dyDescent="0.25">
      <c r="A32" s="82"/>
      <c r="B32" s="83"/>
      <c r="C32" s="83"/>
      <c r="D32" s="84"/>
      <c r="E32" s="110"/>
      <c r="F32" s="114"/>
    </row>
    <row r="33" spans="1:6" x14ac:dyDescent="0.25">
      <c r="A33" s="79"/>
      <c r="B33" s="73"/>
      <c r="C33" s="73"/>
      <c r="D33" s="74"/>
      <c r="E33" s="110"/>
      <c r="F33" s="114"/>
    </row>
    <row r="34" spans="1:6" x14ac:dyDescent="0.25">
      <c r="A34" s="79"/>
      <c r="B34" s="73"/>
      <c r="C34" s="73"/>
      <c r="D34" s="74"/>
      <c r="E34" s="110"/>
      <c r="F34" s="114"/>
    </row>
    <row r="35" spans="1:6" x14ac:dyDescent="0.25">
      <c r="A35" s="79"/>
      <c r="B35" s="73"/>
      <c r="C35" s="73"/>
      <c r="D35" s="74"/>
      <c r="E35" s="110"/>
      <c r="F35" s="114"/>
    </row>
    <row r="36" spans="1:6" x14ac:dyDescent="0.25">
      <c r="A36" s="79"/>
      <c r="B36" s="73"/>
      <c r="C36" s="73"/>
      <c r="D36" s="74"/>
      <c r="E36" s="110"/>
      <c r="F36" s="114"/>
    </row>
    <row r="37" spans="1:6" x14ac:dyDescent="0.25">
      <c r="A37" s="79"/>
      <c r="B37" s="73"/>
      <c r="C37" s="73"/>
      <c r="D37" s="74"/>
      <c r="E37" s="110"/>
      <c r="F37" s="114"/>
    </row>
    <row r="38" spans="1:6" x14ac:dyDescent="0.25">
      <c r="A38" s="79"/>
      <c r="B38" s="73"/>
      <c r="C38" s="73"/>
      <c r="D38" s="74"/>
      <c r="E38" s="110"/>
      <c r="F38" s="114"/>
    </row>
    <row r="39" spans="1:6" x14ac:dyDescent="0.25">
      <c r="A39" s="79"/>
      <c r="B39" s="73"/>
      <c r="C39" s="73"/>
      <c r="D39" s="74"/>
      <c r="E39" s="110"/>
      <c r="F39" s="114"/>
    </row>
    <row r="40" spans="1:6" x14ac:dyDescent="0.25">
      <c r="A40" s="79"/>
      <c r="B40" s="73"/>
      <c r="C40" s="73"/>
      <c r="D40" s="74"/>
      <c r="E40" s="110"/>
      <c r="F40" s="114"/>
    </row>
    <row r="41" spans="1:6" x14ac:dyDescent="0.25">
      <c r="A41" s="79"/>
      <c r="B41" s="73"/>
      <c r="C41" s="73"/>
      <c r="D41" s="74"/>
      <c r="E41" s="110"/>
      <c r="F41" s="114"/>
    </row>
    <row r="42" spans="1:6" x14ac:dyDescent="0.25">
      <c r="A42" s="79"/>
      <c r="B42" s="73"/>
      <c r="C42" s="73"/>
      <c r="D42" s="74"/>
      <c r="E42" s="110"/>
      <c r="F42" s="114"/>
    </row>
    <row r="43" spans="1:6" x14ac:dyDescent="0.25">
      <c r="A43" s="79"/>
      <c r="B43" s="73"/>
      <c r="C43" s="73"/>
      <c r="D43" s="74"/>
      <c r="E43" s="110"/>
      <c r="F43" s="114"/>
    </row>
    <row r="44" spans="1:6" x14ac:dyDescent="0.25">
      <c r="A44" s="79"/>
      <c r="B44" s="73"/>
      <c r="C44" s="73"/>
      <c r="D44" s="74"/>
      <c r="E44" s="110"/>
      <c r="F44" s="114"/>
    </row>
    <row r="45" spans="1:6" x14ac:dyDescent="0.25">
      <c r="A45" s="79"/>
      <c r="B45" s="73"/>
      <c r="C45" s="73"/>
      <c r="D45" s="74"/>
      <c r="E45" s="110"/>
      <c r="F45" s="114"/>
    </row>
    <row r="46" spans="1:6" x14ac:dyDescent="0.25">
      <c r="A46" s="79"/>
      <c r="B46" s="73"/>
      <c r="C46" s="73"/>
      <c r="D46" s="74"/>
      <c r="E46" s="110"/>
      <c r="F46" s="114"/>
    </row>
    <row r="47" spans="1:6" x14ac:dyDescent="0.25">
      <c r="A47" s="79"/>
      <c r="B47" s="73"/>
      <c r="C47" s="73"/>
      <c r="D47" s="74"/>
      <c r="E47" s="110"/>
      <c r="F47" s="114"/>
    </row>
    <row r="48" spans="1:6" x14ac:dyDescent="0.25">
      <c r="A48" s="79"/>
      <c r="B48" s="73"/>
      <c r="C48" s="73"/>
      <c r="D48" s="74"/>
      <c r="E48" s="110"/>
      <c r="F48" s="114"/>
    </row>
    <row r="49" spans="1:6" x14ac:dyDescent="0.25">
      <c r="A49" s="79"/>
      <c r="B49" s="73"/>
      <c r="C49" s="73"/>
      <c r="D49" s="74"/>
      <c r="E49" s="110"/>
      <c r="F49" s="114"/>
    </row>
    <row r="50" spans="1:6" x14ac:dyDescent="0.25">
      <c r="A50" s="81"/>
      <c r="B50" s="76"/>
      <c r="C50" s="76"/>
      <c r="D50" s="77"/>
      <c r="E50" s="110"/>
      <c r="F50" s="114"/>
    </row>
    <row r="51" spans="1:6" x14ac:dyDescent="0.25">
      <c r="A51" s="79"/>
      <c r="B51" s="73"/>
      <c r="C51" s="73"/>
      <c r="D51" s="74"/>
      <c r="E51" s="110"/>
      <c r="F51" s="114"/>
    </row>
    <row r="52" spans="1:6" x14ac:dyDescent="0.25">
      <c r="A52" s="79"/>
      <c r="B52" s="73"/>
      <c r="C52" s="73"/>
      <c r="D52" s="74"/>
      <c r="E52" s="110"/>
      <c r="F52" s="114"/>
    </row>
    <row r="53" spans="1:6" x14ac:dyDescent="0.25">
      <c r="A53" s="79"/>
      <c r="B53" s="73"/>
      <c r="C53" s="73"/>
      <c r="D53" s="74"/>
      <c r="E53" s="110"/>
      <c r="F53" s="114"/>
    </row>
    <row r="54" spans="1:6" x14ac:dyDescent="0.25">
      <c r="A54" s="79"/>
      <c r="B54" s="73"/>
      <c r="C54" s="73"/>
      <c r="D54" s="74"/>
      <c r="E54" s="110"/>
      <c r="F54" s="114"/>
    </row>
    <row r="55" spans="1:6" x14ac:dyDescent="0.25">
      <c r="A55" s="79"/>
      <c r="B55" s="73"/>
      <c r="C55" s="73"/>
      <c r="D55" s="74"/>
      <c r="E55" s="110"/>
      <c r="F55" s="114"/>
    </row>
    <row r="56" spans="1:6" x14ac:dyDescent="0.25">
      <c r="A56" s="79"/>
      <c r="B56" s="73"/>
      <c r="C56" s="73"/>
      <c r="D56" s="74"/>
      <c r="E56" s="80"/>
      <c r="F56" s="114"/>
    </row>
    <row r="57" spans="1:6" x14ac:dyDescent="0.25">
      <c r="A57" s="121"/>
      <c r="B57" s="117"/>
      <c r="C57" s="117"/>
      <c r="D57" s="118"/>
      <c r="E57" s="122"/>
      <c r="F57" s="112"/>
    </row>
    <row r="58" spans="1:6" x14ac:dyDescent="0.25">
      <c r="A58" s="121"/>
      <c r="B58" s="117"/>
      <c r="C58" s="117"/>
      <c r="D58" s="118"/>
      <c r="E58" s="122"/>
      <c r="F58" s="112"/>
    </row>
    <row r="59" spans="1:6" x14ac:dyDescent="0.25">
      <c r="A59" s="121"/>
      <c r="B59" s="117"/>
      <c r="C59" s="117"/>
      <c r="D59" s="118"/>
      <c r="E59" s="122"/>
      <c r="F59" s="112"/>
    </row>
    <row r="60" spans="1:6" x14ac:dyDescent="0.25">
      <c r="A60" s="121"/>
      <c r="B60" s="117"/>
      <c r="C60" s="117"/>
      <c r="D60" s="118"/>
      <c r="E60" s="122"/>
      <c r="F60" s="112"/>
    </row>
    <row r="61" spans="1:6" x14ac:dyDescent="0.25">
      <c r="A61" s="121"/>
      <c r="B61" s="117"/>
      <c r="C61" s="117"/>
      <c r="D61" s="118"/>
      <c r="E61" s="122"/>
      <c r="F61" s="112"/>
    </row>
    <row r="62" spans="1:6" x14ac:dyDescent="0.25">
      <c r="A62" s="121"/>
      <c r="B62" s="117"/>
      <c r="C62" s="117"/>
      <c r="D62" s="118"/>
      <c r="E62" s="122"/>
      <c r="F62" s="112"/>
    </row>
    <row r="63" spans="1:6" x14ac:dyDescent="0.25">
      <c r="A63" s="121"/>
      <c r="B63" s="117"/>
      <c r="C63" s="117"/>
      <c r="D63" s="118"/>
      <c r="E63" s="122"/>
      <c r="F63" s="112"/>
    </row>
    <row r="64" spans="1:6" x14ac:dyDescent="0.25">
      <c r="A64" s="121"/>
      <c r="B64" s="117"/>
      <c r="C64" s="117"/>
      <c r="D64" s="118"/>
      <c r="E64" s="122"/>
      <c r="F64" s="112"/>
    </row>
    <row r="65" spans="1:6" x14ac:dyDescent="0.25">
      <c r="A65" s="121"/>
      <c r="B65" s="117"/>
      <c r="C65" s="117"/>
      <c r="D65" s="118"/>
      <c r="E65" s="122"/>
      <c r="F65" s="112"/>
    </row>
    <row r="66" spans="1:6" x14ac:dyDescent="0.25">
      <c r="A66" s="121"/>
      <c r="B66" s="117"/>
      <c r="C66" s="117"/>
      <c r="D66" s="118"/>
      <c r="E66" s="122"/>
      <c r="F66" s="112"/>
    </row>
    <row r="67" spans="1:6" x14ac:dyDescent="0.25">
      <c r="A67" s="121"/>
      <c r="B67" s="117"/>
      <c r="C67" s="117"/>
      <c r="D67" s="118"/>
      <c r="E67" s="122"/>
      <c r="F67" s="112"/>
    </row>
    <row r="68" spans="1:6" x14ac:dyDescent="0.25">
      <c r="A68" s="121"/>
      <c r="B68" s="117"/>
      <c r="C68" s="117"/>
      <c r="D68" s="118"/>
      <c r="E68" s="122"/>
      <c r="F68" s="112"/>
    </row>
    <row r="69" spans="1:6" x14ac:dyDescent="0.25">
      <c r="A69" s="121"/>
      <c r="B69" s="117"/>
      <c r="C69" s="117"/>
      <c r="D69" s="118"/>
      <c r="E69" s="122"/>
      <c r="F69" s="112"/>
    </row>
    <row r="70" spans="1:6" x14ac:dyDescent="0.25">
      <c r="A70" s="121"/>
      <c r="B70" s="117"/>
      <c r="C70" s="117"/>
      <c r="D70" s="118"/>
      <c r="E70" s="122"/>
      <c r="F70" s="112"/>
    </row>
    <row r="71" spans="1:6" x14ac:dyDescent="0.25">
      <c r="A71" s="121"/>
      <c r="B71" s="117"/>
      <c r="C71" s="117"/>
      <c r="D71" s="118"/>
      <c r="E71" s="122"/>
      <c r="F71" s="112"/>
    </row>
    <row r="72" spans="1:6" x14ac:dyDescent="0.25">
      <c r="A72" s="121"/>
      <c r="B72" s="117"/>
      <c r="C72" s="117"/>
      <c r="D72" s="118"/>
      <c r="E72" s="122"/>
      <c r="F72" s="112"/>
    </row>
    <row r="73" spans="1:6" x14ac:dyDescent="0.25">
      <c r="A73" s="121"/>
      <c r="B73" s="117"/>
      <c r="C73" s="117"/>
      <c r="D73" s="118"/>
      <c r="E73" s="122"/>
      <c r="F73" s="112"/>
    </row>
    <row r="74" spans="1:6" x14ac:dyDescent="0.25">
      <c r="A74" s="121"/>
      <c r="B74" s="117"/>
      <c r="C74" s="117"/>
      <c r="D74" s="118"/>
      <c r="E74" s="122"/>
      <c r="F74" s="112"/>
    </row>
    <row r="75" spans="1:6" x14ac:dyDescent="0.25">
      <c r="A75" s="121"/>
      <c r="B75" s="117"/>
      <c r="C75" s="117"/>
      <c r="D75" s="118"/>
      <c r="E75" s="122"/>
      <c r="F75" s="112"/>
    </row>
    <row r="76" spans="1:6" x14ac:dyDescent="0.25">
      <c r="A76" s="121"/>
      <c r="B76" s="117"/>
      <c r="C76" s="117"/>
      <c r="D76" s="118"/>
      <c r="E76" s="122"/>
      <c r="F76" s="112"/>
    </row>
    <row r="77" spans="1:6" x14ac:dyDescent="0.25">
      <c r="A77" s="121"/>
      <c r="B77" s="117"/>
      <c r="C77" s="117"/>
      <c r="D77" s="118"/>
      <c r="E77" s="122"/>
      <c r="F77" s="112"/>
    </row>
    <row r="78" spans="1:6" x14ac:dyDescent="0.25">
      <c r="A78" s="121"/>
      <c r="B78" s="117"/>
      <c r="C78" s="117"/>
      <c r="D78" s="118"/>
      <c r="E78" s="122"/>
      <c r="F78" s="112"/>
    </row>
    <row r="79" spans="1:6" x14ac:dyDescent="0.25">
      <c r="A79" s="121"/>
      <c r="B79" s="117"/>
      <c r="C79" s="117"/>
      <c r="D79" s="118"/>
      <c r="E79" s="122"/>
      <c r="F79" s="112"/>
    </row>
    <row r="80" spans="1:6" x14ac:dyDescent="0.25">
      <c r="A80" s="121"/>
      <c r="B80" s="117"/>
      <c r="C80" s="117"/>
      <c r="D80" s="118"/>
      <c r="E80" s="122"/>
      <c r="F80" s="112"/>
    </row>
    <row r="81" spans="1:6" x14ac:dyDescent="0.25">
      <c r="A81" s="121"/>
      <c r="B81" s="117"/>
      <c r="C81" s="117"/>
      <c r="D81" s="118"/>
      <c r="E81" s="122"/>
      <c r="F81" s="112"/>
    </row>
    <row r="82" spans="1:6" x14ac:dyDescent="0.25">
      <c r="A82" s="121"/>
      <c r="B82" s="117"/>
      <c r="C82" s="117"/>
      <c r="D82" s="118"/>
      <c r="E82" s="122"/>
      <c r="F82" s="112"/>
    </row>
    <row r="83" spans="1:6" x14ac:dyDescent="0.25">
      <c r="A83" s="121"/>
      <c r="B83" s="117"/>
      <c r="C83" s="117"/>
      <c r="D83" s="118"/>
      <c r="E83" s="122"/>
      <c r="F83" s="112"/>
    </row>
    <row r="84" spans="1:6" x14ac:dyDescent="0.25">
      <c r="A84" s="121"/>
      <c r="B84" s="117"/>
      <c r="C84" s="117"/>
      <c r="D84" s="118"/>
      <c r="E84" s="122"/>
      <c r="F84" s="112"/>
    </row>
    <row r="85" spans="1:6" x14ac:dyDescent="0.25">
      <c r="A85" s="121"/>
      <c r="B85" s="117"/>
      <c r="C85" s="117"/>
      <c r="D85" s="118"/>
      <c r="E85" s="122"/>
      <c r="F85" s="112"/>
    </row>
    <row r="86" spans="1:6" x14ac:dyDescent="0.25">
      <c r="A86" s="121"/>
      <c r="B86" s="117"/>
      <c r="C86" s="117"/>
      <c r="D86" s="118"/>
      <c r="E86" s="122"/>
      <c r="F86" s="112"/>
    </row>
    <row r="87" spans="1:6" x14ac:dyDescent="0.25">
      <c r="A87" s="121"/>
      <c r="B87" s="117"/>
      <c r="C87" s="117"/>
      <c r="D87" s="118"/>
      <c r="E87" s="122"/>
      <c r="F87" s="112"/>
    </row>
    <row r="88" spans="1:6" x14ac:dyDescent="0.25">
      <c r="A88" s="121"/>
      <c r="B88" s="117"/>
      <c r="C88" s="117"/>
      <c r="D88" s="118"/>
      <c r="E88" s="122"/>
      <c r="F88" s="112"/>
    </row>
    <row r="89" spans="1:6" x14ac:dyDescent="0.25">
      <c r="A89" s="121"/>
      <c r="B89" s="117"/>
      <c r="C89" s="117"/>
      <c r="D89" s="118"/>
      <c r="E89" s="122"/>
      <c r="F89" s="112"/>
    </row>
    <row r="90" spans="1:6" x14ac:dyDescent="0.25">
      <c r="A90" s="121"/>
      <c r="B90" s="117"/>
      <c r="C90" s="117"/>
      <c r="D90" s="118"/>
      <c r="E90" s="122"/>
      <c r="F90" s="112"/>
    </row>
    <row r="91" spans="1:6" x14ac:dyDescent="0.25">
      <c r="A91" s="121"/>
      <c r="B91" s="117"/>
      <c r="C91" s="117"/>
      <c r="D91" s="118"/>
      <c r="E91" s="122"/>
      <c r="F91" s="112"/>
    </row>
    <row r="92" spans="1:6" x14ac:dyDescent="0.25">
      <c r="A92" s="121"/>
      <c r="B92" s="117"/>
      <c r="C92" s="117"/>
      <c r="D92" s="118"/>
      <c r="E92" s="122"/>
      <c r="F92" s="112"/>
    </row>
    <row r="93" spans="1:6" x14ac:dyDescent="0.25">
      <c r="A93" s="121"/>
      <c r="B93" s="117"/>
      <c r="C93" s="117"/>
      <c r="D93" s="118"/>
      <c r="E93" s="122"/>
      <c r="F93" s="112"/>
    </row>
    <row r="94" spans="1:6" x14ac:dyDescent="0.25">
      <c r="A94" s="121"/>
      <c r="B94" s="117"/>
      <c r="C94" s="117"/>
      <c r="D94" s="118"/>
      <c r="E94" s="122"/>
      <c r="F94" s="112"/>
    </row>
    <row r="95" spans="1:6" x14ac:dyDescent="0.25">
      <c r="A95" s="121"/>
      <c r="B95" s="117"/>
      <c r="C95" s="117"/>
      <c r="D95" s="118"/>
      <c r="E95" s="122"/>
      <c r="F95" s="112"/>
    </row>
    <row r="96" spans="1:6" x14ac:dyDescent="0.25">
      <c r="A96" s="121"/>
      <c r="B96" s="117"/>
      <c r="C96" s="117"/>
      <c r="D96" s="118"/>
      <c r="E96" s="122"/>
      <c r="F96" s="112"/>
    </row>
    <row r="97" spans="1:6" x14ac:dyDescent="0.25">
      <c r="A97" s="121"/>
      <c r="B97" s="117"/>
      <c r="C97" s="117"/>
      <c r="D97" s="118"/>
      <c r="E97" s="122"/>
      <c r="F97" s="112"/>
    </row>
    <row r="98" spans="1:6" x14ac:dyDescent="0.25">
      <c r="A98" s="121"/>
      <c r="B98" s="117"/>
      <c r="C98" s="117"/>
      <c r="D98" s="118"/>
      <c r="E98" s="122"/>
      <c r="F98" s="112"/>
    </row>
    <row r="99" spans="1:6" x14ac:dyDescent="0.25">
      <c r="A99" s="121"/>
      <c r="B99" s="117"/>
      <c r="C99" s="117"/>
      <c r="D99" s="118"/>
      <c r="E99" s="122"/>
      <c r="F99" s="112"/>
    </row>
    <row r="100" spans="1:6" x14ac:dyDescent="0.25">
      <c r="A100" s="121"/>
      <c r="B100" s="117"/>
      <c r="C100" s="117"/>
      <c r="D100" s="118"/>
      <c r="E100" s="122"/>
      <c r="F100" s="112"/>
    </row>
    <row r="101" spans="1:6" x14ac:dyDescent="0.25">
      <c r="A101" s="121"/>
      <c r="B101" s="117"/>
      <c r="C101" s="117"/>
      <c r="D101" s="118"/>
      <c r="E101" s="122"/>
      <c r="F101" s="112"/>
    </row>
    <row r="102" spans="1:6" x14ac:dyDescent="0.25">
      <c r="A102" s="121"/>
      <c r="B102" s="117"/>
      <c r="C102" s="117"/>
      <c r="D102" s="118"/>
      <c r="E102" s="122"/>
      <c r="F102" s="112"/>
    </row>
    <row r="103" spans="1:6" x14ac:dyDescent="0.25">
      <c r="A103" s="121"/>
      <c r="B103" s="117"/>
      <c r="C103" s="117"/>
      <c r="D103" s="118"/>
      <c r="E103" s="122"/>
      <c r="F103" s="112"/>
    </row>
    <row r="104" spans="1:6" x14ac:dyDescent="0.25">
      <c r="A104" s="121"/>
      <c r="B104" s="117"/>
      <c r="C104" s="117"/>
      <c r="D104" s="118"/>
      <c r="E104" s="122"/>
      <c r="F104" s="112"/>
    </row>
    <row r="105" spans="1:6" x14ac:dyDescent="0.25">
      <c r="A105" s="121"/>
      <c r="B105" s="117"/>
      <c r="C105" s="117"/>
      <c r="D105" s="118"/>
      <c r="E105" s="122"/>
      <c r="F105" s="112"/>
    </row>
    <row r="106" spans="1:6" x14ac:dyDescent="0.25">
      <c r="A106" s="121"/>
      <c r="B106" s="117"/>
      <c r="C106" s="117"/>
      <c r="D106" s="118"/>
      <c r="E106" s="122"/>
      <c r="F106" s="112"/>
    </row>
    <row r="107" spans="1:6" x14ac:dyDescent="0.25">
      <c r="A107" s="121"/>
      <c r="B107" s="117"/>
      <c r="C107" s="117"/>
      <c r="D107" s="118"/>
      <c r="E107" s="122"/>
      <c r="F107" s="112"/>
    </row>
    <row r="108" spans="1:6" x14ac:dyDescent="0.25">
      <c r="A108" s="121"/>
      <c r="B108" s="117"/>
      <c r="C108" s="117"/>
      <c r="D108" s="118"/>
      <c r="E108" s="122"/>
      <c r="F108" s="112"/>
    </row>
    <row r="109" spans="1:6" x14ac:dyDescent="0.25">
      <c r="A109" s="121"/>
      <c r="B109" s="117"/>
      <c r="C109" s="117"/>
      <c r="D109" s="118"/>
      <c r="E109" s="122"/>
      <c r="F109" s="112"/>
    </row>
    <row r="110" spans="1:6" x14ac:dyDescent="0.25">
      <c r="A110" s="121"/>
      <c r="B110" s="117"/>
      <c r="C110" s="117"/>
      <c r="D110" s="118"/>
      <c r="E110" s="122"/>
      <c r="F110" s="112"/>
    </row>
    <row r="111" spans="1:6" x14ac:dyDescent="0.25">
      <c r="A111" s="121"/>
      <c r="B111" s="117"/>
      <c r="C111" s="117"/>
      <c r="D111" s="118"/>
      <c r="E111" s="122"/>
      <c r="F111" s="112"/>
    </row>
    <row r="112" spans="1:6" x14ac:dyDescent="0.25">
      <c r="A112" s="121"/>
      <c r="B112" s="117"/>
      <c r="C112" s="117"/>
      <c r="D112" s="118"/>
      <c r="E112" s="122"/>
      <c r="F112" s="112"/>
    </row>
    <row r="113" spans="1:6" x14ac:dyDescent="0.25">
      <c r="A113" s="121"/>
      <c r="B113" s="117"/>
      <c r="C113" s="117"/>
      <c r="D113" s="118"/>
      <c r="E113" s="122"/>
      <c r="F113" s="112"/>
    </row>
    <row r="114" spans="1:6" x14ac:dyDescent="0.25">
      <c r="A114" s="121"/>
      <c r="B114" s="117"/>
      <c r="C114" s="117"/>
      <c r="D114" s="118"/>
      <c r="E114" s="122"/>
      <c r="F114" s="112"/>
    </row>
    <row r="115" spans="1:6" x14ac:dyDescent="0.25">
      <c r="A115" s="121"/>
      <c r="B115" s="117"/>
      <c r="C115" s="117"/>
      <c r="D115" s="118"/>
      <c r="E115" s="122"/>
      <c r="F115" s="112"/>
    </row>
    <row r="116" spans="1:6" x14ac:dyDescent="0.25">
      <c r="A116" s="121"/>
      <c r="B116" s="117"/>
      <c r="C116" s="117"/>
      <c r="D116" s="118"/>
      <c r="E116" s="122"/>
      <c r="F116" s="112"/>
    </row>
    <row r="117" spans="1:6" x14ac:dyDescent="0.25">
      <c r="A117" s="121"/>
      <c r="B117" s="117"/>
      <c r="C117" s="117"/>
      <c r="D117" s="118"/>
      <c r="E117" s="122"/>
      <c r="F117" s="112"/>
    </row>
    <row r="118" spans="1:6" x14ac:dyDescent="0.25">
      <c r="A118" s="121"/>
      <c r="B118" s="117"/>
      <c r="C118" s="117"/>
      <c r="D118" s="118"/>
      <c r="E118" s="122"/>
      <c r="F118" s="112"/>
    </row>
    <row r="119" spans="1:6" x14ac:dyDescent="0.25">
      <c r="A119" s="121"/>
      <c r="B119" s="117"/>
      <c r="C119" s="117"/>
      <c r="D119" s="118"/>
      <c r="E119" s="122"/>
      <c r="F119" s="112"/>
    </row>
    <row r="120" spans="1:6" x14ac:dyDescent="0.25">
      <c r="A120" s="121"/>
      <c r="B120" s="117"/>
      <c r="C120" s="117"/>
      <c r="D120" s="118"/>
      <c r="E120" s="122"/>
      <c r="F120" s="112"/>
    </row>
    <row r="121" spans="1:6" x14ac:dyDescent="0.25">
      <c r="A121" s="121"/>
      <c r="B121" s="117"/>
      <c r="C121" s="117"/>
      <c r="D121" s="118"/>
      <c r="E121" s="122"/>
      <c r="F121" s="112"/>
    </row>
    <row r="122" spans="1:6" x14ac:dyDescent="0.25">
      <c r="A122" s="121"/>
      <c r="B122" s="117"/>
      <c r="C122" s="117"/>
      <c r="D122" s="118"/>
      <c r="E122" s="122"/>
      <c r="F122" s="112"/>
    </row>
    <row r="123" spans="1:6" x14ac:dyDescent="0.25">
      <c r="A123" s="121"/>
      <c r="B123" s="117"/>
      <c r="C123" s="117"/>
      <c r="D123" s="118"/>
      <c r="E123" s="122"/>
      <c r="F123" s="112"/>
    </row>
    <row r="124" spans="1:6" x14ac:dyDescent="0.25">
      <c r="A124" s="121"/>
      <c r="B124" s="117"/>
      <c r="C124" s="117"/>
      <c r="D124" s="118"/>
      <c r="E124" s="122"/>
      <c r="F124" s="112"/>
    </row>
    <row r="125" spans="1:6" x14ac:dyDescent="0.25">
      <c r="A125" s="121"/>
      <c r="B125" s="117"/>
      <c r="C125" s="117"/>
      <c r="D125" s="118"/>
      <c r="E125" s="122"/>
      <c r="F125" s="112"/>
    </row>
    <row r="126" spans="1:6" x14ac:dyDescent="0.25">
      <c r="A126" s="121"/>
      <c r="B126" s="117"/>
      <c r="C126" s="117"/>
      <c r="D126" s="118"/>
      <c r="E126" s="122"/>
      <c r="F126" s="112"/>
    </row>
    <row r="127" spans="1:6" x14ac:dyDescent="0.25">
      <c r="A127" s="121"/>
      <c r="B127" s="117"/>
      <c r="C127" s="117"/>
      <c r="D127" s="118"/>
      <c r="E127" s="122"/>
      <c r="F127" s="112"/>
    </row>
    <row r="128" spans="1:6" x14ac:dyDescent="0.25">
      <c r="A128" s="121"/>
      <c r="B128" s="117"/>
      <c r="C128" s="117"/>
      <c r="D128" s="118"/>
      <c r="E128" s="122"/>
      <c r="F128" s="112"/>
    </row>
    <row r="129" spans="1:6" x14ac:dyDescent="0.25">
      <c r="A129" s="121"/>
      <c r="B129" s="117"/>
      <c r="C129" s="117"/>
      <c r="D129" s="118"/>
      <c r="E129" s="122"/>
      <c r="F129" s="112"/>
    </row>
    <row r="130" spans="1:6" x14ac:dyDescent="0.25">
      <c r="A130" s="121"/>
      <c r="B130" s="117"/>
      <c r="C130" s="117"/>
      <c r="D130" s="118"/>
      <c r="E130" s="122"/>
      <c r="F130" s="112"/>
    </row>
    <row r="131" spans="1:6" x14ac:dyDescent="0.25">
      <c r="A131" s="121"/>
      <c r="B131" s="117"/>
      <c r="C131" s="117"/>
      <c r="D131" s="118"/>
      <c r="E131" s="122"/>
      <c r="F131" s="112"/>
    </row>
    <row r="132" spans="1:6" x14ac:dyDescent="0.25">
      <c r="A132" s="121"/>
      <c r="B132" s="117"/>
      <c r="C132" s="117"/>
      <c r="D132" s="118"/>
      <c r="E132" s="122"/>
      <c r="F132" s="112"/>
    </row>
    <row r="133" spans="1:6" x14ac:dyDescent="0.25">
      <c r="A133" s="121"/>
      <c r="B133" s="117"/>
      <c r="C133" s="117"/>
      <c r="D133" s="118"/>
      <c r="E133" s="122"/>
      <c r="F133" s="112"/>
    </row>
    <row r="134" spans="1:6" x14ac:dyDescent="0.25">
      <c r="A134" s="121"/>
      <c r="B134" s="117"/>
      <c r="C134" s="117"/>
      <c r="D134" s="118"/>
      <c r="E134" s="122"/>
      <c r="F134" s="112"/>
    </row>
    <row r="135" spans="1:6" x14ac:dyDescent="0.25">
      <c r="A135" s="121"/>
      <c r="B135" s="117"/>
      <c r="C135" s="117"/>
      <c r="D135" s="118"/>
      <c r="E135" s="122"/>
      <c r="F135" s="112"/>
    </row>
    <row r="136" spans="1:6" x14ac:dyDescent="0.25">
      <c r="A136" s="121"/>
      <c r="B136" s="117"/>
      <c r="C136" s="117"/>
      <c r="D136" s="118"/>
      <c r="E136" s="122"/>
      <c r="F136" s="112"/>
    </row>
    <row r="137" spans="1:6" x14ac:dyDescent="0.25">
      <c r="A137" s="121"/>
      <c r="B137" s="117"/>
      <c r="C137" s="117"/>
      <c r="D137" s="118"/>
      <c r="E137" s="122"/>
      <c r="F137" s="112"/>
    </row>
    <row r="138" spans="1:6" x14ac:dyDescent="0.25">
      <c r="A138" s="121"/>
      <c r="B138" s="117"/>
      <c r="C138" s="117"/>
      <c r="D138" s="118"/>
      <c r="E138" s="122"/>
      <c r="F138" s="112"/>
    </row>
    <row r="139" spans="1:6" x14ac:dyDescent="0.25">
      <c r="A139" s="121"/>
      <c r="B139" s="117"/>
      <c r="C139" s="117"/>
      <c r="D139" s="118"/>
      <c r="E139" s="122"/>
      <c r="F139" s="112"/>
    </row>
    <row r="140" spans="1:6" x14ac:dyDescent="0.25">
      <c r="A140" s="121"/>
      <c r="B140" s="117"/>
      <c r="C140" s="117"/>
      <c r="D140" s="118"/>
      <c r="E140" s="122"/>
      <c r="F140" s="112"/>
    </row>
    <row r="141" spans="1:6" x14ac:dyDescent="0.25">
      <c r="A141" s="121"/>
      <c r="B141" s="117"/>
      <c r="C141" s="117"/>
      <c r="D141" s="118"/>
      <c r="E141" s="122"/>
      <c r="F141" s="112"/>
    </row>
    <row r="142" spans="1:6" x14ac:dyDescent="0.25">
      <c r="A142" s="121"/>
      <c r="B142" s="117"/>
      <c r="C142" s="117"/>
      <c r="D142" s="118"/>
      <c r="E142" s="122"/>
      <c r="F142" s="112"/>
    </row>
    <row r="143" spans="1:6" x14ac:dyDescent="0.25">
      <c r="A143" s="121"/>
      <c r="B143" s="117"/>
      <c r="C143" s="117"/>
      <c r="D143" s="118"/>
      <c r="E143" s="122"/>
      <c r="F143" s="112"/>
    </row>
    <row r="144" spans="1:6" x14ac:dyDescent="0.25">
      <c r="A144" s="121"/>
      <c r="B144" s="117"/>
      <c r="C144" s="117"/>
      <c r="D144" s="118"/>
      <c r="E144" s="122"/>
      <c r="F144" s="112"/>
    </row>
    <row r="145" spans="1:6" x14ac:dyDescent="0.25">
      <c r="A145" s="121"/>
      <c r="B145" s="117"/>
      <c r="C145" s="117"/>
      <c r="D145" s="118"/>
      <c r="E145" s="122"/>
      <c r="F145" s="112"/>
    </row>
    <row r="146" spans="1:6" x14ac:dyDescent="0.25">
      <c r="A146" s="121"/>
      <c r="B146" s="117"/>
      <c r="C146" s="117"/>
      <c r="D146" s="118"/>
      <c r="E146" s="122"/>
      <c r="F146" s="112"/>
    </row>
    <row r="147" spans="1:6" x14ac:dyDescent="0.25">
      <c r="A147" s="121"/>
      <c r="B147" s="117"/>
      <c r="C147" s="117"/>
      <c r="D147" s="118"/>
      <c r="E147" s="122"/>
      <c r="F147" s="112"/>
    </row>
    <row r="148" spans="1:6" x14ac:dyDescent="0.25">
      <c r="A148" s="121"/>
      <c r="B148" s="117"/>
      <c r="C148" s="117"/>
      <c r="D148" s="118"/>
      <c r="E148" s="122"/>
      <c r="F148" s="112"/>
    </row>
    <row r="149" spans="1:6" x14ac:dyDescent="0.25">
      <c r="A149" s="121"/>
      <c r="B149" s="117"/>
      <c r="C149" s="117"/>
      <c r="D149" s="118"/>
      <c r="E149" s="122"/>
      <c r="F149" s="112"/>
    </row>
    <row r="150" spans="1:6" x14ac:dyDescent="0.25">
      <c r="A150" s="121"/>
      <c r="B150" s="117"/>
      <c r="C150" s="117"/>
      <c r="D150" s="118"/>
      <c r="E150" s="122"/>
      <c r="F150" s="112"/>
    </row>
    <row r="151" spans="1:6" x14ac:dyDescent="0.25">
      <c r="A151" s="121"/>
      <c r="B151" s="117"/>
      <c r="C151" s="117"/>
      <c r="D151" s="118"/>
      <c r="E151" s="122"/>
      <c r="F151" s="112"/>
    </row>
    <row r="152" spans="1:6" x14ac:dyDescent="0.25">
      <c r="A152" s="121"/>
      <c r="B152" s="117"/>
      <c r="C152" s="117"/>
      <c r="D152" s="118"/>
      <c r="E152" s="122"/>
      <c r="F152" s="112"/>
    </row>
    <row r="153" spans="1:6" x14ac:dyDescent="0.25">
      <c r="A153" s="121"/>
      <c r="B153" s="117"/>
      <c r="C153" s="117"/>
      <c r="D153" s="118"/>
      <c r="E153" s="122"/>
      <c r="F153" s="112"/>
    </row>
    <row r="154" spans="1:6" x14ac:dyDescent="0.25">
      <c r="A154" s="121"/>
      <c r="B154" s="117"/>
      <c r="C154" s="117"/>
      <c r="D154" s="118"/>
      <c r="E154" s="122"/>
      <c r="F154" s="112"/>
    </row>
    <row r="155" spans="1:6" x14ac:dyDescent="0.25">
      <c r="A155" s="121"/>
      <c r="B155" s="117"/>
      <c r="C155" s="117"/>
      <c r="D155" s="118"/>
      <c r="E155" s="122"/>
      <c r="F155" s="112"/>
    </row>
    <row r="156" spans="1:6" x14ac:dyDescent="0.25">
      <c r="A156" s="121"/>
      <c r="B156" s="117"/>
      <c r="C156" s="117"/>
      <c r="D156" s="118"/>
      <c r="E156" s="122"/>
      <c r="F156" s="112"/>
    </row>
    <row r="157" spans="1:6" x14ac:dyDescent="0.25">
      <c r="A157" s="121"/>
      <c r="B157" s="117"/>
      <c r="C157" s="117"/>
      <c r="D157" s="118"/>
      <c r="E157" s="122"/>
      <c r="F157" s="112"/>
    </row>
    <row r="158" spans="1:6" x14ac:dyDescent="0.25">
      <c r="A158" s="121"/>
      <c r="B158" s="117"/>
      <c r="C158" s="117"/>
      <c r="D158" s="118"/>
      <c r="E158" s="122"/>
      <c r="F158" s="112"/>
    </row>
    <row r="159" spans="1:6" x14ac:dyDescent="0.25">
      <c r="A159" s="121"/>
      <c r="B159" s="117"/>
      <c r="C159" s="117"/>
      <c r="D159" s="118"/>
      <c r="E159" s="122"/>
      <c r="F159" s="112"/>
    </row>
    <row r="160" spans="1:6" x14ac:dyDescent="0.25">
      <c r="A160" s="121"/>
      <c r="B160" s="117"/>
      <c r="C160" s="117"/>
      <c r="D160" s="118"/>
      <c r="E160" s="122"/>
      <c r="F160" s="112"/>
    </row>
    <row r="161" spans="1:6" x14ac:dyDescent="0.25">
      <c r="A161" s="121"/>
      <c r="B161" s="117"/>
      <c r="C161" s="117"/>
      <c r="D161" s="118"/>
      <c r="E161" s="122"/>
      <c r="F161" s="112"/>
    </row>
    <row r="162" spans="1:6" x14ac:dyDescent="0.25">
      <c r="A162" s="121"/>
      <c r="B162" s="117"/>
      <c r="C162" s="117"/>
      <c r="D162" s="118"/>
      <c r="E162" s="122"/>
      <c r="F162" s="112"/>
    </row>
    <row r="163" spans="1:6" x14ac:dyDescent="0.25">
      <c r="A163" s="121"/>
      <c r="B163" s="117"/>
      <c r="C163" s="117"/>
      <c r="D163" s="118"/>
      <c r="E163" s="122"/>
      <c r="F163" s="112"/>
    </row>
    <row r="164" spans="1:6" x14ac:dyDescent="0.25">
      <c r="A164" s="121"/>
      <c r="B164" s="117"/>
      <c r="C164" s="117"/>
      <c r="D164" s="118"/>
      <c r="E164" s="122"/>
      <c r="F164" s="112"/>
    </row>
    <row r="165" spans="1:6" x14ac:dyDescent="0.25">
      <c r="A165" s="121"/>
      <c r="B165" s="117"/>
      <c r="C165" s="117"/>
      <c r="D165" s="118"/>
      <c r="E165" s="122"/>
      <c r="F165" s="112"/>
    </row>
    <row r="166" spans="1:6" x14ac:dyDescent="0.25">
      <c r="A166" s="121"/>
      <c r="B166" s="117"/>
      <c r="C166" s="117"/>
      <c r="D166" s="118"/>
      <c r="E166" s="122"/>
      <c r="F166" s="112"/>
    </row>
    <row r="167" spans="1:6" x14ac:dyDescent="0.25">
      <c r="A167" s="121"/>
      <c r="B167" s="117"/>
      <c r="C167" s="117"/>
      <c r="D167" s="118"/>
      <c r="E167" s="122"/>
      <c r="F167" s="112"/>
    </row>
    <row r="168" spans="1:6" x14ac:dyDescent="0.25">
      <c r="A168" s="121"/>
      <c r="B168" s="117"/>
      <c r="C168" s="117"/>
      <c r="D168" s="118"/>
      <c r="E168" s="122"/>
      <c r="F168" s="112"/>
    </row>
    <row r="169" spans="1:6" x14ac:dyDescent="0.25">
      <c r="A169" s="121"/>
      <c r="B169" s="117"/>
      <c r="C169" s="117"/>
      <c r="D169" s="118"/>
      <c r="E169" s="122"/>
      <c r="F169" s="112"/>
    </row>
    <row r="170" spans="1:6" x14ac:dyDescent="0.25">
      <c r="A170" s="121"/>
      <c r="B170" s="117"/>
      <c r="C170" s="117"/>
      <c r="D170" s="118"/>
      <c r="E170" s="122"/>
      <c r="F170" s="112"/>
    </row>
    <row r="171" spans="1:6" x14ac:dyDescent="0.25">
      <c r="A171" s="121"/>
      <c r="B171" s="117"/>
      <c r="C171" s="117"/>
      <c r="D171" s="118"/>
      <c r="E171" s="122"/>
      <c r="F171" s="112"/>
    </row>
    <row r="172" spans="1:6" x14ac:dyDescent="0.25">
      <c r="A172" s="121"/>
      <c r="B172" s="117"/>
      <c r="C172" s="117"/>
      <c r="D172" s="118"/>
      <c r="E172" s="122"/>
      <c r="F172" s="112"/>
    </row>
    <row r="173" spans="1:6" x14ac:dyDescent="0.25">
      <c r="A173" s="121"/>
      <c r="B173" s="117"/>
      <c r="C173" s="117"/>
      <c r="D173" s="118"/>
      <c r="E173" s="122"/>
      <c r="F173" s="112"/>
    </row>
    <row r="174" spans="1:6" x14ac:dyDescent="0.25">
      <c r="A174" s="121"/>
      <c r="B174" s="117"/>
      <c r="C174" s="117"/>
      <c r="D174" s="118"/>
      <c r="E174" s="122"/>
      <c r="F174" s="112"/>
    </row>
    <row r="175" spans="1:6" x14ac:dyDescent="0.25">
      <c r="A175" s="121"/>
      <c r="B175" s="117"/>
      <c r="C175" s="117"/>
      <c r="D175" s="118"/>
      <c r="E175" s="122"/>
      <c r="F175" s="112"/>
    </row>
    <row r="176" spans="1:6" x14ac:dyDescent="0.25">
      <c r="A176" s="121"/>
      <c r="B176" s="117"/>
      <c r="C176" s="117"/>
      <c r="D176" s="118"/>
      <c r="E176" s="122"/>
      <c r="F176" s="112"/>
    </row>
    <row r="177" spans="1:6" x14ac:dyDescent="0.25">
      <c r="A177" s="121"/>
      <c r="B177" s="117"/>
      <c r="C177" s="117"/>
      <c r="D177" s="118"/>
      <c r="E177" s="122"/>
      <c r="F177" s="112"/>
    </row>
    <row r="178" spans="1:6" x14ac:dyDescent="0.25">
      <c r="A178" s="121"/>
      <c r="B178" s="117"/>
      <c r="C178" s="117"/>
      <c r="D178" s="118"/>
      <c r="E178" s="122"/>
      <c r="F178" s="112"/>
    </row>
    <row r="179" spans="1:6" x14ac:dyDescent="0.25">
      <c r="A179" s="121"/>
      <c r="B179" s="117"/>
      <c r="C179" s="117"/>
      <c r="D179" s="118"/>
      <c r="E179" s="122"/>
      <c r="F179" s="112"/>
    </row>
    <row r="180" spans="1:6" x14ac:dyDescent="0.25">
      <c r="A180" s="121"/>
      <c r="B180" s="117"/>
      <c r="C180" s="117"/>
      <c r="D180" s="118"/>
      <c r="E180" s="122"/>
      <c r="F180" s="112"/>
    </row>
    <row r="181" spans="1:6" x14ac:dyDescent="0.25">
      <c r="A181" s="121"/>
      <c r="B181" s="117"/>
      <c r="C181" s="117"/>
      <c r="D181" s="118"/>
      <c r="E181" s="122"/>
      <c r="F181" s="112"/>
    </row>
    <row r="182" spans="1:6" x14ac:dyDescent="0.25">
      <c r="A182" s="121"/>
      <c r="B182" s="117"/>
      <c r="C182" s="117"/>
      <c r="D182" s="118"/>
      <c r="E182" s="122"/>
      <c r="F182" s="112"/>
    </row>
    <row r="183" spans="1:6" x14ac:dyDescent="0.25">
      <c r="A183" s="121"/>
      <c r="B183" s="117"/>
      <c r="C183" s="117"/>
      <c r="D183" s="118"/>
      <c r="E183" s="122"/>
      <c r="F183" s="112"/>
    </row>
    <row r="184" spans="1:6" x14ac:dyDescent="0.25">
      <c r="A184" s="121"/>
      <c r="B184" s="117"/>
      <c r="C184" s="117"/>
      <c r="D184" s="118"/>
      <c r="E184" s="122"/>
      <c r="F184" s="112"/>
    </row>
    <row r="185" spans="1:6" x14ac:dyDescent="0.25">
      <c r="A185" s="121"/>
      <c r="B185" s="117"/>
      <c r="C185" s="117"/>
      <c r="D185" s="118"/>
      <c r="E185" s="122"/>
      <c r="F185" s="112"/>
    </row>
    <row r="186" spans="1:6" x14ac:dyDescent="0.25">
      <c r="A186" s="121"/>
      <c r="B186" s="117"/>
      <c r="C186" s="117"/>
      <c r="D186" s="118"/>
      <c r="E186" s="122"/>
      <c r="F186" s="112"/>
    </row>
    <row r="187" spans="1:6" x14ac:dyDescent="0.25">
      <c r="A187" s="121"/>
      <c r="B187" s="117"/>
      <c r="C187" s="117"/>
      <c r="D187" s="118"/>
      <c r="E187" s="122"/>
      <c r="F187" s="112"/>
    </row>
    <row r="188" spans="1:6" x14ac:dyDescent="0.25">
      <c r="A188" s="121"/>
      <c r="B188" s="117"/>
      <c r="C188" s="117"/>
      <c r="D188" s="118"/>
      <c r="E188" s="122"/>
      <c r="F188" s="112"/>
    </row>
    <row r="189" spans="1:6" x14ac:dyDescent="0.25">
      <c r="A189" s="121"/>
      <c r="B189" s="117"/>
      <c r="C189" s="117"/>
      <c r="D189" s="118"/>
      <c r="E189" s="122"/>
      <c r="F189" s="112"/>
    </row>
    <row r="190" spans="1:6" x14ac:dyDescent="0.25">
      <c r="A190" s="121"/>
      <c r="B190" s="117"/>
      <c r="C190" s="117"/>
      <c r="D190" s="118"/>
      <c r="E190" s="122"/>
      <c r="F190" s="112"/>
    </row>
    <row r="191" spans="1:6" x14ac:dyDescent="0.25">
      <c r="A191" s="121"/>
      <c r="B191" s="117"/>
      <c r="C191" s="117"/>
      <c r="D191" s="118"/>
      <c r="E191" s="122"/>
      <c r="F191" s="112"/>
    </row>
    <row r="192" spans="1:6" x14ac:dyDescent="0.25">
      <c r="A192" s="121"/>
      <c r="B192" s="117"/>
      <c r="C192" s="117"/>
      <c r="D192" s="118"/>
      <c r="E192" s="122"/>
      <c r="F192" s="112"/>
    </row>
    <row r="193" spans="1:6" x14ac:dyDescent="0.25">
      <c r="A193" s="121"/>
      <c r="B193" s="117"/>
      <c r="C193" s="117"/>
      <c r="D193" s="118"/>
      <c r="E193" s="122"/>
      <c r="F193" s="112"/>
    </row>
    <row r="194" spans="1:6" x14ac:dyDescent="0.25">
      <c r="A194" s="121"/>
      <c r="B194" s="117"/>
      <c r="C194" s="117"/>
      <c r="D194" s="118"/>
      <c r="E194" s="122"/>
      <c r="F194" s="112"/>
    </row>
    <row r="195" spans="1:6" x14ac:dyDescent="0.25">
      <c r="A195" s="121"/>
      <c r="B195" s="117"/>
      <c r="C195" s="117"/>
      <c r="D195" s="118"/>
      <c r="E195" s="122"/>
      <c r="F195" s="112"/>
    </row>
    <row r="196" spans="1:6" x14ac:dyDescent="0.25">
      <c r="A196" s="121"/>
      <c r="B196" s="117"/>
      <c r="C196" s="117"/>
      <c r="D196" s="118"/>
      <c r="E196" s="122"/>
      <c r="F196" s="112"/>
    </row>
    <row r="197" spans="1:6" x14ac:dyDescent="0.25">
      <c r="A197" s="121"/>
      <c r="B197" s="117"/>
      <c r="C197" s="117"/>
      <c r="D197" s="118"/>
      <c r="E197" s="122"/>
      <c r="F197" s="112"/>
    </row>
    <row r="198" spans="1:6" x14ac:dyDescent="0.25">
      <c r="A198" s="121"/>
      <c r="B198" s="117"/>
      <c r="C198" s="117"/>
      <c r="D198" s="118"/>
      <c r="E198" s="122"/>
      <c r="F198" s="112"/>
    </row>
    <row r="199" spans="1:6" x14ac:dyDescent="0.25">
      <c r="A199" s="121"/>
      <c r="B199" s="117"/>
      <c r="C199" s="117"/>
      <c r="D199" s="118"/>
      <c r="E199" s="122"/>
      <c r="F199" s="112"/>
    </row>
    <row r="200" spans="1:6" x14ac:dyDescent="0.25">
      <c r="A200" s="121"/>
      <c r="B200" s="117"/>
      <c r="C200" s="117"/>
      <c r="D200" s="118"/>
      <c r="E200" s="122"/>
      <c r="F200" s="112"/>
    </row>
    <row r="201" spans="1:6" x14ac:dyDescent="0.25">
      <c r="A201" s="121"/>
      <c r="B201" s="117"/>
      <c r="C201" s="117"/>
      <c r="D201" s="118"/>
      <c r="E201" s="122"/>
      <c r="F201" s="112"/>
    </row>
    <row r="202" spans="1:6" x14ac:dyDescent="0.25">
      <c r="B202" s="30"/>
      <c r="C202" s="30"/>
    </row>
    <row r="203" spans="1:6" x14ac:dyDescent="0.25">
      <c r="B203" s="30"/>
      <c r="C203" s="30"/>
    </row>
    <row r="204" spans="1:6" x14ac:dyDescent="0.25">
      <c r="C204" s="30"/>
    </row>
    <row r="205" spans="1:6" x14ac:dyDescent="0.25">
      <c r="C205" s="30"/>
    </row>
    <row r="206" spans="1:6" x14ac:dyDescent="0.25">
      <c r="C206" s="30"/>
    </row>
    <row r="207" spans="1:6" x14ac:dyDescent="0.25">
      <c r="C207" s="30"/>
    </row>
    <row r="208" spans="1:6" x14ac:dyDescent="0.25">
      <c r="C208" s="30"/>
    </row>
    <row r="209" spans="3:3" x14ac:dyDescent="0.25">
      <c r="C209" s="30"/>
    </row>
    <row r="210" spans="3:3" x14ac:dyDescent="0.25">
      <c r="C210" s="30"/>
    </row>
    <row r="211" spans="3:3" x14ac:dyDescent="0.25">
      <c r="C211" s="30"/>
    </row>
    <row r="212" spans="3:3" x14ac:dyDescent="0.25">
      <c r="C212" s="30"/>
    </row>
    <row r="213" spans="3:3" x14ac:dyDescent="0.25">
      <c r="C213" s="30"/>
    </row>
    <row r="214" spans="3:3" x14ac:dyDescent="0.25">
      <c r="C214" s="30"/>
    </row>
    <row r="215" spans="3:3" x14ac:dyDescent="0.25">
      <c r="C215" s="30"/>
    </row>
  </sheetData>
  <sheetProtection selectLockedCells="1"/>
  <mergeCells count="1">
    <mergeCell ref="B4:C4"/>
  </mergeCells>
  <dataValidations count="1">
    <dataValidation type="list" allowBlank="1" showInputMessage="1" showErrorMessage="1" sqref="E11:E18" xr:uid="{00000000-0002-0000-0200-000000000000}">
      <formula1>"Prizes, Trophies,Meals,Drinks,Charity"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MainBenefitsFinancialsComplete">
              <controlPr defaultSize="0" print="0" autoFill="0" autoPict="0" macro="[0]!beneFinancialsDone_Click">
                <anchor moveWithCells="1" sizeWithCells="1">
                  <from>
                    <xdr:col>4</xdr:col>
                    <xdr:colOff>19050</xdr:colOff>
                    <xdr:row>4</xdr:row>
                    <xdr:rowOff>9525</xdr:rowOff>
                  </from>
                  <to>
                    <xdr:col>5</xdr:col>
                    <xdr:colOff>400050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H44"/>
  <sheetViews>
    <sheetView topLeftCell="A5" workbookViewId="0">
      <selection activeCell="B6" sqref="B6"/>
    </sheetView>
  </sheetViews>
  <sheetFormatPr defaultColWidth="24.140625" defaultRowHeight="31.5" x14ac:dyDescent="0.5"/>
  <cols>
    <col min="1" max="1" width="39.7109375" style="55" customWidth="1"/>
    <col min="2" max="2" width="4.7109375" style="55" customWidth="1"/>
    <col min="3" max="3" width="45.28515625" style="56" customWidth="1"/>
    <col min="5" max="5" width="24.140625" style="56"/>
    <col min="6" max="16384" width="24.140625" style="55"/>
  </cols>
  <sheetData>
    <row r="1" spans="1:3" ht="54.75" customHeight="1" x14ac:dyDescent="0.9">
      <c r="A1" s="152" t="s">
        <v>130</v>
      </c>
      <c r="B1" s="152"/>
      <c r="C1" s="152"/>
    </row>
    <row r="2" spans="1:3" ht="36" customHeight="1" x14ac:dyDescent="0.9">
      <c r="A2" s="57"/>
      <c r="B2" s="57"/>
      <c r="C2" s="58"/>
    </row>
    <row r="3" spans="1:3" ht="61.5" x14ac:dyDescent="0.9">
      <c r="A3" s="153"/>
      <c r="B3" s="154"/>
      <c r="C3" s="155"/>
    </row>
    <row r="4" spans="1:3" ht="36" customHeight="1" x14ac:dyDescent="0.9">
      <c r="A4" s="57"/>
      <c r="B4" s="57"/>
      <c r="C4" s="58"/>
    </row>
    <row r="5" spans="1:3" ht="61.5" x14ac:dyDescent="0.9">
      <c r="A5" s="143" t="s">
        <v>115</v>
      </c>
      <c r="B5" s="143"/>
      <c r="C5" s="143" t="s">
        <v>168</v>
      </c>
    </row>
    <row r="6" spans="1:3" ht="61.5" x14ac:dyDescent="0.9">
      <c r="A6" s="145"/>
      <c r="B6" s="145" t="s">
        <v>116</v>
      </c>
      <c r="C6" s="146"/>
    </row>
    <row r="7" spans="1:3" ht="61.5" x14ac:dyDescent="0.9">
      <c r="A7" s="145"/>
      <c r="B7" s="145" t="s">
        <v>116</v>
      </c>
      <c r="C7" s="146"/>
    </row>
    <row r="8" spans="1:3" ht="61.5" x14ac:dyDescent="0.9">
      <c r="A8" s="145"/>
      <c r="B8" s="145" t="s">
        <v>116</v>
      </c>
      <c r="C8" s="146"/>
    </row>
    <row r="9" spans="1:3" ht="61.5" x14ac:dyDescent="0.9">
      <c r="A9" s="144"/>
      <c r="B9" s="145" t="s">
        <v>116</v>
      </c>
      <c r="C9" s="146"/>
    </row>
    <row r="10" spans="1:3" ht="61.5" x14ac:dyDescent="0.9">
      <c r="A10" s="144"/>
      <c r="B10" s="145" t="s">
        <v>116</v>
      </c>
      <c r="C10" s="146"/>
    </row>
    <row r="11" spans="1:3" ht="61.5" x14ac:dyDescent="0.9">
      <c r="A11" s="144"/>
      <c r="B11" s="145" t="s">
        <v>116</v>
      </c>
      <c r="C11" s="146"/>
    </row>
    <row r="12" spans="1:3" ht="61.5" x14ac:dyDescent="0.9">
      <c r="A12" s="58"/>
      <c r="B12" s="60"/>
      <c r="C12" s="59"/>
    </row>
    <row r="13" spans="1:3" x14ac:dyDescent="0.5">
      <c r="A13" s="56"/>
      <c r="B13" s="56"/>
    </row>
    <row r="14" spans="1:3" x14ac:dyDescent="0.5">
      <c r="A14" s="56"/>
      <c r="B14" s="56"/>
    </row>
    <row r="15" spans="1:3" x14ac:dyDescent="0.5">
      <c r="A15" s="56"/>
      <c r="B15" s="56"/>
    </row>
    <row r="16" spans="1:3" x14ac:dyDescent="0.5">
      <c r="A16" s="56"/>
      <c r="B16" s="56"/>
    </row>
    <row r="17" spans="1:8" x14ac:dyDescent="0.5">
      <c r="A17" s="56"/>
      <c r="B17" s="56"/>
    </row>
    <row r="18" spans="1:8" x14ac:dyDescent="0.5">
      <c r="A18" s="56"/>
      <c r="B18" s="56"/>
    </row>
    <row r="19" spans="1:8" x14ac:dyDescent="0.5">
      <c r="A19" s="56"/>
      <c r="B19" s="56"/>
    </row>
    <row r="20" spans="1:8" x14ac:dyDescent="0.5">
      <c r="A20" s="56"/>
      <c r="B20" s="56"/>
    </row>
    <row r="21" spans="1:8" x14ac:dyDescent="0.5">
      <c r="A21" s="56"/>
      <c r="B21" s="56"/>
    </row>
    <row r="22" spans="1:8" x14ac:dyDescent="0.5">
      <c r="A22" s="56"/>
      <c r="B22" s="56"/>
    </row>
    <row r="28" spans="1:8" x14ac:dyDescent="0.5">
      <c r="A28" s="133"/>
      <c r="B28" s="133"/>
      <c r="C28" s="134"/>
      <c r="D28" s="135"/>
      <c r="E28" s="134"/>
      <c r="F28" s="133"/>
      <c r="G28" s="133"/>
      <c r="H28" s="133"/>
    </row>
    <row r="29" spans="1:8" x14ac:dyDescent="0.5">
      <c r="A29" s="133"/>
      <c r="B29" s="133"/>
      <c r="C29" s="134"/>
      <c r="D29" s="135"/>
      <c r="E29" s="134"/>
      <c r="F29" s="133"/>
      <c r="G29" s="133"/>
      <c r="H29" s="133"/>
    </row>
    <row r="30" spans="1:8" x14ac:dyDescent="0.5">
      <c r="A30" s="133"/>
      <c r="B30" s="133"/>
      <c r="C30" s="134"/>
      <c r="D30" s="135"/>
      <c r="E30" s="134"/>
      <c r="F30" s="133"/>
      <c r="G30" s="133"/>
      <c r="H30" s="133"/>
    </row>
    <row r="31" spans="1:8" x14ac:dyDescent="0.5">
      <c r="A31" s="133"/>
      <c r="B31" s="133"/>
      <c r="C31" s="134"/>
      <c r="D31" s="135"/>
      <c r="E31" s="134"/>
      <c r="F31" s="133"/>
      <c r="G31" s="133"/>
      <c r="H31" s="133"/>
    </row>
    <row r="32" spans="1:8" x14ac:dyDescent="0.5">
      <c r="A32" s="133"/>
      <c r="B32" s="133"/>
      <c r="C32" s="134"/>
      <c r="D32" s="135"/>
      <c r="E32" s="134"/>
      <c r="F32" s="133"/>
      <c r="G32" s="133"/>
      <c r="H32" s="133"/>
    </row>
    <row r="33" spans="1:8" x14ac:dyDescent="0.5">
      <c r="A33" s="133"/>
      <c r="B33" s="133"/>
      <c r="C33" s="134"/>
      <c r="D33" s="135"/>
      <c r="E33" s="134"/>
      <c r="F33" s="133"/>
      <c r="G33" s="133"/>
      <c r="H33" s="133"/>
    </row>
    <row r="34" spans="1:8" x14ac:dyDescent="0.5">
      <c r="A34" s="133"/>
      <c r="B34" s="133"/>
      <c r="C34" s="134"/>
      <c r="D34" s="135"/>
      <c r="E34" s="134"/>
      <c r="F34" s="133"/>
      <c r="G34" s="133"/>
      <c r="H34" s="133"/>
    </row>
    <row r="35" spans="1:8" x14ac:dyDescent="0.5">
      <c r="A35" s="133"/>
      <c r="B35" s="133"/>
      <c r="C35" s="134"/>
      <c r="D35" s="135"/>
      <c r="E35" s="134"/>
      <c r="F35" s="133"/>
      <c r="G35" s="133"/>
      <c r="H35" s="133"/>
    </row>
    <row r="36" spans="1:8" x14ac:dyDescent="0.5">
      <c r="A36" s="133"/>
      <c r="B36" s="133"/>
      <c r="C36" s="134"/>
      <c r="D36" s="135"/>
      <c r="E36" s="134"/>
      <c r="F36" s="133"/>
      <c r="G36" s="133"/>
      <c r="H36" s="133"/>
    </row>
    <row r="37" spans="1:8" x14ac:dyDescent="0.5">
      <c r="A37" s="133"/>
      <c r="B37" s="133"/>
      <c r="C37" s="134"/>
      <c r="D37" s="135"/>
      <c r="E37" s="134"/>
      <c r="F37" s="133"/>
      <c r="G37" s="133"/>
      <c r="H37" s="133"/>
    </row>
    <row r="38" spans="1:8" x14ac:dyDescent="0.5">
      <c r="A38" s="133"/>
      <c r="B38" s="133"/>
      <c r="C38" s="134"/>
      <c r="D38" s="135"/>
      <c r="E38" s="134"/>
      <c r="F38" s="133"/>
      <c r="G38" s="133"/>
      <c r="H38" s="133"/>
    </row>
    <row r="39" spans="1:8" x14ac:dyDescent="0.5">
      <c r="A39" s="133"/>
      <c r="B39" s="133"/>
      <c r="C39" s="134"/>
      <c r="D39" s="135"/>
      <c r="E39" s="134"/>
      <c r="F39" s="133"/>
      <c r="G39" s="133"/>
      <c r="H39" s="133"/>
    </row>
    <row r="40" spans="1:8" x14ac:dyDescent="0.5">
      <c r="A40" s="133"/>
      <c r="B40" s="133"/>
      <c r="C40" s="134"/>
      <c r="D40" s="135"/>
      <c r="E40" s="134"/>
      <c r="F40" s="133"/>
      <c r="G40" s="133"/>
      <c r="H40" s="133"/>
    </row>
    <row r="41" spans="1:8" x14ac:dyDescent="0.5">
      <c r="A41" s="133"/>
      <c r="B41" s="133"/>
      <c r="C41" s="134"/>
      <c r="D41" s="135"/>
      <c r="E41" s="134"/>
      <c r="F41" s="133"/>
      <c r="G41" s="133"/>
      <c r="H41" s="133"/>
    </row>
    <row r="42" spans="1:8" x14ac:dyDescent="0.5">
      <c r="A42" s="133"/>
      <c r="B42" s="133"/>
      <c r="C42" s="134"/>
      <c r="D42" s="135"/>
      <c r="E42" s="134"/>
      <c r="F42" s="133"/>
      <c r="G42" s="133"/>
      <c r="H42" s="133"/>
    </row>
    <row r="43" spans="1:8" x14ac:dyDescent="0.5">
      <c r="A43" s="133"/>
      <c r="B43" s="133"/>
      <c r="C43" s="134"/>
      <c r="D43" s="135"/>
      <c r="E43" s="134"/>
      <c r="F43" s="133"/>
      <c r="G43" s="133"/>
      <c r="H43" s="133"/>
    </row>
    <row r="44" spans="1:8" x14ac:dyDescent="0.5">
      <c r="A44" s="133"/>
      <c r="B44" s="133"/>
      <c r="C44" s="134"/>
      <c r="D44" s="135"/>
      <c r="E44" s="134"/>
      <c r="F44" s="133"/>
      <c r="G44" s="133"/>
      <c r="H44" s="133"/>
    </row>
  </sheetData>
  <sheetProtection sheet="1" objects="1" scenarios="1"/>
  <mergeCells count="2">
    <mergeCell ref="A1:C1"/>
    <mergeCell ref="A3:C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G51"/>
  <sheetViews>
    <sheetView workbookViewId="0">
      <selection activeCell="C4" sqref="C4"/>
    </sheetView>
  </sheetViews>
  <sheetFormatPr defaultRowHeight="28.5" x14ac:dyDescent="0.45"/>
  <cols>
    <col min="1" max="1" width="16.42578125" style="90" bestFit="1" customWidth="1"/>
    <col min="2" max="2" width="4.140625" style="88" customWidth="1"/>
    <col min="3" max="3" width="14.5703125" style="88" bestFit="1" customWidth="1"/>
    <col min="4" max="4" width="5" style="88" customWidth="1"/>
    <col min="5" max="5" width="61.140625" style="86" customWidth="1"/>
    <col min="6" max="7" width="10.85546875" style="88" customWidth="1"/>
    <col min="8" max="16384" width="9.140625" style="86"/>
  </cols>
  <sheetData>
    <row r="1" spans="1:5" x14ac:dyDescent="0.45">
      <c r="A1" s="197" t="s">
        <v>127</v>
      </c>
      <c r="B1" s="197"/>
      <c r="C1" s="197"/>
      <c r="D1" s="93"/>
      <c r="E1" s="88" t="s">
        <v>130</v>
      </c>
    </row>
    <row r="3" spans="1:5" x14ac:dyDescent="0.45">
      <c r="A3" s="87" t="s">
        <v>115</v>
      </c>
      <c r="C3" s="89" t="s">
        <v>128</v>
      </c>
      <c r="E3" s="88" t="s">
        <v>129</v>
      </c>
    </row>
    <row r="4" spans="1:5" x14ac:dyDescent="0.45">
      <c r="A4" s="88" t="str">
        <f>IF(C4&lt;&gt;"","1","")</f>
        <v/>
      </c>
      <c r="B4" s="88" t="str">
        <f>IF(C4&lt;&gt;"","-","")</f>
        <v/>
      </c>
      <c r="C4" s="92" t="str">
        <f>IF(MainSummary!F30&gt;0,MainSummary!F30,"")</f>
        <v/>
      </c>
      <c r="E4" s="91"/>
    </row>
    <row r="5" spans="1:5" x14ac:dyDescent="0.45">
      <c r="A5" s="88" t="str">
        <f>IF(C5&lt;&gt;"","2","")</f>
        <v/>
      </c>
      <c r="B5" s="88" t="str">
        <f t="shared" ref="B5:B51" si="0">IF(C5&lt;&gt;"","-","")</f>
        <v/>
      </c>
      <c r="C5" s="92" t="str">
        <f>IF(MainSummary!F31&gt;0,MainSummary!F31,"")</f>
        <v/>
      </c>
      <c r="E5" s="91"/>
    </row>
    <row r="6" spans="1:5" x14ac:dyDescent="0.45">
      <c r="A6" s="88" t="str">
        <f>IF(C6&lt;&gt;"","3-4","")</f>
        <v/>
      </c>
      <c r="B6" s="88" t="str">
        <f t="shared" si="0"/>
        <v/>
      </c>
      <c r="C6" s="92" t="str">
        <f>IF(MainSummary!F32&gt;0,MainSummary!F32,"")</f>
        <v/>
      </c>
      <c r="E6" s="91"/>
    </row>
    <row r="7" spans="1:5" x14ac:dyDescent="0.45">
      <c r="A7" s="88" t="str">
        <f>IF(C7&lt;&gt;"","3-4","")</f>
        <v/>
      </c>
      <c r="B7" s="88" t="str">
        <f t="shared" si="0"/>
        <v/>
      </c>
      <c r="C7" s="92" t="str">
        <f>IF(MainSummary!F33&gt;0,MainSummary!F33,"")</f>
        <v/>
      </c>
      <c r="E7" s="91"/>
    </row>
    <row r="8" spans="1:5" x14ac:dyDescent="0.45">
      <c r="A8" s="88" t="str">
        <f>IF(C8&lt;&gt;"","5-8","")</f>
        <v/>
      </c>
      <c r="B8" s="88" t="str">
        <f t="shared" si="0"/>
        <v/>
      </c>
      <c r="C8" s="92" t="str">
        <f>IF(MainSummary!F34&gt;0,MainSummary!F34,"")</f>
        <v/>
      </c>
      <c r="E8" s="91"/>
    </row>
    <row r="9" spans="1:5" x14ac:dyDescent="0.45">
      <c r="A9" s="88" t="str">
        <f t="shared" ref="A9:A11" si="1">IF(C9&lt;&gt;"","5-8","")</f>
        <v/>
      </c>
      <c r="B9" s="88" t="str">
        <f t="shared" si="0"/>
        <v/>
      </c>
      <c r="C9" s="92" t="str">
        <f>IF(MainSummary!F35&gt;0,MainSummary!F35,"")</f>
        <v/>
      </c>
      <c r="E9" s="91"/>
    </row>
    <row r="10" spans="1:5" x14ac:dyDescent="0.45">
      <c r="A10" s="88" t="str">
        <f t="shared" si="1"/>
        <v/>
      </c>
      <c r="B10" s="88" t="str">
        <f t="shared" si="0"/>
        <v/>
      </c>
      <c r="C10" s="92" t="str">
        <f>IF(MainSummary!F36&gt;0,MainSummary!F36,"")</f>
        <v/>
      </c>
      <c r="E10" s="91"/>
    </row>
    <row r="11" spans="1:5" x14ac:dyDescent="0.45">
      <c r="A11" s="88" t="str">
        <f t="shared" si="1"/>
        <v/>
      </c>
      <c r="B11" s="88" t="str">
        <f t="shared" si="0"/>
        <v/>
      </c>
      <c r="C11" s="92" t="str">
        <f>IF(MainSummary!F37&gt;0,MainSummary!F37,"")</f>
        <v/>
      </c>
      <c r="E11" s="91"/>
    </row>
    <row r="12" spans="1:5" x14ac:dyDescent="0.45">
      <c r="A12" s="88" t="str">
        <f>IF(C12&lt;&gt;"","9-16","")</f>
        <v/>
      </c>
      <c r="B12" s="88" t="str">
        <f t="shared" si="0"/>
        <v/>
      </c>
      <c r="C12" s="92" t="str">
        <f>IF(MainSummary!F38&gt;0,MainSummary!F38,"")</f>
        <v/>
      </c>
      <c r="E12" s="91"/>
    </row>
    <row r="13" spans="1:5" x14ac:dyDescent="0.45">
      <c r="A13" s="88" t="str">
        <f t="shared" ref="A13:A18" si="2">IF(C13&lt;&gt;"","9-16","")</f>
        <v/>
      </c>
      <c r="B13" s="88" t="str">
        <f t="shared" si="0"/>
        <v/>
      </c>
      <c r="C13" s="92" t="str">
        <f>IF(MainSummary!F39&gt;0,MainSummary!F39,"")</f>
        <v/>
      </c>
      <c r="E13" s="91"/>
    </row>
    <row r="14" spans="1:5" x14ac:dyDescent="0.45">
      <c r="A14" s="88" t="str">
        <f t="shared" si="2"/>
        <v/>
      </c>
      <c r="B14" s="88" t="str">
        <f t="shared" si="0"/>
        <v/>
      </c>
      <c r="C14" s="92" t="str">
        <f>IF(MainSummary!F40&gt;0,MainSummary!F40,"")</f>
        <v/>
      </c>
      <c r="E14" s="91"/>
    </row>
    <row r="15" spans="1:5" x14ac:dyDescent="0.45">
      <c r="A15" s="88" t="str">
        <f t="shared" si="2"/>
        <v/>
      </c>
      <c r="B15" s="88" t="str">
        <f t="shared" si="0"/>
        <v/>
      </c>
      <c r="C15" s="92" t="str">
        <f>IF(MainSummary!F41&gt;0,MainSummary!F41,"")</f>
        <v/>
      </c>
      <c r="E15" s="91"/>
    </row>
    <row r="16" spans="1:5" x14ac:dyDescent="0.45">
      <c r="A16" s="88" t="str">
        <f t="shared" si="2"/>
        <v/>
      </c>
      <c r="B16" s="88" t="str">
        <f t="shared" si="0"/>
        <v/>
      </c>
      <c r="C16" s="92" t="str">
        <f>IF(MainSummary!F42&gt;0,MainSummary!F42,"")</f>
        <v/>
      </c>
      <c r="E16" s="91"/>
    </row>
    <row r="17" spans="1:5" x14ac:dyDescent="0.45">
      <c r="A17" s="88" t="str">
        <f t="shared" si="2"/>
        <v/>
      </c>
      <c r="B17" s="88" t="str">
        <f t="shared" si="0"/>
        <v/>
      </c>
      <c r="C17" s="92" t="str">
        <f>IF(MainSummary!F43&gt;0,MainSummary!F43,"")</f>
        <v/>
      </c>
      <c r="E17" s="91"/>
    </row>
    <row r="18" spans="1:5" x14ac:dyDescent="0.45">
      <c r="A18" s="88" t="str">
        <f t="shared" si="2"/>
        <v/>
      </c>
      <c r="B18" s="88" t="str">
        <f t="shared" si="0"/>
        <v/>
      </c>
      <c r="C18" s="92" t="str">
        <f>IF(MainSummary!F44&gt;0,MainSummary!F44,"")</f>
        <v/>
      </c>
      <c r="E18" s="91"/>
    </row>
    <row r="19" spans="1:5" x14ac:dyDescent="0.45">
      <c r="A19" s="88" t="str">
        <f>IF(C19&lt;&gt;"","17-32","")</f>
        <v/>
      </c>
      <c r="B19" s="88" t="str">
        <f t="shared" si="0"/>
        <v/>
      </c>
      <c r="C19" s="92" t="str">
        <f>IF(MainSummary!F45&gt;0,MainSummary!F45,"")</f>
        <v/>
      </c>
      <c r="E19" s="91"/>
    </row>
    <row r="20" spans="1:5" x14ac:dyDescent="0.45">
      <c r="A20" s="88" t="str">
        <f t="shared" ref="A20:A51" si="3">IF(C20&lt;&gt;"","17-32","")</f>
        <v/>
      </c>
      <c r="B20" s="88" t="str">
        <f t="shared" si="0"/>
        <v/>
      </c>
      <c r="C20" s="92" t="str">
        <f>IF(MainSummary!F46&gt;0,MainSummary!F46,"")</f>
        <v/>
      </c>
      <c r="E20" s="91"/>
    </row>
    <row r="21" spans="1:5" x14ac:dyDescent="0.45">
      <c r="A21" s="88" t="str">
        <f t="shared" si="3"/>
        <v/>
      </c>
      <c r="B21" s="88" t="str">
        <f t="shared" si="0"/>
        <v/>
      </c>
      <c r="C21" s="92" t="str">
        <f>IF(MainSummary!F47&gt;0,MainSummary!F47,"")</f>
        <v/>
      </c>
      <c r="E21" s="91"/>
    </row>
    <row r="22" spans="1:5" x14ac:dyDescent="0.45">
      <c r="A22" s="88" t="str">
        <f t="shared" si="3"/>
        <v/>
      </c>
      <c r="B22" s="88" t="str">
        <f t="shared" si="0"/>
        <v/>
      </c>
      <c r="C22" s="92" t="str">
        <f>IF(MainSummary!F48&gt;0,MainSummary!F48,"")</f>
        <v/>
      </c>
      <c r="E22" s="91"/>
    </row>
    <row r="23" spans="1:5" x14ac:dyDescent="0.45">
      <c r="A23" s="88" t="str">
        <f t="shared" si="3"/>
        <v/>
      </c>
      <c r="B23" s="88" t="str">
        <f t="shared" si="0"/>
        <v/>
      </c>
      <c r="C23" s="92" t="str">
        <f>IF(MainSummary!F49&gt;0,MainSummary!F49,"")</f>
        <v/>
      </c>
      <c r="E23" s="91"/>
    </row>
    <row r="24" spans="1:5" x14ac:dyDescent="0.45">
      <c r="A24" s="88" t="str">
        <f t="shared" si="3"/>
        <v/>
      </c>
      <c r="B24" s="88" t="str">
        <f t="shared" si="0"/>
        <v/>
      </c>
      <c r="C24" s="92" t="str">
        <f>IF(MainSummary!F50&gt;0,MainSummary!F50,"")</f>
        <v/>
      </c>
      <c r="E24" s="91"/>
    </row>
    <row r="25" spans="1:5" x14ac:dyDescent="0.45">
      <c r="A25" s="88" t="str">
        <f t="shared" si="3"/>
        <v/>
      </c>
      <c r="B25" s="88" t="str">
        <f t="shared" si="0"/>
        <v/>
      </c>
      <c r="C25" s="92" t="str">
        <f>IF(MainSummary!F51&gt;0,MainSummary!F51,"")</f>
        <v/>
      </c>
      <c r="E25" s="91"/>
    </row>
    <row r="26" spans="1:5" x14ac:dyDescent="0.45">
      <c r="A26" s="88" t="str">
        <f t="shared" si="3"/>
        <v/>
      </c>
      <c r="B26" s="88" t="str">
        <f t="shared" si="0"/>
        <v/>
      </c>
      <c r="C26" s="92" t="str">
        <f>IF(MainSummary!F52&gt;0,MainSummary!F52,"")</f>
        <v/>
      </c>
      <c r="E26" s="91"/>
    </row>
    <row r="27" spans="1:5" x14ac:dyDescent="0.45">
      <c r="A27" s="88" t="str">
        <f t="shared" si="3"/>
        <v/>
      </c>
      <c r="B27" s="88" t="str">
        <f t="shared" si="0"/>
        <v/>
      </c>
      <c r="C27" s="92" t="str">
        <f>IF(MainSummary!F53&gt;0,MainSummary!F53,"")</f>
        <v/>
      </c>
      <c r="E27" s="91"/>
    </row>
    <row r="28" spans="1:5" x14ac:dyDescent="0.45">
      <c r="A28" s="88" t="str">
        <f t="shared" si="3"/>
        <v/>
      </c>
      <c r="B28" s="88" t="str">
        <f t="shared" si="0"/>
        <v/>
      </c>
      <c r="C28" s="92" t="str">
        <f>IF(MainSummary!F54&gt;0,MainSummary!F54,"")</f>
        <v/>
      </c>
    </row>
    <row r="29" spans="1:5" x14ac:dyDescent="0.45">
      <c r="A29" s="88" t="str">
        <f t="shared" si="3"/>
        <v/>
      </c>
      <c r="B29" s="88" t="str">
        <f t="shared" si="0"/>
        <v/>
      </c>
    </row>
    <row r="30" spans="1:5" x14ac:dyDescent="0.45">
      <c r="A30" s="88" t="str">
        <f t="shared" si="3"/>
        <v/>
      </c>
      <c r="B30" s="88" t="str">
        <f t="shared" si="0"/>
        <v/>
      </c>
    </row>
    <row r="31" spans="1:5" x14ac:dyDescent="0.45">
      <c r="A31" s="88" t="str">
        <f t="shared" si="3"/>
        <v/>
      </c>
      <c r="B31" s="88" t="str">
        <f t="shared" si="0"/>
        <v/>
      </c>
    </row>
    <row r="32" spans="1:5" x14ac:dyDescent="0.45">
      <c r="A32" s="88" t="str">
        <f t="shared" si="3"/>
        <v/>
      </c>
      <c r="B32" s="88" t="str">
        <f t="shared" si="0"/>
        <v/>
      </c>
    </row>
    <row r="33" spans="1:2" x14ac:dyDescent="0.45">
      <c r="A33" s="88" t="str">
        <f t="shared" si="3"/>
        <v/>
      </c>
      <c r="B33" s="88" t="str">
        <f t="shared" si="0"/>
        <v/>
      </c>
    </row>
    <row r="34" spans="1:2" x14ac:dyDescent="0.45">
      <c r="A34" s="88" t="str">
        <f t="shared" si="3"/>
        <v/>
      </c>
      <c r="B34" s="88" t="str">
        <f t="shared" si="0"/>
        <v/>
      </c>
    </row>
    <row r="35" spans="1:2" x14ac:dyDescent="0.45">
      <c r="A35" s="88" t="str">
        <f t="shared" si="3"/>
        <v/>
      </c>
      <c r="B35" s="88" t="str">
        <f t="shared" si="0"/>
        <v/>
      </c>
    </row>
    <row r="36" spans="1:2" x14ac:dyDescent="0.45">
      <c r="A36" s="88" t="str">
        <f t="shared" si="3"/>
        <v/>
      </c>
      <c r="B36" s="88" t="str">
        <f t="shared" si="0"/>
        <v/>
      </c>
    </row>
    <row r="37" spans="1:2" x14ac:dyDescent="0.45">
      <c r="A37" s="88" t="str">
        <f t="shared" si="3"/>
        <v/>
      </c>
      <c r="B37" s="88" t="str">
        <f t="shared" si="0"/>
        <v/>
      </c>
    </row>
    <row r="38" spans="1:2" x14ac:dyDescent="0.45">
      <c r="A38" s="88" t="str">
        <f t="shared" si="3"/>
        <v/>
      </c>
      <c r="B38" s="88" t="str">
        <f t="shared" si="0"/>
        <v/>
      </c>
    </row>
    <row r="39" spans="1:2" x14ac:dyDescent="0.45">
      <c r="A39" s="88" t="str">
        <f t="shared" si="3"/>
        <v/>
      </c>
      <c r="B39" s="88" t="str">
        <f t="shared" si="0"/>
        <v/>
      </c>
    </row>
    <row r="40" spans="1:2" x14ac:dyDescent="0.45">
      <c r="A40" s="88" t="str">
        <f t="shared" si="3"/>
        <v/>
      </c>
      <c r="B40" s="88" t="str">
        <f t="shared" si="0"/>
        <v/>
      </c>
    </row>
    <row r="41" spans="1:2" x14ac:dyDescent="0.45">
      <c r="A41" s="88" t="str">
        <f t="shared" si="3"/>
        <v/>
      </c>
      <c r="B41" s="88" t="str">
        <f t="shared" si="0"/>
        <v/>
      </c>
    </row>
    <row r="42" spans="1:2" x14ac:dyDescent="0.45">
      <c r="A42" s="88" t="str">
        <f t="shared" si="3"/>
        <v/>
      </c>
      <c r="B42" s="88" t="str">
        <f t="shared" si="0"/>
        <v/>
      </c>
    </row>
    <row r="43" spans="1:2" x14ac:dyDescent="0.45">
      <c r="A43" s="88" t="str">
        <f t="shared" si="3"/>
        <v/>
      </c>
      <c r="B43" s="88" t="str">
        <f t="shared" si="0"/>
        <v/>
      </c>
    </row>
    <row r="44" spans="1:2" x14ac:dyDescent="0.45">
      <c r="A44" s="88" t="str">
        <f t="shared" si="3"/>
        <v/>
      </c>
      <c r="B44" s="88" t="str">
        <f t="shared" si="0"/>
        <v/>
      </c>
    </row>
    <row r="45" spans="1:2" x14ac:dyDescent="0.45">
      <c r="A45" s="88" t="str">
        <f t="shared" si="3"/>
        <v/>
      </c>
      <c r="B45" s="88" t="str">
        <f t="shared" si="0"/>
        <v/>
      </c>
    </row>
    <row r="46" spans="1:2" x14ac:dyDescent="0.45">
      <c r="A46" s="88" t="str">
        <f t="shared" si="3"/>
        <v/>
      </c>
      <c r="B46" s="88" t="str">
        <f t="shared" si="0"/>
        <v/>
      </c>
    </row>
    <row r="47" spans="1:2" x14ac:dyDescent="0.45">
      <c r="A47" s="88" t="str">
        <f t="shared" si="3"/>
        <v/>
      </c>
      <c r="B47" s="88" t="str">
        <f t="shared" si="0"/>
        <v/>
      </c>
    </row>
    <row r="48" spans="1:2" x14ac:dyDescent="0.45">
      <c r="A48" s="88" t="str">
        <f t="shared" si="3"/>
        <v/>
      </c>
      <c r="B48" s="88" t="str">
        <f t="shared" si="0"/>
        <v/>
      </c>
    </row>
    <row r="49" spans="1:2" x14ac:dyDescent="0.45">
      <c r="A49" s="88" t="str">
        <f t="shared" si="3"/>
        <v/>
      </c>
      <c r="B49" s="88" t="str">
        <f t="shared" si="0"/>
        <v/>
      </c>
    </row>
    <row r="50" spans="1:2" x14ac:dyDescent="0.45">
      <c r="A50" s="88" t="str">
        <f t="shared" si="3"/>
        <v/>
      </c>
      <c r="B50" s="88" t="str">
        <f t="shared" si="0"/>
        <v/>
      </c>
    </row>
    <row r="51" spans="1:2" x14ac:dyDescent="0.45">
      <c r="A51" s="88" t="str">
        <f t="shared" si="3"/>
        <v/>
      </c>
      <c r="B51" s="88" t="str">
        <f t="shared" si="0"/>
        <v/>
      </c>
    </row>
  </sheetData>
  <mergeCells count="1">
    <mergeCell ref="A1:C1"/>
  </mergeCells>
  <pageMargins left="0.2" right="0.2" top="0.2" bottom="0.2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K267"/>
  <sheetViews>
    <sheetView zoomScale="75" zoomScaleNormal="75" workbookViewId="0">
      <selection activeCell="M9" sqref="M9:M22"/>
    </sheetView>
  </sheetViews>
  <sheetFormatPr defaultRowHeight="15" x14ac:dyDescent="0.25"/>
  <cols>
    <col min="1" max="1" width="14.28515625" bestFit="1" customWidth="1"/>
    <col min="2" max="5" width="8" customWidth="1"/>
    <col min="6" max="37" width="8" bestFit="1" customWidth="1"/>
  </cols>
  <sheetData>
    <row r="1" spans="1:37" x14ac:dyDescent="0.25">
      <c r="A1" s="3" t="s">
        <v>0</v>
      </c>
      <c r="B1" s="18" t="s">
        <v>99</v>
      </c>
      <c r="C1" s="18" t="s">
        <v>100</v>
      </c>
      <c r="D1" s="18" t="s">
        <v>101</v>
      </c>
      <c r="E1" s="18" t="s">
        <v>102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x14ac:dyDescent="0.25">
      <c r="A2" s="4"/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x14ac:dyDescent="0.25">
      <c r="A3" s="4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95</v>
      </c>
      <c r="AH3" s="4" t="s">
        <v>96</v>
      </c>
      <c r="AI3" s="4" t="s">
        <v>97</v>
      </c>
      <c r="AJ3" s="4" t="s">
        <v>98</v>
      </c>
      <c r="AK3" s="4"/>
    </row>
    <row r="4" spans="1:37" x14ac:dyDescent="0.25">
      <c r="A4" s="5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x14ac:dyDescent="0.25">
      <c r="A6" s="3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x14ac:dyDescent="0.25">
      <c r="A7" s="5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A8" s="9"/>
      <c r="B8" s="1"/>
      <c r="C8" s="1"/>
      <c r="D8" s="1"/>
      <c r="E8" s="1"/>
    </row>
    <row r="9" spans="1:37" x14ac:dyDescent="0.25">
      <c r="A9" s="6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0">
        <v>0.35499999999999998</v>
      </c>
      <c r="G9" s="10">
        <v>0.33900000000000002</v>
      </c>
      <c r="H9" s="10">
        <v>0.29499999999999998</v>
      </c>
      <c r="I9" s="10">
        <v>0.28299999999999997</v>
      </c>
      <c r="J9" s="10">
        <v>0.26500000000000001</v>
      </c>
      <c r="K9" s="10">
        <v>0.25900000000000001</v>
      </c>
      <c r="L9" s="10">
        <v>0.25800000000000001</v>
      </c>
      <c r="M9" s="10">
        <v>0.25800000000000001</v>
      </c>
      <c r="N9" s="10">
        <v>0.252</v>
      </c>
      <c r="O9" s="10">
        <v>0.247</v>
      </c>
      <c r="P9" s="10">
        <v>0.22600000000000001</v>
      </c>
      <c r="Q9" s="10">
        <v>0.216</v>
      </c>
      <c r="R9" s="10">
        <v>0.20499999999999999</v>
      </c>
      <c r="S9" s="10">
        <v>0.192</v>
      </c>
      <c r="T9" s="10">
        <v>0.185</v>
      </c>
      <c r="U9" s="10">
        <v>0.185</v>
      </c>
      <c r="V9" s="10">
        <v>0.185</v>
      </c>
      <c r="W9" s="10">
        <v>0.186</v>
      </c>
      <c r="X9" s="10">
        <v>0.185</v>
      </c>
      <c r="Y9" s="10">
        <v>0.182</v>
      </c>
      <c r="Z9" s="10">
        <v>0.18099999999999999</v>
      </c>
      <c r="AA9" s="10">
        <v>0.17799999999999999</v>
      </c>
      <c r="AB9" s="10">
        <v>0.17599999999999999</v>
      </c>
      <c r="AC9" s="10">
        <v>0.17499999999999999</v>
      </c>
      <c r="AD9" s="10">
        <v>0.17799999999999999</v>
      </c>
      <c r="AE9" s="10">
        <v>0.18</v>
      </c>
      <c r="AF9" s="10">
        <v>0.156</v>
      </c>
      <c r="AG9" s="10">
        <v>0.153</v>
      </c>
      <c r="AH9" s="13">
        <v>0.14399999999999999</v>
      </c>
      <c r="AI9" s="13">
        <v>0.14099999999999999</v>
      </c>
      <c r="AJ9" s="13">
        <v>0.13600000000000001</v>
      </c>
      <c r="AK9" s="13">
        <v>0.13300000000000001</v>
      </c>
    </row>
    <row r="10" spans="1:37" x14ac:dyDescent="0.25">
      <c r="A10" s="7">
        <v>2</v>
      </c>
      <c r="B10" s="13">
        <v>0.3</v>
      </c>
      <c r="C10" s="13">
        <v>0.26</v>
      </c>
      <c r="D10" s="13">
        <v>0.25</v>
      </c>
      <c r="E10" s="13">
        <v>0.24199999999999999</v>
      </c>
      <c r="F10" s="10">
        <v>0.23</v>
      </c>
      <c r="G10" s="10">
        <v>0.221</v>
      </c>
      <c r="H10" s="10">
        <v>0.20200000000000001</v>
      </c>
      <c r="I10" s="10">
        <v>0.193</v>
      </c>
      <c r="J10" s="10">
        <v>0.186</v>
      </c>
      <c r="K10" s="10">
        <v>0.18</v>
      </c>
      <c r="L10" s="10">
        <v>0.17799999999999999</v>
      </c>
      <c r="M10" s="10">
        <v>0.17299999999999999</v>
      </c>
      <c r="N10" s="10">
        <v>0.17499999999999999</v>
      </c>
      <c r="O10" s="10">
        <v>0.17199999999999999</v>
      </c>
      <c r="P10" s="10">
        <v>0.157</v>
      </c>
      <c r="Q10" s="10">
        <v>0.151</v>
      </c>
      <c r="R10" s="10">
        <v>0.14299999999999999</v>
      </c>
      <c r="S10" s="10">
        <v>0.13300000000000001</v>
      </c>
      <c r="T10" s="10">
        <v>0.13100000000000001</v>
      </c>
      <c r="U10" s="10">
        <v>0.13100000000000001</v>
      </c>
      <c r="V10" s="10">
        <v>0.13200000000000001</v>
      </c>
      <c r="W10" s="10">
        <v>0.13200000000000001</v>
      </c>
      <c r="X10" s="10">
        <v>0.13200000000000001</v>
      </c>
      <c r="Y10" s="10">
        <v>0.13200000000000001</v>
      </c>
      <c r="Z10" s="10">
        <v>0.13300000000000001</v>
      </c>
      <c r="AA10" s="10">
        <v>0.129</v>
      </c>
      <c r="AB10" s="10">
        <v>0.129</v>
      </c>
      <c r="AC10" s="10">
        <v>0.129</v>
      </c>
      <c r="AD10" s="10">
        <v>0.13100000000000001</v>
      </c>
      <c r="AE10" s="10">
        <v>0.13100000000000001</v>
      </c>
      <c r="AF10" s="10">
        <v>0.113</v>
      </c>
      <c r="AG10" s="10">
        <v>0.111</v>
      </c>
      <c r="AH10" s="13">
        <v>0.1045</v>
      </c>
      <c r="AI10" s="13">
        <v>0.10199999999999999</v>
      </c>
      <c r="AJ10" s="13">
        <v>9.9000000000000005E-2</v>
      </c>
      <c r="AK10" s="13">
        <v>9.6000000000000002E-2</v>
      </c>
    </row>
    <row r="11" spans="1:37" x14ac:dyDescent="0.25">
      <c r="A11" s="7">
        <v>3</v>
      </c>
      <c r="B11" s="13">
        <v>0.2</v>
      </c>
      <c r="C11" s="13">
        <v>0.155</v>
      </c>
      <c r="D11" s="13">
        <v>0.14399999999999999</v>
      </c>
      <c r="E11" s="13">
        <v>0.1285</v>
      </c>
      <c r="F11" s="13">
        <v>0.11749999999999999</v>
      </c>
      <c r="G11" s="13">
        <v>0.114</v>
      </c>
      <c r="H11" s="13">
        <v>0.112</v>
      </c>
      <c r="I11" s="13">
        <v>0.108</v>
      </c>
      <c r="J11" s="13">
        <v>0.10550000000000001</v>
      </c>
      <c r="K11" s="13">
        <v>0.10450000000000001</v>
      </c>
      <c r="L11" s="13">
        <v>0.1</v>
      </c>
      <c r="M11" s="13">
        <v>9.6500000000000002E-2</v>
      </c>
      <c r="N11" s="13">
        <v>9.8000000000000004E-2</v>
      </c>
      <c r="O11" s="13">
        <v>9.6500000000000002E-2</v>
      </c>
      <c r="P11" s="13">
        <v>8.8499999999999995E-2</v>
      </c>
      <c r="Q11" s="13">
        <v>8.5499999999999993E-2</v>
      </c>
      <c r="R11" s="13">
        <v>8.1000000000000003E-2</v>
      </c>
      <c r="S11" s="13">
        <v>7.7499999999999999E-2</v>
      </c>
      <c r="T11" s="13">
        <v>7.8E-2</v>
      </c>
      <c r="U11" s="13">
        <v>7.6999999999999999E-2</v>
      </c>
      <c r="V11" s="13">
        <v>7.6499999999999999E-2</v>
      </c>
      <c r="W11" s="13">
        <v>7.6999999999999999E-2</v>
      </c>
      <c r="X11" s="13">
        <v>7.7499999999999999E-2</v>
      </c>
      <c r="Y11" s="13">
        <v>7.6999999999999999E-2</v>
      </c>
      <c r="Z11" s="13">
        <v>7.85E-2</v>
      </c>
      <c r="AA11" s="13">
        <v>7.6499999999999999E-2</v>
      </c>
      <c r="AB11" s="13">
        <v>7.6499999999999999E-2</v>
      </c>
      <c r="AC11" s="13">
        <v>7.5999999999999998E-2</v>
      </c>
      <c r="AD11" s="13">
        <v>7.8E-2</v>
      </c>
      <c r="AE11" s="13">
        <v>7.6499999999999999E-2</v>
      </c>
      <c r="AF11" s="13">
        <v>6.7250000000000004E-2</v>
      </c>
      <c r="AG11" s="13">
        <v>6.6000000000000003E-2</v>
      </c>
      <c r="AH11" s="13">
        <v>6.25E-2</v>
      </c>
      <c r="AI11" s="13">
        <v>6.0499999999999998E-2</v>
      </c>
      <c r="AJ11" s="13">
        <v>0.06</v>
      </c>
      <c r="AK11" s="13">
        <v>5.8500000000000003E-2</v>
      </c>
    </row>
    <row r="12" spans="1:37" x14ac:dyDescent="0.25">
      <c r="A12" s="8">
        <v>4</v>
      </c>
      <c r="B12" s="13"/>
      <c r="C12" s="13">
        <v>0.155</v>
      </c>
      <c r="D12" s="13">
        <v>0.14399999999999999</v>
      </c>
      <c r="E12" s="13">
        <v>0.1285</v>
      </c>
      <c r="F12" s="13">
        <v>0.11749999999999999</v>
      </c>
      <c r="G12" s="13">
        <v>0.114</v>
      </c>
      <c r="H12" s="13">
        <v>0.112</v>
      </c>
      <c r="I12" s="13">
        <v>0.108</v>
      </c>
      <c r="J12" s="13">
        <v>0.10550000000000001</v>
      </c>
      <c r="K12" s="13">
        <v>0.10450000000000001</v>
      </c>
      <c r="L12" s="13">
        <v>0.1</v>
      </c>
      <c r="M12" s="13">
        <v>9.6500000000000002E-2</v>
      </c>
      <c r="N12" s="13">
        <v>9.8000000000000004E-2</v>
      </c>
      <c r="O12" s="13">
        <v>9.6500000000000002E-2</v>
      </c>
      <c r="P12" s="13">
        <v>8.8499999999999995E-2</v>
      </c>
      <c r="Q12" s="13">
        <v>8.5499999999999993E-2</v>
      </c>
      <c r="R12" s="13">
        <v>8.1000000000000003E-2</v>
      </c>
      <c r="S12" s="13">
        <v>7.7499999999999999E-2</v>
      </c>
      <c r="T12" s="13">
        <v>7.8E-2</v>
      </c>
      <c r="U12" s="13">
        <v>7.6999999999999999E-2</v>
      </c>
      <c r="V12" s="13">
        <v>7.6499999999999999E-2</v>
      </c>
      <c r="W12" s="13">
        <v>7.6999999999999999E-2</v>
      </c>
      <c r="X12" s="13">
        <v>7.7499999999999999E-2</v>
      </c>
      <c r="Y12" s="13">
        <v>7.6999999999999999E-2</v>
      </c>
      <c r="Z12" s="13">
        <v>7.85E-2</v>
      </c>
      <c r="AA12" s="13">
        <v>7.6499999999999999E-2</v>
      </c>
      <c r="AB12" s="13">
        <v>7.6499999999999999E-2</v>
      </c>
      <c r="AC12" s="13">
        <v>7.5999999999999998E-2</v>
      </c>
      <c r="AD12" s="13">
        <v>7.8E-2</v>
      </c>
      <c r="AE12" s="13">
        <v>7.6499999999999999E-2</v>
      </c>
      <c r="AF12" s="13">
        <v>6.7250000000000004E-2</v>
      </c>
      <c r="AG12" s="13">
        <v>6.6000000000000003E-2</v>
      </c>
      <c r="AH12" s="13">
        <v>6.25E-2</v>
      </c>
      <c r="AI12" s="13">
        <v>6.0499999999999998E-2</v>
      </c>
      <c r="AJ12" s="13">
        <v>0.06</v>
      </c>
      <c r="AK12" s="13">
        <v>5.8500000000000003E-2</v>
      </c>
    </row>
    <row r="13" spans="1:37" x14ac:dyDescent="0.25">
      <c r="A13" s="6">
        <v>5</v>
      </c>
      <c r="B13" s="13"/>
      <c r="C13" s="13"/>
      <c r="D13" s="13">
        <v>7.1999999999999995E-2</v>
      </c>
      <c r="E13" s="13">
        <v>6.6000000000000003E-2</v>
      </c>
      <c r="F13" s="10">
        <v>0.06</v>
      </c>
      <c r="G13" s="10">
        <v>5.2999999999999999E-2</v>
      </c>
      <c r="H13" s="10">
        <v>5.8000000000000003E-2</v>
      </c>
      <c r="I13" s="10">
        <v>5.6000000000000001E-2</v>
      </c>
      <c r="J13" s="10">
        <v>5.6000000000000001E-2</v>
      </c>
      <c r="K13" s="10">
        <v>5.2999999999999999E-2</v>
      </c>
      <c r="L13" s="10">
        <v>5.0999999999999997E-2</v>
      </c>
      <c r="M13" s="10">
        <v>4.9000000000000002E-2</v>
      </c>
      <c r="N13" s="10">
        <v>4.7E-2</v>
      </c>
      <c r="O13" s="10">
        <v>4.4999999999999998E-2</v>
      </c>
      <c r="P13" s="10">
        <v>4.3999999999999997E-2</v>
      </c>
      <c r="Q13" s="10">
        <v>4.3999999999999997E-2</v>
      </c>
      <c r="R13" s="10">
        <v>4.3999999999999997E-2</v>
      </c>
      <c r="S13" s="10">
        <v>4.4999999999999998E-2</v>
      </c>
      <c r="T13" s="10">
        <v>4.4999999999999998E-2</v>
      </c>
      <c r="U13" s="10">
        <v>4.3999999999999997E-2</v>
      </c>
      <c r="V13" s="10">
        <v>4.2999999999999997E-2</v>
      </c>
      <c r="W13" s="10">
        <v>4.2000000000000003E-2</v>
      </c>
      <c r="X13" s="10">
        <v>4.2000000000000003E-2</v>
      </c>
      <c r="Y13" s="10">
        <v>4.1000000000000002E-2</v>
      </c>
      <c r="Z13" s="10">
        <v>4.1000000000000002E-2</v>
      </c>
      <c r="AA13" s="10">
        <v>0.04</v>
      </c>
      <c r="AB13" s="10">
        <v>0.04</v>
      </c>
      <c r="AC13" s="10">
        <v>3.9E-2</v>
      </c>
      <c r="AD13" s="10">
        <v>3.9E-2</v>
      </c>
      <c r="AE13" s="10">
        <v>3.7999999999999999E-2</v>
      </c>
      <c r="AF13" s="10">
        <v>3.5999999999999997E-2</v>
      </c>
      <c r="AG13" s="10">
        <v>3.5000000000000003E-2</v>
      </c>
      <c r="AH13" s="13">
        <v>3.4000000000000002E-2</v>
      </c>
      <c r="AI13" s="13">
        <v>3.3500000000000002E-2</v>
      </c>
      <c r="AJ13" s="13">
        <v>3.3500000000000002E-2</v>
      </c>
      <c r="AK13" s="13">
        <v>3.3000000000000002E-2</v>
      </c>
    </row>
    <row r="14" spans="1:37" x14ac:dyDescent="0.25">
      <c r="A14" s="7">
        <v>6</v>
      </c>
      <c r="B14" s="13"/>
      <c r="C14" s="13"/>
      <c r="D14" s="13"/>
      <c r="E14" s="13">
        <v>6.6000000000000003E-2</v>
      </c>
      <c r="F14" s="10">
        <v>0.06</v>
      </c>
      <c r="G14" s="10">
        <v>5.2999999999999999E-2</v>
      </c>
      <c r="H14" s="10">
        <v>5.8000000000000003E-2</v>
      </c>
      <c r="I14" s="10">
        <v>5.6000000000000001E-2</v>
      </c>
      <c r="J14" s="10">
        <v>5.6000000000000001E-2</v>
      </c>
      <c r="K14" s="10">
        <v>5.2999999999999999E-2</v>
      </c>
      <c r="L14" s="10">
        <v>5.0999999999999997E-2</v>
      </c>
      <c r="M14" s="10">
        <v>4.9000000000000002E-2</v>
      </c>
      <c r="N14" s="10">
        <v>4.7E-2</v>
      </c>
      <c r="O14" s="10">
        <v>4.4999999999999998E-2</v>
      </c>
      <c r="P14" s="10">
        <v>4.3999999999999997E-2</v>
      </c>
      <c r="Q14" s="10">
        <v>4.3999999999999997E-2</v>
      </c>
      <c r="R14" s="10">
        <v>4.3999999999999997E-2</v>
      </c>
      <c r="S14" s="10">
        <v>4.4999999999999998E-2</v>
      </c>
      <c r="T14" s="10">
        <v>4.4999999999999998E-2</v>
      </c>
      <c r="U14" s="10">
        <v>4.3999999999999997E-2</v>
      </c>
      <c r="V14" s="10">
        <v>4.2999999999999997E-2</v>
      </c>
      <c r="W14" s="10">
        <v>4.2000000000000003E-2</v>
      </c>
      <c r="X14" s="10">
        <v>4.2000000000000003E-2</v>
      </c>
      <c r="Y14" s="10">
        <v>4.1000000000000002E-2</v>
      </c>
      <c r="Z14" s="10">
        <v>4.1000000000000002E-2</v>
      </c>
      <c r="AA14" s="10">
        <v>0.04</v>
      </c>
      <c r="AB14" s="10">
        <v>0.04</v>
      </c>
      <c r="AC14" s="10">
        <v>3.9E-2</v>
      </c>
      <c r="AD14" s="10">
        <v>3.9E-2</v>
      </c>
      <c r="AE14" s="10">
        <v>3.7999999999999999E-2</v>
      </c>
      <c r="AF14" s="10">
        <v>3.5999999999999997E-2</v>
      </c>
      <c r="AG14" s="10">
        <v>3.5000000000000003E-2</v>
      </c>
      <c r="AH14" s="13">
        <v>3.4000000000000002E-2</v>
      </c>
      <c r="AI14" s="13">
        <v>3.3500000000000002E-2</v>
      </c>
      <c r="AJ14" s="13">
        <v>3.3500000000000002E-2</v>
      </c>
      <c r="AK14" s="13">
        <v>3.3000000000000002E-2</v>
      </c>
    </row>
    <row r="15" spans="1:37" x14ac:dyDescent="0.25">
      <c r="A15" s="7">
        <v>7</v>
      </c>
      <c r="B15" s="13"/>
      <c r="C15" s="13"/>
      <c r="D15" s="13"/>
      <c r="E15" s="13"/>
      <c r="F15" s="10">
        <v>0.06</v>
      </c>
      <c r="G15" s="10">
        <v>5.2999999999999999E-2</v>
      </c>
      <c r="H15" s="10">
        <v>5.8000000000000003E-2</v>
      </c>
      <c r="I15" s="10">
        <v>5.6000000000000001E-2</v>
      </c>
      <c r="J15" s="10">
        <v>5.6000000000000001E-2</v>
      </c>
      <c r="K15" s="10">
        <v>5.2999999999999999E-2</v>
      </c>
      <c r="L15" s="10">
        <v>5.0999999999999997E-2</v>
      </c>
      <c r="M15" s="10">
        <v>4.9000000000000002E-2</v>
      </c>
      <c r="N15" s="10">
        <v>4.7E-2</v>
      </c>
      <c r="O15" s="10">
        <v>4.4999999999999998E-2</v>
      </c>
      <c r="P15" s="10">
        <v>4.3999999999999997E-2</v>
      </c>
      <c r="Q15" s="10">
        <v>4.3999999999999997E-2</v>
      </c>
      <c r="R15" s="10">
        <v>4.3999999999999997E-2</v>
      </c>
      <c r="S15" s="10">
        <v>4.4999999999999998E-2</v>
      </c>
      <c r="T15" s="10">
        <v>4.4999999999999998E-2</v>
      </c>
      <c r="U15" s="10">
        <v>4.3999999999999997E-2</v>
      </c>
      <c r="V15" s="10">
        <v>4.2999999999999997E-2</v>
      </c>
      <c r="W15" s="10">
        <v>4.2000000000000003E-2</v>
      </c>
      <c r="X15" s="10">
        <v>4.2000000000000003E-2</v>
      </c>
      <c r="Y15" s="10">
        <v>4.1000000000000002E-2</v>
      </c>
      <c r="Z15" s="10">
        <v>4.1000000000000002E-2</v>
      </c>
      <c r="AA15" s="10">
        <v>0.04</v>
      </c>
      <c r="AB15" s="10">
        <v>0.04</v>
      </c>
      <c r="AC15" s="10">
        <v>3.9E-2</v>
      </c>
      <c r="AD15" s="10">
        <v>3.9E-2</v>
      </c>
      <c r="AE15" s="10">
        <v>3.7999999999999999E-2</v>
      </c>
      <c r="AF15" s="10">
        <v>3.5999999999999997E-2</v>
      </c>
      <c r="AG15" s="10">
        <v>3.5000000000000003E-2</v>
      </c>
      <c r="AH15" s="13">
        <v>3.4000000000000002E-2</v>
      </c>
      <c r="AI15" s="13">
        <v>3.3500000000000002E-2</v>
      </c>
      <c r="AJ15" s="13">
        <v>3.3500000000000002E-2</v>
      </c>
      <c r="AK15" s="13">
        <v>3.3000000000000002E-2</v>
      </c>
    </row>
    <row r="16" spans="1:37" x14ac:dyDescent="0.25">
      <c r="A16" s="8">
        <v>8</v>
      </c>
      <c r="B16" s="13"/>
      <c r="C16" s="13"/>
      <c r="D16" s="13"/>
      <c r="E16" s="13"/>
      <c r="F16" s="10"/>
      <c r="G16" s="10">
        <v>5.2999999999999999E-2</v>
      </c>
      <c r="H16" s="10">
        <v>5.8000000000000003E-2</v>
      </c>
      <c r="I16" s="10">
        <v>5.6000000000000001E-2</v>
      </c>
      <c r="J16" s="10">
        <v>5.6000000000000001E-2</v>
      </c>
      <c r="K16" s="10">
        <v>5.2999999999999999E-2</v>
      </c>
      <c r="L16" s="10">
        <v>5.0999999999999997E-2</v>
      </c>
      <c r="M16" s="10">
        <v>4.9000000000000002E-2</v>
      </c>
      <c r="N16" s="10">
        <v>4.7E-2</v>
      </c>
      <c r="O16" s="10">
        <v>4.4999999999999998E-2</v>
      </c>
      <c r="P16" s="10">
        <v>4.3999999999999997E-2</v>
      </c>
      <c r="Q16" s="10">
        <v>4.3999999999999997E-2</v>
      </c>
      <c r="R16" s="10">
        <v>4.3999999999999997E-2</v>
      </c>
      <c r="S16" s="10">
        <v>4.4999999999999998E-2</v>
      </c>
      <c r="T16" s="10">
        <v>4.4999999999999998E-2</v>
      </c>
      <c r="U16" s="10">
        <v>4.3999999999999997E-2</v>
      </c>
      <c r="V16" s="10">
        <v>4.2999999999999997E-2</v>
      </c>
      <c r="W16" s="10">
        <v>4.2000000000000003E-2</v>
      </c>
      <c r="X16" s="10">
        <v>4.2000000000000003E-2</v>
      </c>
      <c r="Y16" s="10">
        <v>4.1000000000000002E-2</v>
      </c>
      <c r="Z16" s="10">
        <v>4.1000000000000002E-2</v>
      </c>
      <c r="AA16" s="10">
        <v>0.04</v>
      </c>
      <c r="AB16" s="10">
        <v>0.04</v>
      </c>
      <c r="AC16" s="10">
        <v>3.9E-2</v>
      </c>
      <c r="AD16" s="10">
        <v>3.9E-2</v>
      </c>
      <c r="AE16" s="10">
        <v>3.7999999999999999E-2</v>
      </c>
      <c r="AF16" s="10">
        <v>3.5999999999999997E-2</v>
      </c>
      <c r="AG16" s="10">
        <v>3.5000000000000003E-2</v>
      </c>
      <c r="AH16" s="13">
        <v>3.4000000000000002E-2</v>
      </c>
      <c r="AI16" s="13">
        <v>3.3500000000000002E-2</v>
      </c>
      <c r="AJ16" s="13">
        <v>3.3500000000000002E-2</v>
      </c>
      <c r="AK16" s="13">
        <v>3.3000000000000002E-2</v>
      </c>
    </row>
    <row r="17" spans="1:37" x14ac:dyDescent="0.25">
      <c r="A17" s="6">
        <v>9</v>
      </c>
      <c r="B17" s="13"/>
      <c r="C17" s="13"/>
      <c r="D17" s="13"/>
      <c r="E17" s="13"/>
      <c r="F17" s="10"/>
      <c r="G17" s="10"/>
      <c r="H17" s="10">
        <v>4.7E-2</v>
      </c>
      <c r="I17" s="10">
        <v>4.2000000000000003E-2</v>
      </c>
      <c r="J17" s="10">
        <v>3.7999999999999999E-2</v>
      </c>
      <c r="K17" s="10">
        <v>3.5000000000000003E-2</v>
      </c>
      <c r="L17" s="10">
        <v>3.2000000000000001E-2</v>
      </c>
      <c r="M17" s="10">
        <v>0.03</v>
      </c>
      <c r="N17" s="10">
        <v>2.7E-2</v>
      </c>
      <c r="O17" s="10">
        <v>2.5999999999999999E-2</v>
      </c>
      <c r="P17" s="10">
        <v>0.03</v>
      </c>
      <c r="Q17" s="10">
        <v>0.03</v>
      </c>
      <c r="R17" s="10">
        <v>3.1E-2</v>
      </c>
      <c r="S17" s="10">
        <v>3.2000000000000001E-2</v>
      </c>
      <c r="T17" s="10">
        <v>3.1E-2</v>
      </c>
      <c r="U17" s="10">
        <v>0.03</v>
      </c>
      <c r="V17" s="10">
        <v>2.9000000000000001E-2</v>
      </c>
      <c r="W17" s="10">
        <v>2.8000000000000001E-2</v>
      </c>
      <c r="X17" s="10">
        <v>2.7E-2</v>
      </c>
      <c r="Y17" s="10">
        <v>2.5999999999999999E-2</v>
      </c>
      <c r="Z17" s="10">
        <v>2.5000000000000001E-2</v>
      </c>
      <c r="AA17" s="10">
        <v>2.5000000000000001E-2</v>
      </c>
      <c r="AB17" s="10">
        <v>2.5000000000000001E-2</v>
      </c>
      <c r="AC17" s="10">
        <v>2.4E-2</v>
      </c>
      <c r="AD17" s="10">
        <v>2.3E-2</v>
      </c>
      <c r="AE17" s="10">
        <v>2.1999999999999999E-2</v>
      </c>
      <c r="AF17" s="10">
        <v>2.3E-2</v>
      </c>
      <c r="AG17" s="10">
        <v>2.3E-2</v>
      </c>
      <c r="AH17" s="13">
        <v>2.3E-2</v>
      </c>
      <c r="AI17" s="13">
        <v>2.3E-2</v>
      </c>
      <c r="AJ17" s="13">
        <v>2.3E-2</v>
      </c>
      <c r="AK17" s="13">
        <v>2.3E-2</v>
      </c>
    </row>
    <row r="18" spans="1:37" x14ac:dyDescent="0.25">
      <c r="A18" s="7">
        <v>10</v>
      </c>
      <c r="B18" s="13"/>
      <c r="C18" t="s">
        <v>112</v>
      </c>
      <c r="D18" s="13"/>
      <c r="E18" s="13"/>
      <c r="F18" s="10"/>
      <c r="G18" s="10"/>
      <c r="H18" s="10"/>
      <c r="I18" s="10">
        <v>4.2000000000000003E-2</v>
      </c>
      <c r="J18" s="10">
        <v>3.7999999999999999E-2</v>
      </c>
      <c r="K18" s="10">
        <v>3.5000000000000003E-2</v>
      </c>
      <c r="L18" s="10">
        <v>3.2000000000000001E-2</v>
      </c>
      <c r="M18" s="10">
        <v>0.03</v>
      </c>
      <c r="N18" s="10">
        <v>2.7E-2</v>
      </c>
      <c r="O18" s="10">
        <v>2.5999999999999999E-2</v>
      </c>
      <c r="P18" s="10">
        <v>0.03</v>
      </c>
      <c r="Q18" s="10">
        <v>0.03</v>
      </c>
      <c r="R18" s="10">
        <v>3.1E-2</v>
      </c>
      <c r="S18" s="10">
        <v>3.2000000000000001E-2</v>
      </c>
      <c r="T18" s="10">
        <v>3.1E-2</v>
      </c>
      <c r="U18" s="10">
        <v>0.03</v>
      </c>
      <c r="V18" s="10">
        <v>2.9000000000000001E-2</v>
      </c>
      <c r="W18" s="10">
        <v>2.8000000000000001E-2</v>
      </c>
      <c r="X18" s="10">
        <v>2.7E-2</v>
      </c>
      <c r="Y18" s="10">
        <v>2.5999999999999999E-2</v>
      </c>
      <c r="Z18" s="10">
        <v>2.5000000000000001E-2</v>
      </c>
      <c r="AA18" s="10">
        <v>2.5000000000000001E-2</v>
      </c>
      <c r="AB18" s="10">
        <v>2.5000000000000001E-2</v>
      </c>
      <c r="AC18" s="10">
        <v>2.4E-2</v>
      </c>
      <c r="AD18" s="10">
        <v>2.3E-2</v>
      </c>
      <c r="AE18" s="10">
        <v>2.1999999999999999E-2</v>
      </c>
      <c r="AF18" s="10">
        <v>2.3E-2</v>
      </c>
      <c r="AG18" s="10">
        <v>2.3E-2</v>
      </c>
      <c r="AH18" s="13">
        <v>2.3E-2</v>
      </c>
      <c r="AI18" s="13">
        <v>2.3E-2</v>
      </c>
      <c r="AJ18" s="13">
        <v>2.3E-2</v>
      </c>
      <c r="AK18" s="13">
        <v>2.3E-2</v>
      </c>
    </row>
    <row r="19" spans="1:37" x14ac:dyDescent="0.25">
      <c r="A19" s="7">
        <v>11</v>
      </c>
      <c r="B19" s="1"/>
      <c r="C19" t="s">
        <v>111</v>
      </c>
      <c r="D19" s="1"/>
      <c r="E19" s="1"/>
      <c r="F19" s="10"/>
      <c r="G19" s="10"/>
      <c r="H19" s="10"/>
      <c r="I19" s="10"/>
      <c r="J19" s="10">
        <v>3.7999999999999999E-2</v>
      </c>
      <c r="K19" s="10">
        <v>3.5000000000000003E-2</v>
      </c>
      <c r="L19" s="10">
        <v>3.2000000000000001E-2</v>
      </c>
      <c r="M19" s="10">
        <v>0.03</v>
      </c>
      <c r="N19" s="10">
        <v>2.7E-2</v>
      </c>
      <c r="O19" s="10">
        <v>2.5999999999999999E-2</v>
      </c>
      <c r="P19" s="10">
        <v>0.03</v>
      </c>
      <c r="Q19" s="10">
        <v>0.03</v>
      </c>
      <c r="R19" s="10">
        <v>3.1E-2</v>
      </c>
      <c r="S19" s="10">
        <v>3.2000000000000001E-2</v>
      </c>
      <c r="T19" s="10">
        <v>3.1E-2</v>
      </c>
      <c r="U19" s="10">
        <v>0.03</v>
      </c>
      <c r="V19" s="10">
        <v>2.9000000000000001E-2</v>
      </c>
      <c r="W19" s="10">
        <v>2.8000000000000001E-2</v>
      </c>
      <c r="X19" s="10">
        <v>2.7E-2</v>
      </c>
      <c r="Y19" s="10">
        <v>2.5999999999999999E-2</v>
      </c>
      <c r="Z19" s="10">
        <v>2.5000000000000001E-2</v>
      </c>
      <c r="AA19" s="10">
        <v>2.5000000000000001E-2</v>
      </c>
      <c r="AB19" s="10">
        <v>2.5000000000000001E-2</v>
      </c>
      <c r="AC19" s="10">
        <v>2.4E-2</v>
      </c>
      <c r="AD19" s="10">
        <v>2.3E-2</v>
      </c>
      <c r="AE19" s="10">
        <v>2.1999999999999999E-2</v>
      </c>
      <c r="AF19" s="10">
        <v>2.3E-2</v>
      </c>
      <c r="AG19" s="10">
        <v>2.3E-2</v>
      </c>
      <c r="AH19" s="13">
        <v>2.3E-2</v>
      </c>
      <c r="AI19" s="13">
        <v>2.3E-2</v>
      </c>
      <c r="AJ19" s="13">
        <v>2.3E-2</v>
      </c>
      <c r="AK19" s="13">
        <v>2.3E-2</v>
      </c>
    </row>
    <row r="20" spans="1:37" x14ac:dyDescent="0.25">
      <c r="A20" s="8">
        <v>12</v>
      </c>
      <c r="B20" s="1"/>
      <c r="C20" s="1"/>
      <c r="D20" s="1"/>
      <c r="E20" s="1"/>
      <c r="F20" s="10"/>
      <c r="G20" s="10"/>
      <c r="H20" s="10"/>
      <c r="I20" s="10"/>
      <c r="J20" s="10"/>
      <c r="K20" s="10">
        <v>3.5000000000000003E-2</v>
      </c>
      <c r="L20" s="10">
        <v>3.2000000000000001E-2</v>
      </c>
      <c r="M20" s="10">
        <v>0.03</v>
      </c>
      <c r="N20" s="10">
        <v>2.7E-2</v>
      </c>
      <c r="O20" s="10">
        <v>2.5999999999999999E-2</v>
      </c>
      <c r="P20" s="10">
        <v>0.03</v>
      </c>
      <c r="Q20" s="10">
        <v>0.03</v>
      </c>
      <c r="R20" s="10">
        <v>3.1E-2</v>
      </c>
      <c r="S20" s="10">
        <v>3.2000000000000001E-2</v>
      </c>
      <c r="T20" s="10">
        <v>3.1E-2</v>
      </c>
      <c r="U20" s="10">
        <v>0.03</v>
      </c>
      <c r="V20" s="10">
        <v>2.9000000000000001E-2</v>
      </c>
      <c r="W20" s="10">
        <v>2.8000000000000001E-2</v>
      </c>
      <c r="X20" s="10">
        <v>2.7E-2</v>
      </c>
      <c r="Y20" s="10">
        <v>2.5999999999999999E-2</v>
      </c>
      <c r="Z20" s="10">
        <v>2.5000000000000001E-2</v>
      </c>
      <c r="AA20" s="10">
        <v>2.5000000000000001E-2</v>
      </c>
      <c r="AB20" s="10">
        <v>2.5000000000000001E-2</v>
      </c>
      <c r="AC20" s="10">
        <v>2.4E-2</v>
      </c>
      <c r="AD20" s="10">
        <v>2.3E-2</v>
      </c>
      <c r="AE20" s="10">
        <v>2.1999999999999999E-2</v>
      </c>
      <c r="AF20" s="10">
        <v>2.3E-2</v>
      </c>
      <c r="AG20" s="10">
        <v>2.3E-2</v>
      </c>
      <c r="AH20" s="13">
        <v>2.3E-2</v>
      </c>
      <c r="AI20" s="13">
        <v>2.3E-2</v>
      </c>
      <c r="AJ20" s="13">
        <v>2.3E-2</v>
      </c>
      <c r="AK20" s="13">
        <v>2.3E-2</v>
      </c>
    </row>
    <row r="21" spans="1:37" x14ac:dyDescent="0.25">
      <c r="A21" s="6">
        <v>13</v>
      </c>
      <c r="B21" s="1"/>
      <c r="C21" s="1"/>
      <c r="D21" s="1"/>
      <c r="E21" s="1"/>
      <c r="F21" s="10"/>
      <c r="G21" s="10"/>
      <c r="H21" s="10"/>
      <c r="I21" s="10"/>
      <c r="J21" s="10"/>
      <c r="K21" s="10"/>
      <c r="L21" s="10">
        <v>3.2000000000000001E-2</v>
      </c>
      <c r="M21" s="10">
        <v>0.03</v>
      </c>
      <c r="N21" s="10">
        <v>2.7E-2</v>
      </c>
      <c r="O21" s="10">
        <v>2.5999999999999999E-2</v>
      </c>
      <c r="P21" s="10">
        <v>0.03</v>
      </c>
      <c r="Q21" s="10">
        <v>0.03</v>
      </c>
      <c r="R21" s="10">
        <v>3.1E-2</v>
      </c>
      <c r="S21" s="10">
        <v>3.2000000000000001E-2</v>
      </c>
      <c r="T21" s="10">
        <v>3.1E-2</v>
      </c>
      <c r="U21" s="10">
        <v>0.03</v>
      </c>
      <c r="V21" s="10">
        <v>2.9000000000000001E-2</v>
      </c>
      <c r="W21" s="10">
        <v>2.8000000000000001E-2</v>
      </c>
      <c r="X21" s="10">
        <v>2.7E-2</v>
      </c>
      <c r="Y21" s="10">
        <v>2.5999999999999999E-2</v>
      </c>
      <c r="Z21" s="10">
        <v>2.5000000000000001E-2</v>
      </c>
      <c r="AA21" s="10">
        <v>2.5000000000000001E-2</v>
      </c>
      <c r="AB21" s="10">
        <v>2.5000000000000001E-2</v>
      </c>
      <c r="AC21" s="10">
        <v>2.4E-2</v>
      </c>
      <c r="AD21" s="10">
        <v>2.3E-2</v>
      </c>
      <c r="AE21" s="10">
        <v>2.1999999999999999E-2</v>
      </c>
      <c r="AF21" s="10">
        <v>2.3E-2</v>
      </c>
      <c r="AG21" s="10">
        <v>2.3E-2</v>
      </c>
      <c r="AH21" s="13">
        <v>2.3E-2</v>
      </c>
      <c r="AI21" s="13">
        <v>2.3E-2</v>
      </c>
      <c r="AJ21" s="13">
        <v>2.3E-2</v>
      </c>
      <c r="AK21" s="13">
        <v>2.3E-2</v>
      </c>
    </row>
    <row r="22" spans="1:37" x14ac:dyDescent="0.25">
      <c r="A22" s="7">
        <v>14</v>
      </c>
      <c r="B22" s="1"/>
      <c r="C22" s="1"/>
      <c r="D22" s="1"/>
      <c r="E22" s="1"/>
      <c r="F22" s="10"/>
      <c r="G22" s="10"/>
      <c r="H22" s="10"/>
      <c r="I22" s="10"/>
      <c r="J22" s="10"/>
      <c r="K22" s="10"/>
      <c r="L22" s="10"/>
      <c r="M22" s="10">
        <v>0.03</v>
      </c>
      <c r="N22" s="10">
        <v>2.7E-2</v>
      </c>
      <c r="O22" s="10">
        <v>2.5999999999999999E-2</v>
      </c>
      <c r="P22" s="10">
        <v>0.03</v>
      </c>
      <c r="Q22" s="10">
        <v>0.03</v>
      </c>
      <c r="R22" s="10">
        <v>3.1E-2</v>
      </c>
      <c r="S22" s="10">
        <v>3.2000000000000001E-2</v>
      </c>
      <c r="T22" s="10">
        <v>3.1E-2</v>
      </c>
      <c r="U22" s="10">
        <v>0.03</v>
      </c>
      <c r="V22" s="10">
        <v>2.9000000000000001E-2</v>
      </c>
      <c r="W22" s="10">
        <v>2.8000000000000001E-2</v>
      </c>
      <c r="X22" s="10">
        <v>2.7E-2</v>
      </c>
      <c r="Y22" s="10">
        <v>2.5999999999999999E-2</v>
      </c>
      <c r="Z22" s="10">
        <v>2.5000000000000001E-2</v>
      </c>
      <c r="AA22" s="10">
        <v>2.5000000000000001E-2</v>
      </c>
      <c r="AB22" s="10">
        <v>2.5000000000000001E-2</v>
      </c>
      <c r="AC22" s="10">
        <v>2.4E-2</v>
      </c>
      <c r="AD22" s="10">
        <v>2.3E-2</v>
      </c>
      <c r="AE22" s="10">
        <v>2.1999999999999999E-2</v>
      </c>
      <c r="AF22" s="10">
        <v>2.3E-2</v>
      </c>
      <c r="AG22" s="10">
        <v>2.3E-2</v>
      </c>
      <c r="AH22" s="13">
        <v>2.3E-2</v>
      </c>
      <c r="AI22" s="13">
        <v>2.3E-2</v>
      </c>
      <c r="AJ22" s="13">
        <v>2.3E-2</v>
      </c>
      <c r="AK22" s="13">
        <v>2.3E-2</v>
      </c>
    </row>
    <row r="23" spans="1:37" x14ac:dyDescent="0.25">
      <c r="A23" s="7">
        <v>15</v>
      </c>
      <c r="B23" s="1"/>
      <c r="C23" s="1"/>
      <c r="D23" s="1"/>
      <c r="E23" s="1"/>
      <c r="F23" s="10"/>
      <c r="G23" s="10"/>
      <c r="H23" s="10"/>
      <c r="I23" s="10"/>
      <c r="J23" s="10"/>
      <c r="K23" s="10"/>
      <c r="L23" s="10"/>
      <c r="M23" s="10"/>
      <c r="N23" s="10">
        <v>2.7E-2</v>
      </c>
      <c r="O23" s="10">
        <v>2.5999999999999999E-2</v>
      </c>
      <c r="P23" s="10">
        <v>0.03</v>
      </c>
      <c r="Q23" s="10">
        <v>0.03</v>
      </c>
      <c r="R23" s="10">
        <v>3.1E-2</v>
      </c>
      <c r="S23" s="10">
        <v>3.2000000000000001E-2</v>
      </c>
      <c r="T23" s="10">
        <v>3.1E-2</v>
      </c>
      <c r="U23" s="10">
        <v>0.03</v>
      </c>
      <c r="V23" s="10">
        <v>2.9000000000000001E-2</v>
      </c>
      <c r="W23" s="10">
        <v>2.8000000000000001E-2</v>
      </c>
      <c r="X23" s="10">
        <v>2.7E-2</v>
      </c>
      <c r="Y23" s="10">
        <v>2.5999999999999999E-2</v>
      </c>
      <c r="Z23" s="10">
        <v>2.5000000000000001E-2</v>
      </c>
      <c r="AA23" s="10">
        <v>2.5000000000000001E-2</v>
      </c>
      <c r="AB23" s="10">
        <v>2.5000000000000001E-2</v>
      </c>
      <c r="AC23" s="10">
        <v>2.4E-2</v>
      </c>
      <c r="AD23" s="10">
        <v>2.3E-2</v>
      </c>
      <c r="AE23" s="10">
        <v>2.1999999999999999E-2</v>
      </c>
      <c r="AF23" s="10">
        <v>2.3E-2</v>
      </c>
      <c r="AG23" s="10">
        <v>2.3E-2</v>
      </c>
      <c r="AH23" s="13">
        <v>2.3E-2</v>
      </c>
      <c r="AI23" s="13">
        <v>2.3E-2</v>
      </c>
      <c r="AJ23" s="13">
        <v>2.3E-2</v>
      </c>
      <c r="AK23" s="13">
        <v>2.3E-2</v>
      </c>
    </row>
    <row r="24" spans="1:37" x14ac:dyDescent="0.25">
      <c r="A24" s="8">
        <v>16</v>
      </c>
      <c r="B24" s="1"/>
      <c r="C24" s="1"/>
      <c r="D24" s="1"/>
      <c r="E24" s="1"/>
      <c r="F24" s="10"/>
      <c r="G24" s="10"/>
      <c r="H24" s="10"/>
      <c r="I24" s="10"/>
      <c r="J24" s="10"/>
      <c r="K24" s="10"/>
      <c r="L24" s="10"/>
      <c r="M24" s="10"/>
      <c r="N24" s="10"/>
      <c r="O24" s="10">
        <v>2.5999999999999999E-2</v>
      </c>
      <c r="P24" s="10">
        <v>0.03</v>
      </c>
      <c r="Q24" s="10">
        <v>0.03</v>
      </c>
      <c r="R24" s="10">
        <v>3.1E-2</v>
      </c>
      <c r="S24" s="10">
        <v>3.2000000000000001E-2</v>
      </c>
      <c r="T24" s="10">
        <v>3.1E-2</v>
      </c>
      <c r="U24" s="10">
        <v>0.03</v>
      </c>
      <c r="V24" s="10">
        <v>2.9000000000000001E-2</v>
      </c>
      <c r="W24" s="10">
        <v>2.8000000000000001E-2</v>
      </c>
      <c r="X24" s="10">
        <v>2.7E-2</v>
      </c>
      <c r="Y24" s="10">
        <v>2.5999999999999999E-2</v>
      </c>
      <c r="Z24" s="10">
        <v>2.5000000000000001E-2</v>
      </c>
      <c r="AA24" s="10">
        <v>2.5000000000000001E-2</v>
      </c>
      <c r="AB24" s="10">
        <v>2.5000000000000001E-2</v>
      </c>
      <c r="AC24" s="10">
        <v>2.4E-2</v>
      </c>
      <c r="AD24" s="10">
        <v>2.3E-2</v>
      </c>
      <c r="AE24" s="10">
        <v>2.1999999999999999E-2</v>
      </c>
      <c r="AF24" s="10">
        <v>2.3E-2</v>
      </c>
      <c r="AG24" s="10">
        <v>2.3E-2</v>
      </c>
      <c r="AH24" s="13">
        <v>2.3E-2</v>
      </c>
      <c r="AI24" s="13">
        <v>2.3E-2</v>
      </c>
      <c r="AJ24" s="13">
        <v>2.3E-2</v>
      </c>
      <c r="AK24" s="13">
        <v>2.3E-2</v>
      </c>
    </row>
    <row r="25" spans="1:37" x14ac:dyDescent="0.25">
      <c r="A25" s="6">
        <v>17</v>
      </c>
      <c r="B25" s="1"/>
      <c r="C25" s="1"/>
      <c r="D25" s="1"/>
      <c r="E25" s="1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>
        <v>2.4E-2</v>
      </c>
      <c r="Q25" s="10">
        <v>2.3E-2</v>
      </c>
      <c r="R25" s="10">
        <v>2.1999999999999999E-2</v>
      </c>
      <c r="S25" s="10">
        <v>2.1000000000000001E-2</v>
      </c>
      <c r="T25" s="10">
        <v>0.02</v>
      </c>
      <c r="U25" s="10">
        <v>1.9E-2</v>
      </c>
      <c r="V25" s="10">
        <v>1.7999999999999999E-2</v>
      </c>
      <c r="W25" s="10">
        <v>1.7000000000000001E-2</v>
      </c>
      <c r="X25" s="10">
        <v>1.6E-2</v>
      </c>
      <c r="Y25" s="10">
        <v>1.6E-2</v>
      </c>
      <c r="Z25" s="10">
        <v>1.4999999999999999E-2</v>
      </c>
      <c r="AA25" s="10">
        <v>1.4999999999999999E-2</v>
      </c>
      <c r="AB25" s="10">
        <v>1.4E-2</v>
      </c>
      <c r="AC25" s="10">
        <v>1.4E-2</v>
      </c>
      <c r="AD25" s="10">
        <v>1.2999999999999999E-2</v>
      </c>
      <c r="AE25" s="10">
        <v>1.2999999999999999E-2</v>
      </c>
      <c r="AF25" s="10">
        <v>1.6E-2</v>
      </c>
      <c r="AG25" s="10">
        <v>1.6E-2</v>
      </c>
      <c r="AH25" s="13">
        <v>1.7000000000000001E-2</v>
      </c>
      <c r="AI25" s="13">
        <v>1.7000000000000001E-2</v>
      </c>
      <c r="AJ25" s="13">
        <v>1.7000000000000001E-2</v>
      </c>
      <c r="AK25" s="13">
        <v>1.7000000000000001E-2</v>
      </c>
    </row>
    <row r="26" spans="1:37" x14ac:dyDescent="0.25">
      <c r="A26" s="7">
        <v>18</v>
      </c>
      <c r="B26" s="1"/>
      <c r="C26" s="1"/>
      <c r="D26" s="1"/>
      <c r="E26" s="1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>
        <v>2.3E-2</v>
      </c>
      <c r="R26" s="10">
        <v>2.1999999999999999E-2</v>
      </c>
      <c r="S26" s="10">
        <v>2.1000000000000001E-2</v>
      </c>
      <c r="T26" s="10">
        <v>0.02</v>
      </c>
      <c r="U26" s="10">
        <v>1.9E-2</v>
      </c>
      <c r="V26" s="10">
        <v>1.7999999999999999E-2</v>
      </c>
      <c r="W26" s="10">
        <v>1.7000000000000001E-2</v>
      </c>
      <c r="X26" s="10">
        <v>1.6E-2</v>
      </c>
      <c r="Y26" s="10">
        <v>1.6E-2</v>
      </c>
      <c r="Z26" s="10">
        <v>1.4999999999999999E-2</v>
      </c>
      <c r="AA26" s="10">
        <v>1.4999999999999999E-2</v>
      </c>
      <c r="AB26" s="10">
        <v>1.4E-2</v>
      </c>
      <c r="AC26" s="10">
        <v>1.4E-2</v>
      </c>
      <c r="AD26" s="10">
        <v>1.2999999999999999E-2</v>
      </c>
      <c r="AE26" s="10">
        <v>1.2999999999999999E-2</v>
      </c>
      <c r="AF26" s="10">
        <v>1.6E-2</v>
      </c>
      <c r="AG26" s="10">
        <v>1.6E-2</v>
      </c>
      <c r="AH26" s="13">
        <v>1.7000000000000001E-2</v>
      </c>
      <c r="AI26" s="13">
        <v>1.7000000000000001E-2</v>
      </c>
      <c r="AJ26" s="13">
        <v>1.7000000000000001E-2</v>
      </c>
      <c r="AK26" s="13">
        <v>1.7000000000000001E-2</v>
      </c>
    </row>
    <row r="27" spans="1:37" x14ac:dyDescent="0.25">
      <c r="A27" s="7">
        <v>19</v>
      </c>
      <c r="B27" s="1"/>
      <c r="C27" s="1"/>
      <c r="D27" s="1"/>
      <c r="E27" s="1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>
        <v>2.1999999999999999E-2</v>
      </c>
      <c r="S27" s="10">
        <v>2.1000000000000001E-2</v>
      </c>
      <c r="T27" s="10">
        <v>0.02</v>
      </c>
      <c r="U27" s="10">
        <v>1.9E-2</v>
      </c>
      <c r="V27" s="10">
        <v>1.7999999999999999E-2</v>
      </c>
      <c r="W27" s="10">
        <v>1.7000000000000001E-2</v>
      </c>
      <c r="X27" s="10">
        <v>1.6E-2</v>
      </c>
      <c r="Y27" s="10">
        <v>1.6E-2</v>
      </c>
      <c r="Z27" s="10">
        <v>1.4999999999999999E-2</v>
      </c>
      <c r="AA27" s="10">
        <v>1.4999999999999999E-2</v>
      </c>
      <c r="AB27" s="10">
        <v>1.4E-2</v>
      </c>
      <c r="AC27" s="10">
        <v>1.4E-2</v>
      </c>
      <c r="AD27" s="10">
        <v>1.2999999999999999E-2</v>
      </c>
      <c r="AE27" s="10">
        <v>1.2999999999999999E-2</v>
      </c>
      <c r="AF27" s="10">
        <v>1.6E-2</v>
      </c>
      <c r="AG27" s="10">
        <v>1.6E-2</v>
      </c>
      <c r="AH27" s="13">
        <v>1.7000000000000001E-2</v>
      </c>
      <c r="AI27" s="13">
        <v>1.7000000000000001E-2</v>
      </c>
      <c r="AJ27" s="13">
        <v>1.7000000000000001E-2</v>
      </c>
      <c r="AK27" s="13">
        <v>1.7000000000000001E-2</v>
      </c>
    </row>
    <row r="28" spans="1:37" x14ac:dyDescent="0.25">
      <c r="A28" s="8">
        <v>20</v>
      </c>
      <c r="B28" s="1"/>
      <c r="C28" s="1"/>
      <c r="D28" s="1"/>
      <c r="E28" s="1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>
        <v>2.1000000000000001E-2</v>
      </c>
      <c r="T28" s="10">
        <v>0.02</v>
      </c>
      <c r="U28" s="10">
        <v>1.9E-2</v>
      </c>
      <c r="V28" s="10">
        <v>1.7999999999999999E-2</v>
      </c>
      <c r="W28" s="10">
        <v>1.7000000000000001E-2</v>
      </c>
      <c r="X28" s="10">
        <v>1.6E-2</v>
      </c>
      <c r="Y28" s="10">
        <v>1.6E-2</v>
      </c>
      <c r="Z28" s="10">
        <v>1.4999999999999999E-2</v>
      </c>
      <c r="AA28" s="10">
        <v>1.4999999999999999E-2</v>
      </c>
      <c r="AB28" s="10">
        <v>1.4E-2</v>
      </c>
      <c r="AC28" s="10">
        <v>1.4E-2</v>
      </c>
      <c r="AD28" s="10">
        <v>1.2999999999999999E-2</v>
      </c>
      <c r="AE28" s="10">
        <v>1.2999999999999999E-2</v>
      </c>
      <c r="AF28" s="10">
        <v>1.6E-2</v>
      </c>
      <c r="AG28" s="10">
        <v>1.6E-2</v>
      </c>
      <c r="AH28" s="13">
        <v>1.7000000000000001E-2</v>
      </c>
      <c r="AI28" s="13">
        <v>1.7000000000000001E-2</v>
      </c>
      <c r="AJ28" s="13">
        <v>1.7000000000000001E-2</v>
      </c>
      <c r="AK28" s="13">
        <v>1.7000000000000001E-2</v>
      </c>
    </row>
    <row r="29" spans="1:37" x14ac:dyDescent="0.25">
      <c r="A29" s="6">
        <v>21</v>
      </c>
      <c r="B29" s="1"/>
      <c r="C29" s="1"/>
      <c r="D29" s="1"/>
      <c r="E29" s="1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>
        <v>0.02</v>
      </c>
      <c r="U29" s="10">
        <v>1.9E-2</v>
      </c>
      <c r="V29" s="10">
        <v>1.7999999999999999E-2</v>
      </c>
      <c r="W29" s="10">
        <v>1.7000000000000001E-2</v>
      </c>
      <c r="X29" s="10">
        <v>1.6E-2</v>
      </c>
      <c r="Y29" s="10">
        <v>1.6E-2</v>
      </c>
      <c r="Z29" s="10">
        <v>1.4999999999999999E-2</v>
      </c>
      <c r="AA29" s="10">
        <v>1.4999999999999999E-2</v>
      </c>
      <c r="AB29" s="10">
        <v>1.4E-2</v>
      </c>
      <c r="AC29" s="10">
        <v>1.4E-2</v>
      </c>
      <c r="AD29" s="10">
        <v>1.2999999999999999E-2</v>
      </c>
      <c r="AE29" s="10">
        <v>1.2999999999999999E-2</v>
      </c>
      <c r="AF29" s="10">
        <v>1.6E-2</v>
      </c>
      <c r="AG29" s="10">
        <v>1.6E-2</v>
      </c>
      <c r="AH29" s="13">
        <v>1.7000000000000001E-2</v>
      </c>
      <c r="AI29" s="13">
        <v>1.7000000000000001E-2</v>
      </c>
      <c r="AJ29" s="13">
        <v>1.7000000000000001E-2</v>
      </c>
      <c r="AK29" s="13">
        <v>1.7000000000000001E-2</v>
      </c>
    </row>
    <row r="30" spans="1:37" x14ac:dyDescent="0.25">
      <c r="A30" s="7">
        <v>22</v>
      </c>
      <c r="B30" s="1"/>
      <c r="C30" s="1"/>
      <c r="D30" s="1"/>
      <c r="E30" s="1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>
        <v>1.9E-2</v>
      </c>
      <c r="V30" s="10">
        <v>1.7999999999999999E-2</v>
      </c>
      <c r="W30" s="10">
        <v>1.7000000000000001E-2</v>
      </c>
      <c r="X30" s="10">
        <v>1.6E-2</v>
      </c>
      <c r="Y30" s="10">
        <v>1.6E-2</v>
      </c>
      <c r="Z30" s="10">
        <v>1.4999999999999999E-2</v>
      </c>
      <c r="AA30" s="10">
        <v>1.4999999999999999E-2</v>
      </c>
      <c r="AB30" s="10">
        <v>1.4E-2</v>
      </c>
      <c r="AC30" s="10">
        <v>1.4E-2</v>
      </c>
      <c r="AD30" s="10">
        <v>1.2999999999999999E-2</v>
      </c>
      <c r="AE30" s="10">
        <v>1.2999999999999999E-2</v>
      </c>
      <c r="AF30" s="10">
        <v>1.6E-2</v>
      </c>
      <c r="AG30" s="10">
        <v>1.6E-2</v>
      </c>
      <c r="AH30" s="13">
        <v>1.7000000000000001E-2</v>
      </c>
      <c r="AI30" s="13">
        <v>1.7000000000000001E-2</v>
      </c>
      <c r="AJ30" s="13">
        <v>1.7000000000000001E-2</v>
      </c>
      <c r="AK30" s="13">
        <v>1.7000000000000001E-2</v>
      </c>
    </row>
    <row r="31" spans="1:37" x14ac:dyDescent="0.25">
      <c r="A31" s="7">
        <v>23</v>
      </c>
      <c r="B31" s="1"/>
      <c r="C31" s="1"/>
      <c r="D31" s="1"/>
      <c r="E31" s="1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>
        <v>1.7999999999999999E-2</v>
      </c>
      <c r="W31" s="10">
        <v>1.7000000000000001E-2</v>
      </c>
      <c r="X31" s="10">
        <v>1.6E-2</v>
      </c>
      <c r="Y31" s="10">
        <v>1.6E-2</v>
      </c>
      <c r="Z31" s="10">
        <v>1.4999999999999999E-2</v>
      </c>
      <c r="AA31" s="10">
        <v>1.4999999999999999E-2</v>
      </c>
      <c r="AB31" s="10">
        <v>1.4E-2</v>
      </c>
      <c r="AC31" s="10">
        <v>1.4E-2</v>
      </c>
      <c r="AD31" s="10">
        <v>1.2999999999999999E-2</v>
      </c>
      <c r="AE31" s="10">
        <v>1.2999999999999999E-2</v>
      </c>
      <c r="AF31" s="10">
        <v>1.6E-2</v>
      </c>
      <c r="AG31" s="10">
        <v>1.6E-2</v>
      </c>
      <c r="AH31" s="13">
        <v>1.7000000000000001E-2</v>
      </c>
      <c r="AI31" s="13">
        <v>1.7000000000000001E-2</v>
      </c>
      <c r="AJ31" s="13">
        <v>1.7000000000000001E-2</v>
      </c>
      <c r="AK31" s="13">
        <v>1.7000000000000001E-2</v>
      </c>
    </row>
    <row r="32" spans="1:37" x14ac:dyDescent="0.25">
      <c r="A32" s="8">
        <v>24</v>
      </c>
      <c r="B32" s="1"/>
      <c r="C32" s="1"/>
      <c r="D32" s="1"/>
      <c r="E32" s="1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>
        <v>1.7000000000000001E-2</v>
      </c>
      <c r="X32" s="10">
        <v>1.6E-2</v>
      </c>
      <c r="Y32" s="10">
        <v>1.6E-2</v>
      </c>
      <c r="Z32" s="10">
        <v>1.4999999999999999E-2</v>
      </c>
      <c r="AA32" s="10">
        <v>1.4999999999999999E-2</v>
      </c>
      <c r="AB32" s="10">
        <v>1.4E-2</v>
      </c>
      <c r="AC32" s="10">
        <v>1.4E-2</v>
      </c>
      <c r="AD32" s="10">
        <v>1.2999999999999999E-2</v>
      </c>
      <c r="AE32" s="10">
        <v>1.2999999999999999E-2</v>
      </c>
      <c r="AF32" s="10">
        <v>1.6E-2</v>
      </c>
      <c r="AG32" s="10">
        <v>1.6E-2</v>
      </c>
      <c r="AH32" s="13">
        <v>1.7000000000000001E-2</v>
      </c>
      <c r="AI32" s="13">
        <v>1.7000000000000001E-2</v>
      </c>
      <c r="AJ32" s="13">
        <v>1.7000000000000001E-2</v>
      </c>
      <c r="AK32" s="13">
        <v>1.7000000000000001E-2</v>
      </c>
    </row>
    <row r="33" spans="1:37" x14ac:dyDescent="0.25">
      <c r="A33" s="6">
        <v>25</v>
      </c>
      <c r="B33" s="1"/>
      <c r="C33" s="1"/>
      <c r="D33" s="1"/>
      <c r="E33" s="1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>
        <v>1.6E-2</v>
      </c>
      <c r="Y33" s="10">
        <v>1.6E-2</v>
      </c>
      <c r="Z33" s="10">
        <v>1.4999999999999999E-2</v>
      </c>
      <c r="AA33" s="10">
        <v>1.4999999999999999E-2</v>
      </c>
      <c r="AB33" s="10">
        <v>1.4E-2</v>
      </c>
      <c r="AC33" s="10">
        <v>1.4E-2</v>
      </c>
      <c r="AD33" s="10">
        <v>1.2999999999999999E-2</v>
      </c>
      <c r="AE33" s="10">
        <v>1.2999999999999999E-2</v>
      </c>
      <c r="AF33" s="10">
        <v>1.6E-2</v>
      </c>
      <c r="AG33" s="10">
        <v>1.6E-2</v>
      </c>
      <c r="AH33" s="13">
        <v>1.7000000000000001E-2</v>
      </c>
      <c r="AI33" s="13">
        <v>1.7000000000000001E-2</v>
      </c>
      <c r="AJ33" s="13">
        <v>1.7000000000000001E-2</v>
      </c>
      <c r="AK33" s="13">
        <v>1.7000000000000001E-2</v>
      </c>
    </row>
    <row r="34" spans="1:37" x14ac:dyDescent="0.25">
      <c r="A34" s="7">
        <v>26</v>
      </c>
      <c r="B34" s="1"/>
      <c r="C34" s="1"/>
      <c r="D34" s="1"/>
      <c r="E34" s="1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>
        <v>1.6E-2</v>
      </c>
      <c r="Z34" s="10">
        <v>1.4999999999999999E-2</v>
      </c>
      <c r="AA34" s="10">
        <v>1.4999999999999999E-2</v>
      </c>
      <c r="AB34" s="10">
        <v>1.4E-2</v>
      </c>
      <c r="AC34" s="10">
        <v>1.4E-2</v>
      </c>
      <c r="AD34" s="10">
        <v>1.2999999999999999E-2</v>
      </c>
      <c r="AE34" s="10">
        <v>1.2999999999999999E-2</v>
      </c>
      <c r="AF34" s="10">
        <v>1.6E-2</v>
      </c>
      <c r="AG34" s="10">
        <v>1.6E-2</v>
      </c>
      <c r="AH34" s="13">
        <v>1.7000000000000001E-2</v>
      </c>
      <c r="AI34" s="13">
        <v>1.7000000000000001E-2</v>
      </c>
      <c r="AJ34" s="13">
        <v>1.7000000000000001E-2</v>
      </c>
      <c r="AK34" s="13">
        <v>1.7000000000000001E-2</v>
      </c>
    </row>
    <row r="35" spans="1:37" x14ac:dyDescent="0.25">
      <c r="A35" s="7">
        <v>27</v>
      </c>
      <c r="B35" s="1"/>
      <c r="C35" s="1"/>
      <c r="D35" s="1"/>
      <c r="E35" s="1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>
        <v>1.4999999999999999E-2</v>
      </c>
      <c r="AA35" s="10">
        <v>1.4999999999999999E-2</v>
      </c>
      <c r="AB35" s="10">
        <v>1.4E-2</v>
      </c>
      <c r="AC35" s="10">
        <v>1.4E-2</v>
      </c>
      <c r="AD35" s="10">
        <v>1.2999999999999999E-2</v>
      </c>
      <c r="AE35" s="10">
        <v>1.2999999999999999E-2</v>
      </c>
      <c r="AF35" s="10">
        <v>1.6E-2</v>
      </c>
      <c r="AG35" s="10">
        <v>1.6E-2</v>
      </c>
      <c r="AH35" s="13">
        <v>1.7000000000000001E-2</v>
      </c>
      <c r="AI35" s="13">
        <v>1.7000000000000001E-2</v>
      </c>
      <c r="AJ35" s="13">
        <v>1.7000000000000001E-2</v>
      </c>
      <c r="AK35" s="13">
        <v>1.7000000000000001E-2</v>
      </c>
    </row>
    <row r="36" spans="1:37" x14ac:dyDescent="0.25">
      <c r="A36" s="8">
        <v>28</v>
      </c>
      <c r="B36" s="1"/>
      <c r="C36" s="1"/>
      <c r="D36" s="1"/>
      <c r="E36" s="1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>
        <v>1.4999999999999999E-2</v>
      </c>
      <c r="AB36" s="10">
        <v>1.4E-2</v>
      </c>
      <c r="AC36" s="10">
        <v>1.4E-2</v>
      </c>
      <c r="AD36" s="10">
        <v>1.2999999999999999E-2</v>
      </c>
      <c r="AE36" s="10">
        <v>1.2999999999999999E-2</v>
      </c>
      <c r="AF36" s="10">
        <v>1.6E-2</v>
      </c>
      <c r="AG36" s="10">
        <v>1.6E-2</v>
      </c>
      <c r="AH36" s="13">
        <v>1.7000000000000001E-2</v>
      </c>
      <c r="AI36" s="13">
        <v>1.7000000000000001E-2</v>
      </c>
      <c r="AJ36" s="13">
        <v>1.7000000000000001E-2</v>
      </c>
      <c r="AK36" s="13">
        <v>1.7000000000000001E-2</v>
      </c>
    </row>
    <row r="37" spans="1:37" x14ac:dyDescent="0.25">
      <c r="A37" s="6">
        <v>29</v>
      </c>
      <c r="B37" s="1"/>
      <c r="C37" s="1"/>
      <c r="D37" s="1"/>
      <c r="E37" s="1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>
        <v>1.4E-2</v>
      </c>
      <c r="AC37" s="10">
        <v>1.4E-2</v>
      </c>
      <c r="AD37" s="10">
        <v>1.2999999999999999E-2</v>
      </c>
      <c r="AE37" s="10">
        <v>1.2999999999999999E-2</v>
      </c>
      <c r="AF37" s="10">
        <v>1.6E-2</v>
      </c>
      <c r="AG37" s="10">
        <v>1.6E-2</v>
      </c>
      <c r="AH37" s="13">
        <v>1.7000000000000001E-2</v>
      </c>
      <c r="AI37" s="13">
        <v>1.7000000000000001E-2</v>
      </c>
      <c r="AJ37" s="13">
        <v>1.7000000000000001E-2</v>
      </c>
      <c r="AK37" s="13">
        <v>1.7000000000000001E-2</v>
      </c>
    </row>
    <row r="38" spans="1:37" x14ac:dyDescent="0.25">
      <c r="A38" s="7">
        <v>30</v>
      </c>
      <c r="B38" s="1"/>
      <c r="C38" s="1"/>
      <c r="D38" s="1"/>
      <c r="E38" s="1"/>
      <c r="AC38" s="10">
        <v>1.4E-2</v>
      </c>
      <c r="AD38" s="10">
        <v>1.2999999999999999E-2</v>
      </c>
      <c r="AE38" s="10">
        <v>1.2999999999999999E-2</v>
      </c>
      <c r="AF38" s="10">
        <v>1.6E-2</v>
      </c>
      <c r="AG38" s="10">
        <v>1.6E-2</v>
      </c>
      <c r="AH38" s="13">
        <v>1.7000000000000001E-2</v>
      </c>
      <c r="AI38" s="13">
        <v>1.7000000000000001E-2</v>
      </c>
      <c r="AJ38" s="13">
        <v>1.7000000000000001E-2</v>
      </c>
      <c r="AK38" s="13">
        <v>1.7000000000000001E-2</v>
      </c>
    </row>
    <row r="39" spans="1:37" x14ac:dyDescent="0.25">
      <c r="A39" s="7">
        <v>31</v>
      </c>
      <c r="B39" s="1"/>
      <c r="C39" s="1"/>
      <c r="D39" s="1"/>
      <c r="E39" s="1"/>
      <c r="AD39" s="10">
        <v>1.2999999999999999E-2</v>
      </c>
      <c r="AE39" s="10">
        <v>1.2999999999999999E-2</v>
      </c>
      <c r="AF39" s="10">
        <v>1.6E-2</v>
      </c>
      <c r="AG39" s="10">
        <v>1.6E-2</v>
      </c>
      <c r="AH39" s="13">
        <v>1.7000000000000001E-2</v>
      </c>
      <c r="AI39" s="13">
        <v>1.7000000000000001E-2</v>
      </c>
      <c r="AJ39" s="13">
        <v>1.7000000000000001E-2</v>
      </c>
      <c r="AK39" s="13">
        <v>1.7000000000000001E-2</v>
      </c>
    </row>
    <row r="40" spans="1:37" x14ac:dyDescent="0.25">
      <c r="A40" s="8">
        <v>32</v>
      </c>
      <c r="B40" s="1"/>
      <c r="C40" s="1"/>
      <c r="D40" s="1"/>
      <c r="E40" s="1"/>
      <c r="AE40" s="10">
        <v>1.2999999999999999E-2</v>
      </c>
      <c r="AF40" s="10">
        <v>1.6E-2</v>
      </c>
      <c r="AG40" s="10">
        <v>1.6E-2</v>
      </c>
      <c r="AH40" s="13">
        <v>1.7000000000000001E-2</v>
      </c>
      <c r="AI40" s="13">
        <v>1.7000000000000001E-2</v>
      </c>
      <c r="AJ40" s="13">
        <v>1.7000000000000001E-2</v>
      </c>
      <c r="AK40" s="13">
        <v>1.7000000000000001E-2</v>
      </c>
    </row>
    <row r="41" spans="1:37" x14ac:dyDescent="0.25">
      <c r="A41" s="6">
        <v>33</v>
      </c>
      <c r="B41" s="1"/>
      <c r="C41" s="1"/>
      <c r="D41" s="1"/>
      <c r="E41" s="1"/>
      <c r="AE41" s="10"/>
      <c r="AF41" s="10">
        <v>1.2500000000000001E-2</v>
      </c>
      <c r="AG41" s="10">
        <v>1.2E-2</v>
      </c>
      <c r="AH41" s="13">
        <v>1.15E-2</v>
      </c>
      <c r="AI41" s="13">
        <v>1.15E-2</v>
      </c>
      <c r="AJ41" s="13">
        <v>1.0999999999999999E-2</v>
      </c>
      <c r="AK41" s="13">
        <v>1.0999999999999999E-2</v>
      </c>
    </row>
    <row r="42" spans="1:37" x14ac:dyDescent="0.25">
      <c r="A42" s="7">
        <v>34</v>
      </c>
      <c r="B42" s="1"/>
      <c r="C42" s="1"/>
      <c r="D42" s="1"/>
      <c r="E42" s="1"/>
      <c r="AE42" s="10"/>
      <c r="AF42" s="10"/>
      <c r="AG42" s="10">
        <v>1.2E-2</v>
      </c>
      <c r="AH42" s="13">
        <v>1.15E-2</v>
      </c>
      <c r="AI42" s="13">
        <v>1.15E-2</v>
      </c>
      <c r="AJ42" s="13">
        <v>1.0999999999999999E-2</v>
      </c>
      <c r="AK42" s="13">
        <v>1.0999999999999999E-2</v>
      </c>
    </row>
    <row r="43" spans="1:37" x14ac:dyDescent="0.25">
      <c r="A43" s="7">
        <v>35</v>
      </c>
      <c r="B43" s="1"/>
      <c r="C43" s="1"/>
      <c r="D43" s="1"/>
      <c r="E43" s="1"/>
      <c r="AE43" s="10"/>
      <c r="AF43" s="10"/>
      <c r="AG43" s="10"/>
      <c r="AH43" s="13">
        <v>1.15E-2</v>
      </c>
      <c r="AI43" s="13">
        <v>1.15E-2</v>
      </c>
      <c r="AJ43" s="13">
        <v>1.0999999999999999E-2</v>
      </c>
      <c r="AK43" s="13">
        <v>1.0999999999999999E-2</v>
      </c>
    </row>
    <row r="44" spans="1:37" x14ac:dyDescent="0.25">
      <c r="A44" s="8">
        <v>36</v>
      </c>
      <c r="B44" s="1"/>
      <c r="C44" s="1"/>
      <c r="D44" s="1"/>
      <c r="E44" s="10"/>
      <c r="AE44" s="10"/>
      <c r="AF44" s="10"/>
      <c r="AG44" s="10"/>
      <c r="AH44" s="13"/>
      <c r="AI44" s="13">
        <v>1.15E-2</v>
      </c>
      <c r="AJ44" s="13">
        <v>1.0999999999999999E-2</v>
      </c>
      <c r="AK44" s="13">
        <v>1.0999999999999999E-2</v>
      </c>
    </row>
    <row r="45" spans="1:37" x14ac:dyDescent="0.25">
      <c r="A45" s="6">
        <v>37</v>
      </c>
      <c r="B45" s="1"/>
      <c r="C45" s="1"/>
      <c r="D45" s="1"/>
      <c r="E45" s="1"/>
      <c r="AE45" s="10"/>
      <c r="AF45" s="10"/>
      <c r="AG45" s="10"/>
      <c r="AH45" s="13"/>
      <c r="AI45" s="13"/>
      <c r="AJ45" s="13">
        <v>1.0999999999999999E-2</v>
      </c>
      <c r="AK45" s="13">
        <v>1.0999999999999999E-2</v>
      </c>
    </row>
    <row r="46" spans="1:37" x14ac:dyDescent="0.25">
      <c r="A46" s="8">
        <v>38</v>
      </c>
      <c r="B46" s="1"/>
      <c r="C46" s="1"/>
      <c r="D46" s="1"/>
      <c r="E46" s="1"/>
      <c r="AE46" s="10"/>
      <c r="AF46" s="10"/>
      <c r="AG46" s="10"/>
      <c r="AH46" s="13"/>
      <c r="AI46" s="13"/>
      <c r="AJ46" s="13"/>
      <c r="AK46" s="13">
        <v>1.0999999999999999E-2</v>
      </c>
    </row>
    <row r="47" spans="1:37" x14ac:dyDescent="0.25">
      <c r="A47" s="11" t="s">
        <v>72</v>
      </c>
      <c r="B47" s="12">
        <f t="shared" ref="B47:AJ47" si="0">SUM(B9:B46)</f>
        <v>1</v>
      </c>
      <c r="C47" s="12">
        <f t="shared" si="0"/>
        <v>1</v>
      </c>
      <c r="D47" s="12">
        <f t="shared" si="0"/>
        <v>1</v>
      </c>
      <c r="E47" s="12">
        <f t="shared" si="0"/>
        <v>1.0000000000000002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1.0000000000000004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1.0000000000000004</v>
      </c>
      <c r="AK47" s="12">
        <f>SUM(AK9:AK46)</f>
        <v>1.0000000000000004</v>
      </c>
    </row>
    <row r="48" spans="1:37" x14ac:dyDescent="0.25">
      <c r="A48" s="2"/>
      <c r="B48" s="16">
        <f>(+B11+B12)/2</f>
        <v>0.1</v>
      </c>
      <c r="C48" s="16">
        <f>(+C11+C12)/2</f>
        <v>0.155</v>
      </c>
      <c r="D48" s="16">
        <f>(+D11+D12)/2</f>
        <v>0.14399999999999999</v>
      </c>
      <c r="E48" s="16">
        <f>(+E11+E12)/2</f>
        <v>0.1285</v>
      </c>
      <c r="F48" s="16">
        <f>(+F11+F12)/2</f>
        <v>0.11749999999999999</v>
      </c>
      <c r="G48" s="16">
        <f t="shared" ref="G48:AK48" si="1">(+G11+G12)/2</f>
        <v>0.114</v>
      </c>
      <c r="H48" s="16">
        <f t="shared" si="1"/>
        <v>0.112</v>
      </c>
      <c r="I48" s="16">
        <f t="shared" si="1"/>
        <v>0.108</v>
      </c>
      <c r="J48" s="16">
        <f t="shared" si="1"/>
        <v>0.10550000000000001</v>
      </c>
      <c r="K48" s="16">
        <f t="shared" si="1"/>
        <v>0.10450000000000001</v>
      </c>
      <c r="L48" s="16">
        <f t="shared" si="1"/>
        <v>0.1</v>
      </c>
      <c r="M48" s="16">
        <f t="shared" si="1"/>
        <v>9.6500000000000002E-2</v>
      </c>
      <c r="N48" s="16">
        <f t="shared" si="1"/>
        <v>9.8000000000000004E-2</v>
      </c>
      <c r="O48" s="16">
        <f t="shared" si="1"/>
        <v>9.6500000000000002E-2</v>
      </c>
      <c r="P48" s="16">
        <f t="shared" si="1"/>
        <v>8.8499999999999995E-2</v>
      </c>
      <c r="Q48" s="16">
        <f t="shared" si="1"/>
        <v>8.5499999999999993E-2</v>
      </c>
      <c r="R48" s="16">
        <f t="shared" si="1"/>
        <v>8.1000000000000003E-2</v>
      </c>
      <c r="S48" s="16">
        <f t="shared" si="1"/>
        <v>7.7499999999999999E-2</v>
      </c>
      <c r="T48" s="16">
        <f t="shared" si="1"/>
        <v>7.8E-2</v>
      </c>
      <c r="U48" s="16">
        <f t="shared" si="1"/>
        <v>7.6999999999999999E-2</v>
      </c>
      <c r="V48" s="16">
        <f t="shared" si="1"/>
        <v>7.6499999999999999E-2</v>
      </c>
      <c r="W48" s="16">
        <f t="shared" si="1"/>
        <v>7.6999999999999999E-2</v>
      </c>
      <c r="X48" s="16">
        <f t="shared" si="1"/>
        <v>7.7499999999999999E-2</v>
      </c>
      <c r="Y48" s="16">
        <f t="shared" si="1"/>
        <v>7.6999999999999999E-2</v>
      </c>
      <c r="Z48" s="16">
        <f t="shared" si="1"/>
        <v>7.85E-2</v>
      </c>
      <c r="AA48" s="16">
        <f t="shared" si="1"/>
        <v>7.6499999999999999E-2</v>
      </c>
      <c r="AB48" s="16">
        <f t="shared" si="1"/>
        <v>7.6499999999999999E-2</v>
      </c>
      <c r="AC48" s="16">
        <f t="shared" si="1"/>
        <v>7.5999999999999998E-2</v>
      </c>
      <c r="AD48" s="16">
        <f t="shared" si="1"/>
        <v>7.8E-2</v>
      </c>
      <c r="AE48" s="16">
        <f t="shared" si="1"/>
        <v>7.6499999999999999E-2</v>
      </c>
      <c r="AF48" s="16">
        <f t="shared" si="1"/>
        <v>6.7250000000000004E-2</v>
      </c>
      <c r="AG48" s="16">
        <f t="shared" si="1"/>
        <v>6.6000000000000003E-2</v>
      </c>
      <c r="AH48" s="16">
        <f t="shared" si="1"/>
        <v>6.25E-2</v>
      </c>
      <c r="AI48" s="16">
        <f t="shared" si="1"/>
        <v>6.0499999999999998E-2</v>
      </c>
      <c r="AJ48" s="16">
        <f t="shared" si="1"/>
        <v>0.06</v>
      </c>
      <c r="AK48" s="16">
        <f t="shared" si="1"/>
        <v>5.8500000000000003E-2</v>
      </c>
    </row>
    <row r="49" spans="1:37" x14ac:dyDescent="0.25">
      <c r="A49" s="2"/>
      <c r="B49" s="17">
        <v>0.11749999999999999</v>
      </c>
      <c r="C49" s="17">
        <v>0.11749999999999999</v>
      </c>
      <c r="D49" s="17">
        <v>0.11749999999999999</v>
      </c>
      <c r="E49" s="17">
        <v>0.11749999999999999</v>
      </c>
      <c r="F49" s="17">
        <v>0.11749999999999999</v>
      </c>
      <c r="G49" s="17">
        <v>0.114</v>
      </c>
      <c r="H49" s="17">
        <v>0.112</v>
      </c>
      <c r="I49" s="13">
        <v>0.108</v>
      </c>
      <c r="J49" s="17">
        <v>0.10550000000000001</v>
      </c>
      <c r="K49" s="17">
        <v>0.10450000000000001</v>
      </c>
      <c r="L49" s="17">
        <v>0.1</v>
      </c>
      <c r="M49" s="17">
        <v>9.6500000000000002E-2</v>
      </c>
      <c r="N49" s="17">
        <v>9.8000000000000004E-2</v>
      </c>
      <c r="O49" s="17">
        <v>9.6500000000000002E-2</v>
      </c>
      <c r="P49" s="17">
        <v>8.8499999999999995E-2</v>
      </c>
      <c r="Q49" s="17">
        <v>8.5499999999999993E-2</v>
      </c>
      <c r="R49" s="17">
        <v>8.1000000000000003E-2</v>
      </c>
      <c r="S49" s="17">
        <v>7.7499999999999999E-2</v>
      </c>
      <c r="T49" s="17">
        <v>7.8E-2</v>
      </c>
      <c r="U49" s="17">
        <v>7.6999999999999999E-2</v>
      </c>
      <c r="V49" s="17">
        <v>7.6499999999999999E-2</v>
      </c>
      <c r="W49" s="17">
        <v>7.6999999999999999E-2</v>
      </c>
      <c r="X49" s="17">
        <v>7.7499999999999999E-2</v>
      </c>
      <c r="Y49" s="17">
        <v>7.6999999999999999E-2</v>
      </c>
      <c r="Z49" s="17">
        <v>7.85E-2</v>
      </c>
      <c r="AA49" s="17">
        <v>7.6499999999999999E-2</v>
      </c>
      <c r="AB49" s="17">
        <v>7.6499999999999999E-2</v>
      </c>
      <c r="AC49" s="17">
        <v>7.5999999999999998E-2</v>
      </c>
      <c r="AD49" s="17">
        <v>7.8E-2</v>
      </c>
      <c r="AE49" s="17">
        <v>7.6499999999999999E-2</v>
      </c>
      <c r="AF49" s="17">
        <v>6.7250000000000004E-2</v>
      </c>
      <c r="AG49" s="17">
        <v>6.6000000000000003E-2</v>
      </c>
      <c r="AH49" s="17">
        <v>6.25E-2</v>
      </c>
      <c r="AI49" s="17">
        <v>6.0499999999999998E-2</v>
      </c>
      <c r="AJ49" s="17">
        <v>0.06</v>
      </c>
      <c r="AK49" s="17">
        <v>5.8500000000000003E-2</v>
      </c>
    </row>
    <row r="50" spans="1:37" x14ac:dyDescent="0.25">
      <c r="A50" s="2"/>
      <c r="B50" s="2"/>
      <c r="C50" s="2"/>
      <c r="D50" s="2"/>
      <c r="E50" s="2"/>
    </row>
    <row r="51" spans="1:37" x14ac:dyDescent="0.25">
      <c r="A51" s="2"/>
      <c r="B51" s="16">
        <f>1-B47</f>
        <v>0</v>
      </c>
      <c r="C51" s="16">
        <f>1-C47</f>
        <v>0</v>
      </c>
      <c r="D51" s="16">
        <f>1-D47</f>
        <v>0</v>
      </c>
      <c r="E51" s="16">
        <f>1-E47</f>
        <v>0</v>
      </c>
      <c r="F51" s="16">
        <f>1-F47</f>
        <v>0</v>
      </c>
    </row>
    <row r="52" spans="1:37" x14ac:dyDescent="0.25">
      <c r="A52" s="2"/>
      <c r="B52" s="2"/>
      <c r="C52" s="2"/>
      <c r="D52" s="2"/>
      <c r="E52" s="2"/>
    </row>
    <row r="53" spans="1:37" x14ac:dyDescent="0.25">
      <c r="A53" s="2"/>
      <c r="B53" s="2"/>
      <c r="C53" s="2"/>
      <c r="D53" s="2"/>
      <c r="E53" s="2"/>
    </row>
    <row r="54" spans="1:37" x14ac:dyDescent="0.25">
      <c r="A54" s="2"/>
      <c r="B54" s="2"/>
      <c r="C54" s="2"/>
      <c r="D54" s="2"/>
      <c r="E54" s="2"/>
    </row>
    <row r="55" spans="1:37" x14ac:dyDescent="0.25">
      <c r="A55" s="2"/>
      <c r="B55" s="2"/>
      <c r="C55" s="2"/>
      <c r="D55" s="2"/>
      <c r="E55" s="2"/>
    </row>
    <row r="56" spans="1:37" x14ac:dyDescent="0.25">
      <c r="A56" s="2"/>
      <c r="B56" s="2"/>
      <c r="C56" s="2"/>
      <c r="D56" s="2"/>
      <c r="E56" s="2"/>
    </row>
    <row r="57" spans="1:37" x14ac:dyDescent="0.25">
      <c r="A57" s="2"/>
      <c r="B57" s="2"/>
      <c r="C57" s="2"/>
      <c r="D57" s="2"/>
      <c r="E57" s="2"/>
    </row>
    <row r="58" spans="1:37" x14ac:dyDescent="0.25">
      <c r="A58" s="2"/>
      <c r="B58" s="2"/>
      <c r="C58" s="2"/>
      <c r="D58" s="2"/>
      <c r="E58" s="2"/>
    </row>
    <row r="59" spans="1:37" x14ac:dyDescent="0.25">
      <c r="A59" s="2"/>
      <c r="B59" s="2"/>
      <c r="C59" s="2"/>
      <c r="D59" s="2"/>
      <c r="E59" s="2"/>
    </row>
    <row r="60" spans="1:37" x14ac:dyDescent="0.25">
      <c r="A60" s="2"/>
      <c r="B60" s="2"/>
      <c r="C60" s="2"/>
      <c r="D60" s="2"/>
      <c r="E60" s="2"/>
    </row>
    <row r="61" spans="1:37" x14ac:dyDescent="0.25">
      <c r="A61" s="2"/>
      <c r="B61" s="2"/>
      <c r="C61" s="2"/>
      <c r="D61" s="2"/>
      <c r="E61" s="2"/>
    </row>
    <row r="62" spans="1:37" x14ac:dyDescent="0.25">
      <c r="A62" s="2"/>
      <c r="B62" s="2"/>
      <c r="C62" s="2"/>
      <c r="D62" s="2"/>
      <c r="E62" s="2"/>
    </row>
    <row r="63" spans="1:37" x14ac:dyDescent="0.25">
      <c r="A63" s="2"/>
      <c r="B63" s="2"/>
      <c r="C63" s="2"/>
      <c r="D63" s="2"/>
      <c r="E63" s="2"/>
    </row>
    <row r="64" spans="1:37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A187" s="2"/>
      <c r="B187" s="2"/>
      <c r="C187" s="2"/>
      <c r="D187" s="2"/>
      <c r="E187" s="2"/>
    </row>
    <row r="188" spans="1:5" x14ac:dyDescent="0.25">
      <c r="A188" s="2"/>
      <c r="B188" s="2"/>
      <c r="C188" s="2"/>
      <c r="D188" s="2"/>
      <c r="E188" s="2"/>
    </row>
    <row r="189" spans="1:5" x14ac:dyDescent="0.25">
      <c r="A189" s="2"/>
      <c r="B189" s="2"/>
      <c r="C189" s="2"/>
      <c r="D189" s="2"/>
      <c r="E189" s="2"/>
    </row>
    <row r="190" spans="1:5" x14ac:dyDescent="0.25">
      <c r="A190" s="2"/>
      <c r="B190" s="2"/>
      <c r="C190" s="2"/>
      <c r="D190" s="2"/>
      <c r="E190" s="2"/>
    </row>
    <row r="191" spans="1:5" x14ac:dyDescent="0.25">
      <c r="A191" s="2"/>
      <c r="B191" s="2"/>
      <c r="C191" s="2"/>
      <c r="D191" s="2"/>
      <c r="E191" s="2"/>
    </row>
    <row r="192" spans="1:5" x14ac:dyDescent="0.25">
      <c r="A192" s="2"/>
      <c r="B192" s="2"/>
      <c r="C192" s="2"/>
      <c r="D192" s="2"/>
      <c r="E192" s="2"/>
    </row>
    <row r="193" spans="1:5" x14ac:dyDescent="0.25">
      <c r="A193" s="2"/>
      <c r="B193" s="2"/>
      <c r="C193" s="2"/>
      <c r="D193" s="2"/>
      <c r="E193" s="2"/>
    </row>
    <row r="194" spans="1:5" x14ac:dyDescent="0.25">
      <c r="A194" s="2"/>
      <c r="B194" s="2"/>
      <c r="C194" s="2"/>
      <c r="D194" s="2"/>
      <c r="E194" s="2"/>
    </row>
    <row r="195" spans="1:5" x14ac:dyDescent="0.25">
      <c r="A195" s="2"/>
      <c r="B195" s="2"/>
      <c r="C195" s="2"/>
      <c r="D195" s="2"/>
      <c r="E195" s="2"/>
    </row>
    <row r="196" spans="1:5" x14ac:dyDescent="0.25">
      <c r="A196" s="2"/>
      <c r="B196" s="2"/>
      <c r="C196" s="2"/>
      <c r="D196" s="2"/>
      <c r="E196" s="2"/>
    </row>
    <row r="197" spans="1:5" x14ac:dyDescent="0.25">
      <c r="A197" s="2"/>
      <c r="B197" s="2"/>
      <c r="C197" s="2"/>
      <c r="D197" s="2"/>
      <c r="E197" s="2"/>
    </row>
    <row r="198" spans="1:5" x14ac:dyDescent="0.25">
      <c r="A198" s="2"/>
      <c r="B198" s="2"/>
      <c r="C198" s="2"/>
      <c r="D198" s="2"/>
      <c r="E198" s="2"/>
    </row>
    <row r="199" spans="1:5" x14ac:dyDescent="0.25">
      <c r="A199" s="2"/>
      <c r="B199" s="2"/>
      <c r="C199" s="2"/>
      <c r="D199" s="2"/>
      <c r="E199" s="2"/>
    </row>
    <row r="200" spans="1:5" x14ac:dyDescent="0.25">
      <c r="A200" s="2"/>
      <c r="B200" s="2"/>
      <c r="C200" s="2"/>
      <c r="D200" s="2"/>
      <c r="E200" s="2"/>
    </row>
    <row r="201" spans="1:5" x14ac:dyDescent="0.25">
      <c r="A201" s="2"/>
      <c r="B201" s="2"/>
      <c r="C201" s="2"/>
      <c r="D201" s="2"/>
      <c r="E201" s="2"/>
    </row>
    <row r="202" spans="1:5" x14ac:dyDescent="0.25">
      <c r="A202" s="2"/>
      <c r="B202" s="2"/>
      <c r="C202" s="2"/>
      <c r="D202" s="2"/>
      <c r="E202" s="2"/>
    </row>
    <row r="203" spans="1:5" x14ac:dyDescent="0.25">
      <c r="A203" s="2"/>
      <c r="B203" s="2"/>
      <c r="C203" s="2"/>
      <c r="D203" s="2"/>
      <c r="E203" s="2"/>
    </row>
    <row r="204" spans="1:5" x14ac:dyDescent="0.25">
      <c r="A204" s="2"/>
      <c r="B204" s="2"/>
      <c r="C204" s="2"/>
      <c r="D204" s="2"/>
      <c r="E204" s="2"/>
    </row>
    <row r="205" spans="1:5" x14ac:dyDescent="0.25">
      <c r="A205" s="2"/>
      <c r="B205" s="2"/>
      <c r="C205" s="2"/>
      <c r="D205" s="2"/>
      <c r="E205" s="2"/>
    </row>
    <row r="206" spans="1:5" x14ac:dyDescent="0.25">
      <c r="A206" s="2"/>
      <c r="B206" s="2"/>
      <c r="C206" s="2"/>
      <c r="D206" s="2"/>
      <c r="E206" s="2"/>
    </row>
    <row r="207" spans="1:5" x14ac:dyDescent="0.25">
      <c r="A207" s="2"/>
      <c r="B207" s="2"/>
      <c r="C207" s="2"/>
      <c r="D207" s="2"/>
      <c r="E207" s="2"/>
    </row>
    <row r="208" spans="1:5" x14ac:dyDescent="0.25">
      <c r="A208" s="2"/>
      <c r="B208" s="2"/>
      <c r="C208" s="2"/>
      <c r="D208" s="2"/>
      <c r="E208" s="2"/>
    </row>
    <row r="209" spans="1:5" x14ac:dyDescent="0.25">
      <c r="A209" s="2"/>
      <c r="B209" s="2"/>
      <c r="C209" s="2"/>
      <c r="D209" s="2"/>
      <c r="E209" s="2"/>
    </row>
    <row r="210" spans="1:5" x14ac:dyDescent="0.25">
      <c r="A210" s="2"/>
      <c r="B210" s="2"/>
      <c r="C210" s="2"/>
      <c r="D210" s="2"/>
      <c r="E210" s="2"/>
    </row>
    <row r="211" spans="1:5" x14ac:dyDescent="0.25">
      <c r="A211" s="2"/>
      <c r="B211" s="2"/>
      <c r="C211" s="2"/>
      <c r="D211" s="2"/>
      <c r="E211" s="2"/>
    </row>
    <row r="212" spans="1:5" x14ac:dyDescent="0.25">
      <c r="A212" s="2"/>
      <c r="B212" s="2"/>
      <c r="C212" s="2"/>
      <c r="D212" s="2"/>
      <c r="E212" s="2"/>
    </row>
    <row r="213" spans="1:5" x14ac:dyDescent="0.25">
      <c r="A213" s="2"/>
      <c r="B213" s="2"/>
      <c r="C213" s="2"/>
      <c r="D213" s="2"/>
      <c r="E213" s="2"/>
    </row>
    <row r="214" spans="1:5" x14ac:dyDescent="0.25">
      <c r="A214" s="2"/>
      <c r="B214" s="2"/>
      <c r="C214" s="2"/>
      <c r="D214" s="2"/>
      <c r="E214" s="2"/>
    </row>
    <row r="215" spans="1:5" x14ac:dyDescent="0.25">
      <c r="A215" s="2"/>
      <c r="B215" s="2"/>
      <c r="C215" s="2"/>
      <c r="D215" s="2"/>
      <c r="E215" s="2"/>
    </row>
    <row r="216" spans="1:5" x14ac:dyDescent="0.25">
      <c r="A216" s="2"/>
      <c r="B216" s="2"/>
      <c r="C216" s="2"/>
      <c r="D216" s="2"/>
      <c r="E216" s="2"/>
    </row>
    <row r="217" spans="1:5" x14ac:dyDescent="0.25">
      <c r="A217" s="2"/>
      <c r="B217" s="2"/>
      <c r="C217" s="2"/>
      <c r="D217" s="2"/>
      <c r="E217" s="2"/>
    </row>
    <row r="218" spans="1:5" x14ac:dyDescent="0.25">
      <c r="A218" s="2"/>
      <c r="B218" s="2"/>
      <c r="C218" s="2"/>
      <c r="D218" s="2"/>
      <c r="E218" s="2"/>
    </row>
    <row r="219" spans="1:5" x14ac:dyDescent="0.25">
      <c r="A219" s="2"/>
      <c r="B219" s="2"/>
      <c r="C219" s="2"/>
      <c r="D219" s="2"/>
      <c r="E219" s="2"/>
    </row>
    <row r="220" spans="1:5" x14ac:dyDescent="0.25">
      <c r="A220" s="2"/>
      <c r="B220" s="2"/>
      <c r="C220" s="2"/>
      <c r="D220" s="2"/>
      <c r="E220" s="2"/>
    </row>
    <row r="221" spans="1:5" x14ac:dyDescent="0.25">
      <c r="A221" s="2"/>
      <c r="B221" s="2"/>
      <c r="C221" s="2"/>
      <c r="D221" s="2"/>
      <c r="E221" s="2"/>
    </row>
    <row r="222" spans="1:5" x14ac:dyDescent="0.25">
      <c r="A222" s="2"/>
      <c r="B222" s="2"/>
      <c r="C222" s="2"/>
      <c r="D222" s="2"/>
      <c r="E222" s="2"/>
    </row>
    <row r="223" spans="1:5" x14ac:dyDescent="0.25">
      <c r="A223" s="2"/>
      <c r="B223" s="2"/>
      <c r="C223" s="2"/>
      <c r="D223" s="2"/>
      <c r="E223" s="2"/>
    </row>
    <row r="224" spans="1:5" x14ac:dyDescent="0.25">
      <c r="A224" s="2"/>
      <c r="B224" s="2"/>
      <c r="C224" s="2"/>
      <c r="D224" s="2"/>
      <c r="E224" s="2"/>
    </row>
    <row r="225" spans="1:5" x14ac:dyDescent="0.25">
      <c r="A225" s="2"/>
      <c r="B225" s="2"/>
      <c r="C225" s="2"/>
      <c r="D225" s="2"/>
      <c r="E225" s="2"/>
    </row>
    <row r="226" spans="1:5" x14ac:dyDescent="0.25">
      <c r="A226" s="2"/>
      <c r="B226" s="2"/>
      <c r="C226" s="2"/>
      <c r="D226" s="2"/>
      <c r="E226" s="2"/>
    </row>
    <row r="227" spans="1:5" x14ac:dyDescent="0.25">
      <c r="A227" s="2"/>
      <c r="B227" s="2"/>
      <c r="C227" s="2"/>
      <c r="D227" s="2"/>
      <c r="E227" s="2"/>
    </row>
    <row r="228" spans="1:5" x14ac:dyDescent="0.25">
      <c r="A228" s="2"/>
      <c r="B228" s="2"/>
      <c r="C228" s="2"/>
      <c r="D228" s="2"/>
      <c r="E228" s="2"/>
    </row>
    <row r="229" spans="1:5" x14ac:dyDescent="0.25">
      <c r="A229" s="2"/>
      <c r="B229" s="2"/>
      <c r="C229" s="2"/>
      <c r="D229" s="2"/>
      <c r="E229" s="2"/>
    </row>
    <row r="230" spans="1:5" x14ac:dyDescent="0.25">
      <c r="A230" s="2"/>
      <c r="B230" s="2"/>
      <c r="C230" s="2"/>
      <c r="D230" s="2"/>
      <c r="E230" s="2"/>
    </row>
    <row r="231" spans="1:5" x14ac:dyDescent="0.25">
      <c r="A231" s="2"/>
      <c r="B231" s="2"/>
      <c r="C231" s="2"/>
      <c r="D231" s="2"/>
      <c r="E231" s="2"/>
    </row>
    <row r="232" spans="1:5" x14ac:dyDescent="0.25">
      <c r="A232" s="2"/>
      <c r="B232" s="2"/>
      <c r="C232" s="2"/>
      <c r="D232" s="2"/>
      <c r="E232" s="2"/>
    </row>
    <row r="233" spans="1:5" x14ac:dyDescent="0.25">
      <c r="A233" s="2"/>
      <c r="B233" s="2"/>
      <c r="C233" s="2"/>
      <c r="D233" s="2"/>
      <c r="E233" s="2"/>
    </row>
    <row r="234" spans="1:5" x14ac:dyDescent="0.25">
      <c r="A234" s="2"/>
      <c r="B234" s="2"/>
      <c r="C234" s="2"/>
      <c r="D234" s="2"/>
      <c r="E234" s="2"/>
    </row>
    <row r="235" spans="1:5" x14ac:dyDescent="0.25">
      <c r="A235" s="2"/>
      <c r="B235" s="2"/>
      <c r="C235" s="2"/>
      <c r="D235" s="2"/>
      <c r="E235" s="2"/>
    </row>
    <row r="236" spans="1:5" x14ac:dyDescent="0.25">
      <c r="A236" s="2"/>
      <c r="B236" s="2"/>
      <c r="C236" s="2"/>
      <c r="D236" s="2"/>
      <c r="E236" s="2"/>
    </row>
    <row r="237" spans="1:5" x14ac:dyDescent="0.25">
      <c r="A237" s="2"/>
      <c r="B237" s="2"/>
      <c r="C237" s="2"/>
      <c r="D237" s="2"/>
      <c r="E237" s="2"/>
    </row>
    <row r="238" spans="1:5" x14ac:dyDescent="0.25">
      <c r="A238" s="2"/>
      <c r="B238" s="2"/>
      <c r="C238" s="2"/>
      <c r="D238" s="2"/>
      <c r="E238" s="2"/>
    </row>
    <row r="239" spans="1:5" x14ac:dyDescent="0.25">
      <c r="A239" s="2"/>
      <c r="B239" s="2"/>
      <c r="C239" s="2"/>
      <c r="D239" s="2"/>
      <c r="E239" s="2"/>
    </row>
    <row r="240" spans="1:5" x14ac:dyDescent="0.25">
      <c r="A240" s="2"/>
      <c r="B240" s="2"/>
      <c r="C240" s="2"/>
      <c r="D240" s="2"/>
      <c r="E240" s="2"/>
    </row>
    <row r="241" spans="1:5" x14ac:dyDescent="0.25">
      <c r="A241" s="2"/>
      <c r="B241" s="2"/>
      <c r="C241" s="2"/>
      <c r="D241" s="2"/>
      <c r="E241" s="2"/>
    </row>
    <row r="242" spans="1:5" x14ac:dyDescent="0.25">
      <c r="A242" s="2"/>
      <c r="B242" s="2"/>
      <c r="C242" s="2"/>
      <c r="D242" s="2"/>
      <c r="E242" s="2"/>
    </row>
    <row r="243" spans="1:5" x14ac:dyDescent="0.25">
      <c r="A243" s="2"/>
      <c r="B243" s="2"/>
      <c r="C243" s="2"/>
      <c r="D243" s="2"/>
      <c r="E243" s="2"/>
    </row>
    <row r="244" spans="1:5" x14ac:dyDescent="0.25">
      <c r="A244" s="2"/>
      <c r="B244" s="2"/>
      <c r="C244" s="2"/>
      <c r="D244" s="2"/>
      <c r="E244" s="2"/>
    </row>
    <row r="245" spans="1:5" x14ac:dyDescent="0.25">
      <c r="A245" s="2"/>
      <c r="B245" s="2"/>
      <c r="C245" s="2"/>
      <c r="D245" s="2"/>
      <c r="E245" s="2"/>
    </row>
    <row r="246" spans="1:5" x14ac:dyDescent="0.25">
      <c r="A246" s="2"/>
      <c r="B246" s="2"/>
      <c r="C246" s="2"/>
      <c r="D246" s="2"/>
      <c r="E246" s="2"/>
    </row>
    <row r="247" spans="1:5" x14ac:dyDescent="0.25">
      <c r="A247" s="2"/>
      <c r="B247" s="2"/>
      <c r="C247" s="2"/>
      <c r="D247" s="2"/>
      <c r="E247" s="2"/>
    </row>
    <row r="248" spans="1:5" x14ac:dyDescent="0.25">
      <c r="A248" s="2"/>
      <c r="B248" s="2"/>
      <c r="C248" s="2"/>
      <c r="D248" s="2"/>
      <c r="E248" s="2"/>
    </row>
    <row r="249" spans="1:5" x14ac:dyDescent="0.25">
      <c r="A249" s="2"/>
      <c r="B249" s="2"/>
      <c r="C249" s="2"/>
      <c r="D249" s="2"/>
      <c r="E249" s="2"/>
    </row>
    <row r="250" spans="1:5" x14ac:dyDescent="0.25">
      <c r="A250" s="2"/>
      <c r="B250" s="2"/>
      <c r="C250" s="2"/>
      <c r="D250" s="2"/>
      <c r="E250" s="2"/>
    </row>
    <row r="251" spans="1:5" x14ac:dyDescent="0.25">
      <c r="A251" s="2"/>
      <c r="B251" s="2"/>
      <c r="C251" s="2"/>
      <c r="D251" s="2"/>
      <c r="E251" s="2"/>
    </row>
    <row r="252" spans="1:5" x14ac:dyDescent="0.25">
      <c r="A252" s="2"/>
      <c r="B252" s="2"/>
      <c r="C252" s="2"/>
      <c r="D252" s="2"/>
      <c r="E252" s="2"/>
    </row>
    <row r="253" spans="1:5" x14ac:dyDescent="0.25">
      <c r="A253" s="2"/>
      <c r="B253" s="2"/>
      <c r="C253" s="2"/>
      <c r="D253" s="2"/>
      <c r="E253" s="2"/>
    </row>
    <row r="254" spans="1:5" x14ac:dyDescent="0.25">
      <c r="A254" s="2"/>
      <c r="B254" s="2"/>
      <c r="C254" s="2"/>
      <c r="D254" s="2"/>
      <c r="E254" s="2"/>
    </row>
    <row r="255" spans="1:5" x14ac:dyDescent="0.25">
      <c r="A255" s="2"/>
      <c r="B255" s="2"/>
      <c r="C255" s="2"/>
      <c r="D255" s="2"/>
      <c r="E255" s="2"/>
    </row>
    <row r="256" spans="1:5" x14ac:dyDescent="0.25">
      <c r="A256" s="2"/>
      <c r="B256" s="2"/>
      <c r="C256" s="2"/>
      <c r="D256" s="2"/>
      <c r="E256" s="2"/>
    </row>
    <row r="257" spans="1:5" x14ac:dyDescent="0.25">
      <c r="A257" s="2"/>
      <c r="B257" s="2"/>
      <c r="C257" s="2"/>
      <c r="D257" s="2"/>
      <c r="E257" s="2"/>
    </row>
    <row r="258" spans="1:5" x14ac:dyDescent="0.25">
      <c r="A258" s="2"/>
      <c r="B258" s="2"/>
      <c r="C258" s="2"/>
      <c r="D258" s="2"/>
      <c r="E258" s="2"/>
    </row>
    <row r="259" spans="1:5" x14ac:dyDescent="0.25">
      <c r="A259" s="2"/>
      <c r="B259" s="2"/>
      <c r="C259" s="2"/>
      <c r="D259" s="2"/>
      <c r="E259" s="2"/>
    </row>
    <row r="260" spans="1:5" x14ac:dyDescent="0.25">
      <c r="A260" s="2"/>
      <c r="B260" s="2"/>
      <c r="C260" s="2"/>
      <c r="D260" s="2"/>
      <c r="E260" s="2"/>
    </row>
    <row r="261" spans="1:5" x14ac:dyDescent="0.25">
      <c r="A261" s="2"/>
      <c r="B261" s="2"/>
      <c r="C261" s="2"/>
      <c r="D261" s="2"/>
      <c r="E261" s="2"/>
    </row>
    <row r="262" spans="1:5" x14ac:dyDescent="0.25">
      <c r="A262" s="2"/>
      <c r="B262" s="2"/>
      <c r="C262" s="2"/>
      <c r="D262" s="2"/>
      <c r="E262" s="2"/>
    </row>
    <row r="263" spans="1:5" x14ac:dyDescent="0.25">
      <c r="A263" s="2"/>
      <c r="B263" s="2"/>
      <c r="C263" s="2"/>
      <c r="D263" s="2"/>
      <c r="E263" s="2"/>
    </row>
    <row r="264" spans="1:5" x14ac:dyDescent="0.25">
      <c r="A264" s="2"/>
      <c r="B264" s="2"/>
      <c r="C264" s="2"/>
      <c r="D264" s="2"/>
      <c r="E264" s="2"/>
    </row>
    <row r="265" spans="1:5" x14ac:dyDescent="0.25">
      <c r="A265" s="2"/>
      <c r="B265" s="2"/>
      <c r="C265" s="2"/>
      <c r="D265" s="2"/>
      <c r="E265" s="2"/>
    </row>
    <row r="266" spans="1:5" x14ac:dyDescent="0.25">
      <c r="A266" s="2"/>
      <c r="B266" s="2"/>
      <c r="C266" s="2"/>
      <c r="D266" s="2"/>
      <c r="E266" s="2"/>
    </row>
    <row r="267" spans="1:5" x14ac:dyDescent="0.25">
      <c r="A267" s="2"/>
      <c r="B267" s="2"/>
      <c r="C267" s="2"/>
      <c r="D267" s="2"/>
      <c r="E267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AK47"/>
  <sheetViews>
    <sheetView zoomScale="75" zoomScaleNormal="75" workbookViewId="0">
      <selection activeCell="H24" sqref="H24"/>
    </sheetView>
  </sheetViews>
  <sheetFormatPr defaultRowHeight="15" x14ac:dyDescent="0.25"/>
  <cols>
    <col min="1" max="1" width="15.28515625" customWidth="1"/>
  </cols>
  <sheetData>
    <row r="1" spans="1:37" s="1" customFormat="1" x14ac:dyDescent="0.25">
      <c r="A1" s="1" t="s">
        <v>0</v>
      </c>
      <c r="B1" s="18" t="s">
        <v>99</v>
      </c>
      <c r="C1" s="18" t="s">
        <v>100</v>
      </c>
      <c r="D1" s="18" t="s">
        <v>101</v>
      </c>
      <c r="E1" s="18" t="s">
        <v>102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s="1" customFormat="1" x14ac:dyDescent="0.25"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s="1" customFormat="1" x14ac:dyDescent="0.25">
      <c r="A3" s="1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95</v>
      </c>
      <c r="AH3" s="4" t="s">
        <v>96</v>
      </c>
      <c r="AI3" s="4" t="s">
        <v>97</v>
      </c>
      <c r="AJ3" s="4" t="s">
        <v>98</v>
      </c>
      <c r="AK3" s="4"/>
    </row>
    <row r="4" spans="1:37" s="1" customFormat="1" x14ac:dyDescent="0.25">
      <c r="A4" s="1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s="1" customFormat="1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s="1" customFormat="1" x14ac:dyDescent="0.25">
      <c r="A6" s="1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s="1" customFormat="1" x14ac:dyDescent="0.25">
      <c r="A7" s="1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B8" s="13"/>
      <c r="C8" s="13"/>
      <c r="D8" s="13"/>
      <c r="E8" s="13"/>
    </row>
    <row r="9" spans="1:37" x14ac:dyDescent="0.25">
      <c r="A9" s="2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7">
        <v>0.35499999999999998</v>
      </c>
      <c r="G9" s="17">
        <v>0.33900000000000002</v>
      </c>
      <c r="H9" s="17">
        <v>0.29499999999999998</v>
      </c>
      <c r="I9" s="17">
        <v>0.28299999999999997</v>
      </c>
      <c r="J9" s="17">
        <v>0.26500000000000001</v>
      </c>
      <c r="K9" s="17">
        <v>0.25900000000000001</v>
      </c>
      <c r="L9" s="17">
        <v>0.25800000000000001</v>
      </c>
      <c r="M9" s="17">
        <v>0.25800000000000001</v>
      </c>
      <c r="N9" s="17">
        <v>0.252</v>
      </c>
      <c r="O9" s="17">
        <v>0.247</v>
      </c>
      <c r="P9" s="17">
        <v>0.22600000000000001</v>
      </c>
      <c r="Q9" s="17">
        <v>0.216</v>
      </c>
      <c r="R9" s="17">
        <v>0.20499999999999999</v>
      </c>
      <c r="S9" s="17">
        <v>0.192</v>
      </c>
      <c r="T9" s="17">
        <v>0.185</v>
      </c>
      <c r="U9" s="17">
        <v>0.185</v>
      </c>
      <c r="V9" s="17">
        <v>0.185</v>
      </c>
      <c r="W9" s="17">
        <v>0.186</v>
      </c>
      <c r="X9" s="17">
        <v>0.185</v>
      </c>
      <c r="Y9" s="17">
        <v>0.182</v>
      </c>
      <c r="Z9" s="17">
        <v>0.18099999999999999</v>
      </c>
      <c r="AA9" s="17">
        <v>0.17799999999999999</v>
      </c>
      <c r="AB9" s="17">
        <v>0.17599999999999999</v>
      </c>
      <c r="AC9" s="17">
        <v>0.17499999999999999</v>
      </c>
      <c r="AD9" s="17">
        <v>0.17799999999999999</v>
      </c>
      <c r="AE9" s="17">
        <v>0.18</v>
      </c>
      <c r="AF9" s="17">
        <v>0.156</v>
      </c>
      <c r="AG9" s="17">
        <v>0.153</v>
      </c>
      <c r="AH9" s="17">
        <v>0.14399999999999999</v>
      </c>
      <c r="AI9" s="17">
        <v>0.14099999999999999</v>
      </c>
      <c r="AJ9" s="17">
        <v>0.13600000000000001</v>
      </c>
      <c r="AK9" s="17">
        <v>0.13300000000000001</v>
      </c>
    </row>
    <row r="10" spans="1:37" x14ac:dyDescent="0.25">
      <c r="A10">
        <v>2</v>
      </c>
      <c r="B10" s="13">
        <v>0.3</v>
      </c>
      <c r="C10" s="13">
        <v>0.26</v>
      </c>
      <c r="D10" s="13">
        <v>0.25</v>
      </c>
      <c r="E10" s="13">
        <v>0.24299999999999999</v>
      </c>
      <c r="F10" s="17">
        <v>0.23</v>
      </c>
      <c r="G10" s="17">
        <v>0.221</v>
      </c>
      <c r="H10" s="17">
        <v>0.20200000000000001</v>
      </c>
      <c r="I10" s="17">
        <v>0.193</v>
      </c>
      <c r="J10" s="17">
        <v>0.186</v>
      </c>
      <c r="K10" s="17">
        <v>0.18</v>
      </c>
      <c r="L10" s="17">
        <v>0.17799999999999999</v>
      </c>
      <c r="M10" s="17">
        <v>0.17299999999999999</v>
      </c>
      <c r="N10" s="17">
        <v>0.17499999999999999</v>
      </c>
      <c r="O10" s="17">
        <v>0.17199999999999999</v>
      </c>
      <c r="P10" s="17">
        <v>0.157</v>
      </c>
      <c r="Q10" s="17">
        <v>0.151</v>
      </c>
      <c r="R10" s="17">
        <v>0.14299999999999999</v>
      </c>
      <c r="S10" s="17">
        <v>0.13300000000000001</v>
      </c>
      <c r="T10" s="17">
        <v>0.13100000000000001</v>
      </c>
      <c r="U10" s="17">
        <v>0.13100000000000001</v>
      </c>
      <c r="V10" s="17">
        <v>0.13200000000000001</v>
      </c>
      <c r="W10" s="17">
        <v>0.13200000000000001</v>
      </c>
      <c r="X10" s="17">
        <v>0.13200000000000001</v>
      </c>
      <c r="Y10" s="17">
        <v>0.13200000000000001</v>
      </c>
      <c r="Z10" s="17">
        <v>0.13300000000000001</v>
      </c>
      <c r="AA10" s="17">
        <v>0.129</v>
      </c>
      <c r="AB10" s="17">
        <v>0.129</v>
      </c>
      <c r="AC10" s="17">
        <v>0.129</v>
      </c>
      <c r="AD10" s="17">
        <v>0.13100000000000001</v>
      </c>
      <c r="AE10" s="17">
        <v>0.13100000000000001</v>
      </c>
      <c r="AF10" s="17">
        <v>0.113</v>
      </c>
      <c r="AG10" s="17">
        <v>0.111</v>
      </c>
      <c r="AH10" s="17">
        <v>0.1045</v>
      </c>
      <c r="AI10" s="17">
        <v>0.10199999999999999</v>
      </c>
      <c r="AJ10" s="17">
        <v>9.9000000000000005E-2</v>
      </c>
      <c r="AK10" s="17">
        <v>9.6000000000000002E-2</v>
      </c>
    </row>
    <row r="11" spans="1:37" x14ac:dyDescent="0.25">
      <c r="A11">
        <v>3</v>
      </c>
      <c r="B11" s="13">
        <v>0.2</v>
      </c>
      <c r="C11" s="13">
        <v>0.18</v>
      </c>
      <c r="D11" s="13">
        <v>0.17</v>
      </c>
      <c r="E11" s="13">
        <v>0.155</v>
      </c>
      <c r="F11" s="17">
        <v>0.14399999999999999</v>
      </c>
      <c r="G11" s="17">
        <v>0.14000000000000001</v>
      </c>
      <c r="H11" s="17">
        <v>0.13500000000000001</v>
      </c>
      <c r="I11" s="17">
        <v>0.13</v>
      </c>
      <c r="J11" s="17">
        <v>0.127</v>
      </c>
      <c r="K11" s="17">
        <v>0.125</v>
      </c>
      <c r="L11" s="17">
        <v>0.12</v>
      </c>
      <c r="M11" s="17">
        <v>0.11600000000000001</v>
      </c>
      <c r="N11" s="17">
        <v>0.11899999999999999</v>
      </c>
      <c r="O11" s="17">
        <v>0.11700000000000001</v>
      </c>
      <c r="P11" s="17">
        <v>0.107</v>
      </c>
      <c r="Q11" s="17">
        <v>0.10299999999999999</v>
      </c>
      <c r="R11" s="17">
        <v>9.7000000000000003E-2</v>
      </c>
      <c r="S11" s="17">
        <v>9.1999999999999998E-2</v>
      </c>
      <c r="T11" s="17">
        <v>9.1999999999999998E-2</v>
      </c>
      <c r="U11" s="17">
        <v>9.0999999999999998E-2</v>
      </c>
      <c r="V11" s="17">
        <v>9.0999999999999998E-2</v>
      </c>
      <c r="W11" s="17">
        <v>9.1999999999999998E-2</v>
      </c>
      <c r="X11" s="17">
        <v>9.1999999999999998E-2</v>
      </c>
      <c r="Y11" s="17">
        <v>9.1999999999999998E-2</v>
      </c>
      <c r="Z11" s="17">
        <v>9.4E-2</v>
      </c>
      <c r="AA11" s="17">
        <v>9.0999999999999998E-2</v>
      </c>
      <c r="AB11" s="17">
        <v>9.0999999999999998E-2</v>
      </c>
      <c r="AC11" s="17">
        <v>9.0999999999999998E-2</v>
      </c>
      <c r="AD11" s="17">
        <v>9.2999999999999999E-2</v>
      </c>
      <c r="AE11" s="17">
        <v>9.1999999999999998E-2</v>
      </c>
      <c r="AF11" s="17">
        <v>0.08</v>
      </c>
      <c r="AG11" s="17">
        <v>7.9000000000000001E-2</v>
      </c>
      <c r="AH11" s="17">
        <v>7.3999999999999996E-2</v>
      </c>
      <c r="AI11" s="17">
        <v>7.1999999999999995E-2</v>
      </c>
      <c r="AJ11" s="17">
        <v>7.0999999999999994E-2</v>
      </c>
      <c r="AK11" s="17">
        <v>6.9000000000000006E-2</v>
      </c>
    </row>
    <row r="12" spans="1:37" x14ac:dyDescent="0.25">
      <c r="A12">
        <v>4</v>
      </c>
      <c r="B12" s="13"/>
      <c r="C12" s="13">
        <v>0.13</v>
      </c>
      <c r="D12" s="13">
        <v>0.11799999999999999</v>
      </c>
      <c r="E12" s="13">
        <v>0.10100000000000001</v>
      </c>
      <c r="F12" s="17">
        <v>9.0999999999999998E-2</v>
      </c>
      <c r="G12" s="17">
        <v>8.7999999999999995E-2</v>
      </c>
      <c r="H12" s="17">
        <v>8.8999999999999996E-2</v>
      </c>
      <c r="I12" s="17">
        <v>8.5999999999999993E-2</v>
      </c>
      <c r="J12" s="17">
        <v>8.4000000000000005E-2</v>
      </c>
      <c r="K12" s="17">
        <v>8.4000000000000005E-2</v>
      </c>
      <c r="L12" s="17">
        <v>0.08</v>
      </c>
      <c r="M12" s="17">
        <v>7.6999999999999999E-2</v>
      </c>
      <c r="N12" s="17">
        <v>7.6999999999999999E-2</v>
      </c>
      <c r="O12" s="17">
        <v>7.5999999999999998E-2</v>
      </c>
      <c r="P12" s="17">
        <v>7.0000000000000007E-2</v>
      </c>
      <c r="Q12" s="17">
        <v>6.8000000000000005E-2</v>
      </c>
      <c r="R12" s="17">
        <v>6.5000000000000002E-2</v>
      </c>
      <c r="S12" s="17">
        <v>6.3E-2</v>
      </c>
      <c r="T12" s="17">
        <v>6.4000000000000001E-2</v>
      </c>
      <c r="U12" s="17">
        <v>6.3E-2</v>
      </c>
      <c r="V12" s="17">
        <v>6.2E-2</v>
      </c>
      <c r="W12" s="17">
        <v>6.2E-2</v>
      </c>
      <c r="X12" s="17">
        <v>6.3E-2</v>
      </c>
      <c r="Y12" s="17">
        <v>6.2E-2</v>
      </c>
      <c r="Z12" s="17">
        <v>6.3E-2</v>
      </c>
      <c r="AA12" s="17">
        <v>6.2E-2</v>
      </c>
      <c r="AB12" s="17">
        <v>6.2E-2</v>
      </c>
      <c r="AC12" s="17">
        <v>6.0999999999999999E-2</v>
      </c>
      <c r="AD12" s="17">
        <v>6.3E-2</v>
      </c>
      <c r="AE12" s="17">
        <v>6.0999999999999999E-2</v>
      </c>
      <c r="AF12" s="17">
        <v>5.5E-2</v>
      </c>
      <c r="AG12" s="17">
        <v>5.2999999999999999E-2</v>
      </c>
      <c r="AH12" s="17">
        <v>5.0999999999999997E-2</v>
      </c>
      <c r="AI12" s="17">
        <v>4.9000000000000002E-2</v>
      </c>
      <c r="AJ12" s="17">
        <v>4.9000000000000002E-2</v>
      </c>
      <c r="AK12" s="17">
        <v>4.8000000000000001E-2</v>
      </c>
    </row>
    <row r="13" spans="1:37" x14ac:dyDescent="0.25">
      <c r="A13">
        <v>5</v>
      </c>
      <c r="B13" s="13"/>
      <c r="C13" s="13"/>
      <c r="D13" s="13">
        <v>7.1999999999999995E-2</v>
      </c>
      <c r="E13" s="13">
        <v>6.6000000000000003E-2</v>
      </c>
      <c r="F13" s="17">
        <v>0.06</v>
      </c>
      <c r="G13" s="17">
        <v>5.2999999999999999E-2</v>
      </c>
      <c r="H13" s="17">
        <v>5.8000000000000003E-2</v>
      </c>
      <c r="I13" s="17">
        <v>5.6000000000000001E-2</v>
      </c>
      <c r="J13" s="17">
        <v>5.6000000000000001E-2</v>
      </c>
      <c r="K13" s="17">
        <v>5.2999999999999999E-2</v>
      </c>
      <c r="L13" s="17">
        <v>5.0999999999999997E-2</v>
      </c>
      <c r="M13" s="17">
        <v>4.9000000000000002E-2</v>
      </c>
      <c r="N13" s="17">
        <v>4.7E-2</v>
      </c>
      <c r="O13" s="17">
        <v>4.4999999999999998E-2</v>
      </c>
      <c r="P13" s="17">
        <v>4.3999999999999997E-2</v>
      </c>
      <c r="Q13" s="17">
        <v>4.3999999999999997E-2</v>
      </c>
      <c r="R13" s="17">
        <v>4.3999999999999997E-2</v>
      </c>
      <c r="S13" s="17">
        <v>4.4999999999999998E-2</v>
      </c>
      <c r="T13" s="17">
        <v>4.4999999999999998E-2</v>
      </c>
      <c r="U13" s="17">
        <v>4.3999999999999997E-2</v>
      </c>
      <c r="V13" s="17">
        <v>4.2999999999999997E-2</v>
      </c>
      <c r="W13" s="17">
        <v>4.2000000000000003E-2</v>
      </c>
      <c r="X13" s="17">
        <v>4.2000000000000003E-2</v>
      </c>
      <c r="Y13" s="17">
        <v>4.1000000000000002E-2</v>
      </c>
      <c r="Z13" s="17">
        <v>4.1000000000000002E-2</v>
      </c>
      <c r="AA13" s="17">
        <v>0.04</v>
      </c>
      <c r="AB13" s="17">
        <v>0.04</v>
      </c>
      <c r="AC13" s="17">
        <v>3.9E-2</v>
      </c>
      <c r="AD13" s="17">
        <v>3.9E-2</v>
      </c>
      <c r="AE13" s="17">
        <v>3.7999999999999999E-2</v>
      </c>
      <c r="AF13" s="17">
        <v>3.5999999999999997E-2</v>
      </c>
      <c r="AG13" s="17">
        <v>3.5000000000000003E-2</v>
      </c>
      <c r="AH13" s="17">
        <v>3.4000000000000002E-2</v>
      </c>
      <c r="AI13" s="17">
        <v>3.3500000000000002E-2</v>
      </c>
      <c r="AJ13" s="17">
        <v>3.3500000000000002E-2</v>
      </c>
      <c r="AK13" s="17">
        <v>3.3000000000000002E-2</v>
      </c>
    </row>
    <row r="14" spans="1:37" x14ac:dyDescent="0.25">
      <c r="A14">
        <v>6</v>
      </c>
      <c r="B14" s="13"/>
      <c r="C14" s="13"/>
      <c r="D14" s="13"/>
      <c r="E14" s="13">
        <v>6.6000000000000003E-2</v>
      </c>
      <c r="F14" s="17">
        <v>0.06</v>
      </c>
      <c r="G14" s="17">
        <v>5.2999999999999999E-2</v>
      </c>
      <c r="H14" s="17">
        <v>5.8000000000000003E-2</v>
      </c>
      <c r="I14" s="17">
        <v>5.6000000000000001E-2</v>
      </c>
      <c r="J14" s="17">
        <v>5.6000000000000001E-2</v>
      </c>
      <c r="K14" s="17">
        <v>5.2999999999999999E-2</v>
      </c>
      <c r="L14" s="17">
        <v>5.0999999999999997E-2</v>
      </c>
      <c r="M14" s="17">
        <v>4.9000000000000002E-2</v>
      </c>
      <c r="N14" s="17">
        <v>4.7E-2</v>
      </c>
      <c r="O14" s="17">
        <v>4.4999999999999998E-2</v>
      </c>
      <c r="P14" s="17">
        <v>4.3999999999999997E-2</v>
      </c>
      <c r="Q14" s="17">
        <v>4.3999999999999997E-2</v>
      </c>
      <c r="R14" s="17">
        <v>4.3999999999999997E-2</v>
      </c>
      <c r="S14" s="17">
        <v>4.4999999999999998E-2</v>
      </c>
      <c r="T14" s="17">
        <v>4.4999999999999998E-2</v>
      </c>
      <c r="U14" s="17">
        <v>4.3999999999999997E-2</v>
      </c>
      <c r="V14" s="17">
        <v>4.2999999999999997E-2</v>
      </c>
      <c r="W14" s="17">
        <v>4.2000000000000003E-2</v>
      </c>
      <c r="X14" s="17">
        <v>4.2000000000000003E-2</v>
      </c>
      <c r="Y14" s="17">
        <v>4.1000000000000002E-2</v>
      </c>
      <c r="Z14" s="17">
        <v>4.1000000000000002E-2</v>
      </c>
      <c r="AA14" s="17">
        <v>0.04</v>
      </c>
      <c r="AB14" s="17">
        <v>0.04</v>
      </c>
      <c r="AC14" s="17">
        <v>3.9E-2</v>
      </c>
      <c r="AD14" s="17">
        <v>3.9E-2</v>
      </c>
      <c r="AE14" s="17">
        <v>3.7999999999999999E-2</v>
      </c>
      <c r="AF14" s="17">
        <v>3.5999999999999997E-2</v>
      </c>
      <c r="AG14" s="17">
        <v>3.5000000000000003E-2</v>
      </c>
      <c r="AH14" s="17">
        <v>3.4000000000000002E-2</v>
      </c>
      <c r="AI14" s="17">
        <v>3.3500000000000002E-2</v>
      </c>
      <c r="AJ14" s="17">
        <v>3.3500000000000002E-2</v>
      </c>
      <c r="AK14" s="17">
        <v>3.3000000000000002E-2</v>
      </c>
    </row>
    <row r="15" spans="1:37" x14ac:dyDescent="0.25">
      <c r="A15">
        <v>7</v>
      </c>
      <c r="F15" s="17">
        <v>0.06</v>
      </c>
      <c r="G15" s="17">
        <v>5.2999999999999999E-2</v>
      </c>
      <c r="H15" s="17">
        <v>5.8000000000000003E-2</v>
      </c>
      <c r="I15" s="17">
        <v>5.6000000000000001E-2</v>
      </c>
      <c r="J15" s="17">
        <v>5.6000000000000001E-2</v>
      </c>
      <c r="K15" s="17">
        <v>5.2999999999999999E-2</v>
      </c>
      <c r="L15" s="17">
        <v>5.0999999999999997E-2</v>
      </c>
      <c r="M15" s="17">
        <v>4.9000000000000002E-2</v>
      </c>
      <c r="N15" s="17">
        <v>4.7E-2</v>
      </c>
      <c r="O15" s="17">
        <v>4.4999999999999998E-2</v>
      </c>
      <c r="P15" s="17">
        <v>4.3999999999999997E-2</v>
      </c>
      <c r="Q15" s="17">
        <v>4.3999999999999997E-2</v>
      </c>
      <c r="R15" s="17">
        <v>4.3999999999999997E-2</v>
      </c>
      <c r="S15" s="17">
        <v>4.4999999999999998E-2</v>
      </c>
      <c r="T15" s="17">
        <v>4.4999999999999998E-2</v>
      </c>
      <c r="U15" s="17">
        <v>4.3999999999999997E-2</v>
      </c>
      <c r="V15" s="17">
        <v>4.2999999999999997E-2</v>
      </c>
      <c r="W15" s="17">
        <v>4.2000000000000003E-2</v>
      </c>
      <c r="X15" s="17">
        <v>4.2000000000000003E-2</v>
      </c>
      <c r="Y15" s="17">
        <v>4.1000000000000002E-2</v>
      </c>
      <c r="Z15" s="17">
        <v>4.1000000000000002E-2</v>
      </c>
      <c r="AA15" s="17">
        <v>0.04</v>
      </c>
      <c r="AB15" s="17">
        <v>0.04</v>
      </c>
      <c r="AC15" s="17">
        <v>3.9E-2</v>
      </c>
      <c r="AD15" s="17">
        <v>3.9E-2</v>
      </c>
      <c r="AE15" s="17">
        <v>3.7999999999999999E-2</v>
      </c>
      <c r="AF15" s="17">
        <v>3.5999999999999997E-2</v>
      </c>
      <c r="AG15" s="17">
        <v>3.5000000000000003E-2</v>
      </c>
      <c r="AH15" s="17">
        <v>3.4000000000000002E-2</v>
      </c>
      <c r="AI15" s="17">
        <v>3.3500000000000002E-2</v>
      </c>
      <c r="AJ15" s="17">
        <v>3.3500000000000002E-2</v>
      </c>
      <c r="AK15" s="17">
        <v>3.3000000000000002E-2</v>
      </c>
    </row>
    <row r="16" spans="1:37" x14ac:dyDescent="0.25">
      <c r="A16">
        <v>8</v>
      </c>
      <c r="G16" s="17">
        <v>5.2999999999999999E-2</v>
      </c>
      <c r="H16" s="17">
        <v>5.8000000000000003E-2</v>
      </c>
      <c r="I16" s="17">
        <v>5.6000000000000001E-2</v>
      </c>
      <c r="J16" s="17">
        <v>5.6000000000000001E-2</v>
      </c>
      <c r="K16" s="17">
        <v>5.2999999999999999E-2</v>
      </c>
      <c r="L16" s="17">
        <v>5.0999999999999997E-2</v>
      </c>
      <c r="M16" s="17">
        <v>4.9000000000000002E-2</v>
      </c>
      <c r="N16" s="17">
        <v>4.7E-2</v>
      </c>
      <c r="O16" s="17">
        <v>4.4999999999999998E-2</v>
      </c>
      <c r="P16" s="17">
        <v>4.3999999999999997E-2</v>
      </c>
      <c r="Q16" s="17">
        <v>4.3999999999999997E-2</v>
      </c>
      <c r="R16" s="17">
        <v>4.3999999999999997E-2</v>
      </c>
      <c r="S16" s="17">
        <v>4.4999999999999998E-2</v>
      </c>
      <c r="T16" s="17">
        <v>4.4999999999999998E-2</v>
      </c>
      <c r="U16" s="17">
        <v>4.3999999999999997E-2</v>
      </c>
      <c r="V16" s="17">
        <v>4.2999999999999997E-2</v>
      </c>
      <c r="W16" s="17">
        <v>4.2000000000000003E-2</v>
      </c>
      <c r="X16" s="17">
        <v>4.2000000000000003E-2</v>
      </c>
      <c r="Y16" s="17">
        <v>4.1000000000000002E-2</v>
      </c>
      <c r="Z16" s="17">
        <v>4.1000000000000002E-2</v>
      </c>
      <c r="AA16" s="17">
        <v>0.04</v>
      </c>
      <c r="AB16" s="17">
        <v>0.04</v>
      </c>
      <c r="AC16" s="17">
        <v>3.9E-2</v>
      </c>
      <c r="AD16" s="17">
        <v>3.9E-2</v>
      </c>
      <c r="AE16" s="17">
        <v>3.7999999999999999E-2</v>
      </c>
      <c r="AF16" s="17">
        <v>3.5999999999999997E-2</v>
      </c>
      <c r="AG16" s="17">
        <v>3.5000000000000003E-2</v>
      </c>
      <c r="AH16" s="17">
        <v>3.4000000000000002E-2</v>
      </c>
      <c r="AI16" s="17">
        <v>3.3500000000000002E-2</v>
      </c>
      <c r="AJ16" s="17">
        <v>3.3500000000000002E-2</v>
      </c>
      <c r="AK16" s="17">
        <v>3.3000000000000002E-2</v>
      </c>
    </row>
    <row r="17" spans="1:37" x14ac:dyDescent="0.25">
      <c r="A17">
        <v>9</v>
      </c>
      <c r="H17" s="17">
        <v>4.7E-2</v>
      </c>
      <c r="I17" s="17">
        <v>4.2000000000000003E-2</v>
      </c>
      <c r="J17" s="17">
        <v>3.7999999999999999E-2</v>
      </c>
      <c r="K17" s="17">
        <v>3.5000000000000003E-2</v>
      </c>
      <c r="L17" s="17">
        <v>3.2000000000000001E-2</v>
      </c>
      <c r="M17" s="17">
        <v>0.03</v>
      </c>
      <c r="N17" s="17">
        <v>2.7E-2</v>
      </c>
      <c r="O17" s="17">
        <v>2.5999999999999999E-2</v>
      </c>
      <c r="P17" s="17">
        <v>0.03</v>
      </c>
      <c r="Q17" s="17">
        <v>0.03</v>
      </c>
      <c r="R17" s="17">
        <v>3.1E-2</v>
      </c>
      <c r="S17" s="17">
        <v>3.2000000000000001E-2</v>
      </c>
      <c r="T17" s="17">
        <v>3.1E-2</v>
      </c>
      <c r="U17" s="17">
        <v>0.03</v>
      </c>
      <c r="V17" s="17">
        <v>2.9000000000000001E-2</v>
      </c>
      <c r="W17" s="17">
        <v>2.8000000000000001E-2</v>
      </c>
      <c r="X17" s="17">
        <v>2.7E-2</v>
      </c>
      <c r="Y17" s="17">
        <v>2.5999999999999999E-2</v>
      </c>
      <c r="Z17" s="17">
        <v>2.5000000000000001E-2</v>
      </c>
      <c r="AA17" s="17">
        <v>2.5000000000000001E-2</v>
      </c>
      <c r="AB17" s="17">
        <v>2.5000000000000001E-2</v>
      </c>
      <c r="AC17" s="17">
        <v>2.4E-2</v>
      </c>
      <c r="AD17" s="17">
        <v>2.3E-2</v>
      </c>
      <c r="AE17" s="17">
        <v>2.1999999999999999E-2</v>
      </c>
      <c r="AF17" s="17">
        <v>2.3E-2</v>
      </c>
      <c r="AG17" s="17">
        <v>2.3E-2</v>
      </c>
      <c r="AH17" s="17">
        <v>2.3E-2</v>
      </c>
      <c r="AI17" s="17">
        <v>2.3E-2</v>
      </c>
      <c r="AJ17" s="17">
        <v>2.3E-2</v>
      </c>
      <c r="AK17" s="17">
        <v>2.3E-2</v>
      </c>
    </row>
    <row r="18" spans="1:37" x14ac:dyDescent="0.25">
      <c r="A18">
        <v>10</v>
      </c>
      <c r="C18" t="s">
        <v>112</v>
      </c>
      <c r="I18" s="17">
        <v>4.2000000000000003E-2</v>
      </c>
      <c r="J18" s="17">
        <v>3.7999999999999999E-2</v>
      </c>
      <c r="K18" s="17">
        <v>3.5000000000000003E-2</v>
      </c>
      <c r="L18" s="17">
        <v>3.2000000000000001E-2</v>
      </c>
      <c r="M18" s="17">
        <v>0.03</v>
      </c>
      <c r="N18" s="17">
        <v>2.7E-2</v>
      </c>
      <c r="O18" s="17">
        <v>2.5999999999999999E-2</v>
      </c>
      <c r="P18" s="17">
        <v>0.03</v>
      </c>
      <c r="Q18" s="17">
        <v>0.03</v>
      </c>
      <c r="R18" s="17">
        <v>3.1E-2</v>
      </c>
      <c r="S18" s="17">
        <v>3.2000000000000001E-2</v>
      </c>
      <c r="T18" s="17">
        <v>3.1E-2</v>
      </c>
      <c r="U18" s="17">
        <v>0.03</v>
      </c>
      <c r="V18" s="17">
        <v>2.9000000000000001E-2</v>
      </c>
      <c r="W18" s="17">
        <v>2.8000000000000001E-2</v>
      </c>
      <c r="X18" s="17">
        <v>2.7E-2</v>
      </c>
      <c r="Y18" s="17">
        <v>2.5999999999999999E-2</v>
      </c>
      <c r="Z18" s="17">
        <v>2.5000000000000001E-2</v>
      </c>
      <c r="AA18" s="17">
        <v>2.5000000000000001E-2</v>
      </c>
      <c r="AB18" s="17">
        <v>2.5000000000000001E-2</v>
      </c>
      <c r="AC18" s="17">
        <v>2.4E-2</v>
      </c>
      <c r="AD18" s="17">
        <v>2.3E-2</v>
      </c>
      <c r="AE18" s="17">
        <v>2.1999999999999999E-2</v>
      </c>
      <c r="AF18" s="17">
        <v>2.3E-2</v>
      </c>
      <c r="AG18" s="17">
        <v>2.3E-2</v>
      </c>
      <c r="AH18" s="17">
        <v>2.3E-2</v>
      </c>
      <c r="AI18" s="17">
        <v>2.3E-2</v>
      </c>
      <c r="AJ18" s="17">
        <v>2.3E-2</v>
      </c>
      <c r="AK18" s="17">
        <v>2.3E-2</v>
      </c>
    </row>
    <row r="19" spans="1:37" x14ac:dyDescent="0.25">
      <c r="A19">
        <v>11</v>
      </c>
      <c r="C19" t="s">
        <v>111</v>
      </c>
      <c r="J19" s="17">
        <v>3.7999999999999999E-2</v>
      </c>
      <c r="K19" s="17">
        <v>3.5000000000000003E-2</v>
      </c>
      <c r="L19" s="17">
        <v>3.2000000000000001E-2</v>
      </c>
      <c r="M19" s="17">
        <v>0.03</v>
      </c>
      <c r="N19" s="17">
        <v>2.7E-2</v>
      </c>
      <c r="O19" s="17">
        <v>2.5999999999999999E-2</v>
      </c>
      <c r="P19" s="17">
        <v>0.03</v>
      </c>
      <c r="Q19" s="17">
        <v>0.03</v>
      </c>
      <c r="R19" s="17">
        <v>3.1E-2</v>
      </c>
      <c r="S19" s="17">
        <v>3.2000000000000001E-2</v>
      </c>
      <c r="T19" s="17">
        <v>3.1E-2</v>
      </c>
      <c r="U19" s="17">
        <v>0.03</v>
      </c>
      <c r="V19" s="17">
        <v>2.9000000000000001E-2</v>
      </c>
      <c r="W19" s="17">
        <v>2.8000000000000001E-2</v>
      </c>
      <c r="X19" s="17">
        <v>2.7E-2</v>
      </c>
      <c r="Y19" s="17">
        <v>2.5999999999999999E-2</v>
      </c>
      <c r="Z19" s="17">
        <v>2.5000000000000001E-2</v>
      </c>
      <c r="AA19" s="17">
        <v>2.5000000000000001E-2</v>
      </c>
      <c r="AB19" s="17">
        <v>2.5000000000000001E-2</v>
      </c>
      <c r="AC19" s="17">
        <v>2.4E-2</v>
      </c>
      <c r="AD19" s="17">
        <v>2.3E-2</v>
      </c>
      <c r="AE19" s="17">
        <v>2.1999999999999999E-2</v>
      </c>
      <c r="AF19" s="17">
        <v>2.3E-2</v>
      </c>
      <c r="AG19" s="17">
        <v>2.3E-2</v>
      </c>
      <c r="AH19" s="17">
        <v>2.3E-2</v>
      </c>
      <c r="AI19" s="17">
        <v>2.3E-2</v>
      </c>
      <c r="AJ19" s="17">
        <v>2.3E-2</v>
      </c>
      <c r="AK19" s="17">
        <v>2.3E-2</v>
      </c>
    </row>
    <row r="20" spans="1:37" x14ac:dyDescent="0.25">
      <c r="A20">
        <v>12</v>
      </c>
      <c r="K20" s="17">
        <v>3.5000000000000003E-2</v>
      </c>
      <c r="L20" s="17">
        <v>3.2000000000000001E-2</v>
      </c>
      <c r="M20" s="17">
        <v>0.03</v>
      </c>
      <c r="N20" s="17">
        <v>2.7E-2</v>
      </c>
      <c r="O20" s="17">
        <v>2.5999999999999999E-2</v>
      </c>
      <c r="P20" s="17">
        <v>0.03</v>
      </c>
      <c r="Q20" s="17">
        <v>0.03</v>
      </c>
      <c r="R20" s="17">
        <v>3.1E-2</v>
      </c>
      <c r="S20" s="17">
        <v>3.2000000000000001E-2</v>
      </c>
      <c r="T20" s="17">
        <v>3.1E-2</v>
      </c>
      <c r="U20" s="17">
        <v>0.03</v>
      </c>
      <c r="V20" s="17">
        <v>2.9000000000000001E-2</v>
      </c>
      <c r="W20" s="17">
        <v>2.8000000000000001E-2</v>
      </c>
      <c r="X20" s="17">
        <v>2.7E-2</v>
      </c>
      <c r="Y20" s="17">
        <v>2.5999999999999999E-2</v>
      </c>
      <c r="Z20" s="17">
        <v>2.5000000000000001E-2</v>
      </c>
      <c r="AA20" s="17">
        <v>2.5000000000000001E-2</v>
      </c>
      <c r="AB20" s="17">
        <v>2.5000000000000001E-2</v>
      </c>
      <c r="AC20" s="17">
        <v>2.4E-2</v>
      </c>
      <c r="AD20" s="17">
        <v>2.3E-2</v>
      </c>
      <c r="AE20" s="17">
        <v>2.1999999999999999E-2</v>
      </c>
      <c r="AF20" s="17">
        <v>2.3E-2</v>
      </c>
      <c r="AG20" s="17">
        <v>2.3E-2</v>
      </c>
      <c r="AH20" s="17">
        <v>2.3E-2</v>
      </c>
      <c r="AI20" s="17">
        <v>2.3E-2</v>
      </c>
      <c r="AJ20" s="17">
        <v>2.3E-2</v>
      </c>
      <c r="AK20" s="17">
        <v>2.3E-2</v>
      </c>
    </row>
    <row r="21" spans="1:37" x14ac:dyDescent="0.25">
      <c r="A21">
        <v>13</v>
      </c>
      <c r="L21" s="17">
        <v>3.2000000000000001E-2</v>
      </c>
      <c r="M21" s="17">
        <v>0.03</v>
      </c>
      <c r="N21" s="17">
        <v>2.7E-2</v>
      </c>
      <c r="O21" s="17">
        <v>2.5999999999999999E-2</v>
      </c>
      <c r="P21" s="17">
        <v>0.03</v>
      </c>
      <c r="Q21" s="17">
        <v>0.03</v>
      </c>
      <c r="R21" s="17">
        <v>3.1E-2</v>
      </c>
      <c r="S21" s="17">
        <v>3.2000000000000001E-2</v>
      </c>
      <c r="T21" s="17">
        <v>3.1E-2</v>
      </c>
      <c r="U21" s="17">
        <v>0.03</v>
      </c>
      <c r="V21" s="17">
        <v>2.9000000000000001E-2</v>
      </c>
      <c r="W21" s="17">
        <v>2.8000000000000001E-2</v>
      </c>
      <c r="X21" s="17">
        <v>2.7E-2</v>
      </c>
      <c r="Y21" s="17">
        <v>2.5999999999999999E-2</v>
      </c>
      <c r="Z21" s="17">
        <v>2.5000000000000001E-2</v>
      </c>
      <c r="AA21" s="17">
        <v>2.5000000000000001E-2</v>
      </c>
      <c r="AB21" s="17">
        <v>2.5000000000000001E-2</v>
      </c>
      <c r="AC21" s="17">
        <v>2.4E-2</v>
      </c>
      <c r="AD21" s="17">
        <v>2.3E-2</v>
      </c>
      <c r="AE21" s="17">
        <v>2.1999999999999999E-2</v>
      </c>
      <c r="AF21" s="17">
        <v>2.3E-2</v>
      </c>
      <c r="AG21" s="17">
        <v>2.3E-2</v>
      </c>
      <c r="AH21" s="17">
        <v>2.3E-2</v>
      </c>
      <c r="AI21" s="17">
        <v>2.3E-2</v>
      </c>
      <c r="AJ21" s="17">
        <v>2.3E-2</v>
      </c>
      <c r="AK21" s="17">
        <v>2.3E-2</v>
      </c>
    </row>
    <row r="22" spans="1:37" x14ac:dyDescent="0.25">
      <c r="A22">
        <v>14</v>
      </c>
      <c r="M22" s="17">
        <v>0.03</v>
      </c>
      <c r="N22" s="17">
        <v>2.7E-2</v>
      </c>
      <c r="O22" s="17">
        <v>2.5999999999999999E-2</v>
      </c>
      <c r="P22" s="17">
        <v>0.03</v>
      </c>
      <c r="Q22" s="17">
        <v>0.03</v>
      </c>
      <c r="R22" s="17">
        <v>3.1E-2</v>
      </c>
      <c r="S22" s="17">
        <v>3.2000000000000001E-2</v>
      </c>
      <c r="T22" s="17">
        <v>3.1E-2</v>
      </c>
      <c r="U22" s="17">
        <v>0.03</v>
      </c>
      <c r="V22" s="17">
        <v>2.9000000000000001E-2</v>
      </c>
      <c r="W22" s="17">
        <v>2.8000000000000001E-2</v>
      </c>
      <c r="X22" s="17">
        <v>2.7E-2</v>
      </c>
      <c r="Y22" s="17">
        <v>2.5999999999999999E-2</v>
      </c>
      <c r="Z22" s="17">
        <v>2.5000000000000001E-2</v>
      </c>
      <c r="AA22" s="17">
        <v>2.5000000000000001E-2</v>
      </c>
      <c r="AB22" s="17">
        <v>2.5000000000000001E-2</v>
      </c>
      <c r="AC22" s="17">
        <v>2.4E-2</v>
      </c>
      <c r="AD22" s="17">
        <v>2.3E-2</v>
      </c>
      <c r="AE22" s="17">
        <v>2.1999999999999999E-2</v>
      </c>
      <c r="AF22" s="17">
        <v>2.3E-2</v>
      </c>
      <c r="AG22" s="17">
        <v>2.3E-2</v>
      </c>
      <c r="AH22" s="17">
        <v>2.3E-2</v>
      </c>
      <c r="AI22" s="17">
        <v>2.3E-2</v>
      </c>
      <c r="AJ22" s="17">
        <v>2.3E-2</v>
      </c>
      <c r="AK22" s="17">
        <v>2.3E-2</v>
      </c>
    </row>
    <row r="23" spans="1:37" x14ac:dyDescent="0.25">
      <c r="A23">
        <v>15</v>
      </c>
      <c r="N23" s="17">
        <v>2.7E-2</v>
      </c>
      <c r="O23" s="17">
        <v>2.5999999999999999E-2</v>
      </c>
      <c r="P23" s="17">
        <v>0.03</v>
      </c>
      <c r="Q23" s="17">
        <v>0.03</v>
      </c>
      <c r="R23" s="17">
        <v>3.1E-2</v>
      </c>
      <c r="S23" s="17">
        <v>3.2000000000000001E-2</v>
      </c>
      <c r="T23" s="17">
        <v>3.1E-2</v>
      </c>
      <c r="U23" s="17">
        <v>0.03</v>
      </c>
      <c r="V23" s="17">
        <v>2.9000000000000001E-2</v>
      </c>
      <c r="W23" s="17">
        <v>2.8000000000000001E-2</v>
      </c>
      <c r="X23" s="17">
        <v>2.7E-2</v>
      </c>
      <c r="Y23" s="17">
        <v>2.5999999999999999E-2</v>
      </c>
      <c r="Z23" s="17">
        <v>2.5000000000000001E-2</v>
      </c>
      <c r="AA23" s="17">
        <v>2.5000000000000001E-2</v>
      </c>
      <c r="AB23" s="17">
        <v>2.5000000000000001E-2</v>
      </c>
      <c r="AC23" s="17">
        <v>2.4E-2</v>
      </c>
      <c r="AD23" s="17">
        <v>2.3E-2</v>
      </c>
      <c r="AE23" s="17">
        <v>2.1999999999999999E-2</v>
      </c>
      <c r="AF23" s="17">
        <v>2.3E-2</v>
      </c>
      <c r="AG23" s="17">
        <v>2.3E-2</v>
      </c>
      <c r="AH23" s="17">
        <v>2.3E-2</v>
      </c>
      <c r="AI23" s="17">
        <v>2.3E-2</v>
      </c>
      <c r="AJ23" s="17">
        <v>2.3E-2</v>
      </c>
      <c r="AK23" s="17">
        <v>2.3E-2</v>
      </c>
    </row>
    <row r="24" spans="1:37" x14ac:dyDescent="0.25">
      <c r="A24">
        <v>16</v>
      </c>
      <c r="O24" s="17">
        <v>2.5999999999999999E-2</v>
      </c>
      <c r="P24" s="17">
        <v>0.03</v>
      </c>
      <c r="Q24" s="17">
        <v>0.03</v>
      </c>
      <c r="R24" s="17">
        <v>3.1E-2</v>
      </c>
      <c r="S24" s="17">
        <v>3.2000000000000001E-2</v>
      </c>
      <c r="T24" s="17">
        <v>3.1E-2</v>
      </c>
      <c r="U24" s="17">
        <v>0.03</v>
      </c>
      <c r="V24" s="17">
        <v>2.9000000000000001E-2</v>
      </c>
      <c r="W24" s="17">
        <v>2.8000000000000001E-2</v>
      </c>
      <c r="X24" s="17">
        <v>2.7E-2</v>
      </c>
      <c r="Y24" s="17">
        <v>2.5999999999999999E-2</v>
      </c>
      <c r="Z24" s="17">
        <v>2.5000000000000001E-2</v>
      </c>
      <c r="AA24" s="17">
        <v>2.5000000000000001E-2</v>
      </c>
      <c r="AB24" s="17">
        <v>2.5000000000000001E-2</v>
      </c>
      <c r="AC24" s="17">
        <v>2.4E-2</v>
      </c>
      <c r="AD24" s="17">
        <v>2.3E-2</v>
      </c>
      <c r="AE24" s="17">
        <v>2.1999999999999999E-2</v>
      </c>
      <c r="AF24" s="17">
        <v>2.3E-2</v>
      </c>
      <c r="AG24" s="17">
        <v>2.3E-2</v>
      </c>
      <c r="AH24" s="17">
        <v>2.3E-2</v>
      </c>
      <c r="AI24" s="17">
        <v>2.3E-2</v>
      </c>
      <c r="AJ24" s="17">
        <v>2.3E-2</v>
      </c>
      <c r="AK24" s="17">
        <v>2.3E-2</v>
      </c>
    </row>
    <row r="25" spans="1:37" x14ac:dyDescent="0.25">
      <c r="A25">
        <v>17</v>
      </c>
      <c r="P25" s="17">
        <v>2.4E-2</v>
      </c>
      <c r="Q25" s="17">
        <v>2.3E-2</v>
      </c>
      <c r="R25" s="17">
        <v>2.1999999999999999E-2</v>
      </c>
      <c r="S25" s="17">
        <v>2.1000000000000001E-2</v>
      </c>
      <c r="T25" s="17">
        <v>0.02</v>
      </c>
      <c r="U25" s="17">
        <v>1.9E-2</v>
      </c>
      <c r="V25" s="17">
        <v>1.7999999999999999E-2</v>
      </c>
      <c r="W25" s="17">
        <v>1.7000000000000001E-2</v>
      </c>
      <c r="X25" s="17">
        <v>1.6E-2</v>
      </c>
      <c r="Y25" s="17">
        <v>1.6E-2</v>
      </c>
      <c r="Z25" s="17">
        <v>1.4999999999999999E-2</v>
      </c>
      <c r="AA25" s="17">
        <v>1.4999999999999999E-2</v>
      </c>
      <c r="AB25" s="17">
        <v>1.4E-2</v>
      </c>
      <c r="AC25" s="17">
        <v>1.4E-2</v>
      </c>
      <c r="AD25" s="17">
        <v>1.2999999999999999E-2</v>
      </c>
      <c r="AE25" s="17">
        <v>1.2999999999999999E-2</v>
      </c>
      <c r="AF25" s="17">
        <v>1.6E-2</v>
      </c>
      <c r="AG25" s="17">
        <v>1.6E-2</v>
      </c>
      <c r="AH25" s="17">
        <v>1.7000000000000001E-2</v>
      </c>
      <c r="AI25" s="17">
        <v>1.7000000000000001E-2</v>
      </c>
      <c r="AJ25" s="17">
        <v>1.7000000000000001E-2</v>
      </c>
      <c r="AK25" s="17">
        <v>1.7000000000000001E-2</v>
      </c>
    </row>
    <row r="26" spans="1:37" x14ac:dyDescent="0.25">
      <c r="A26">
        <v>18</v>
      </c>
      <c r="Q26" s="17">
        <v>2.3E-2</v>
      </c>
      <c r="R26" s="17">
        <v>2.1999999999999999E-2</v>
      </c>
      <c r="S26" s="17">
        <v>2.1000000000000001E-2</v>
      </c>
      <c r="T26" s="17">
        <v>0.02</v>
      </c>
      <c r="U26" s="17">
        <v>1.9E-2</v>
      </c>
      <c r="V26" s="17">
        <v>1.7999999999999999E-2</v>
      </c>
      <c r="W26" s="17">
        <v>1.7000000000000001E-2</v>
      </c>
      <c r="X26" s="17">
        <v>1.6E-2</v>
      </c>
      <c r="Y26" s="17">
        <v>1.6E-2</v>
      </c>
      <c r="Z26" s="17">
        <v>1.4999999999999999E-2</v>
      </c>
      <c r="AA26" s="17">
        <v>1.4999999999999999E-2</v>
      </c>
      <c r="AB26" s="17">
        <v>1.4E-2</v>
      </c>
      <c r="AC26" s="17">
        <v>1.4E-2</v>
      </c>
      <c r="AD26" s="17">
        <v>1.2999999999999999E-2</v>
      </c>
      <c r="AE26" s="17">
        <v>1.2999999999999999E-2</v>
      </c>
      <c r="AF26" s="17">
        <v>1.6E-2</v>
      </c>
      <c r="AG26" s="17">
        <v>1.6E-2</v>
      </c>
      <c r="AH26" s="17">
        <v>1.7000000000000001E-2</v>
      </c>
      <c r="AI26" s="17">
        <v>1.7000000000000001E-2</v>
      </c>
      <c r="AJ26" s="17">
        <v>1.7000000000000001E-2</v>
      </c>
      <c r="AK26" s="17">
        <v>1.7000000000000001E-2</v>
      </c>
    </row>
    <row r="27" spans="1:37" x14ac:dyDescent="0.25">
      <c r="A27">
        <v>19</v>
      </c>
      <c r="R27" s="17">
        <v>2.1999999999999999E-2</v>
      </c>
      <c r="S27" s="17">
        <v>2.1000000000000001E-2</v>
      </c>
      <c r="T27" s="17">
        <v>0.02</v>
      </c>
      <c r="U27" s="17">
        <v>1.9E-2</v>
      </c>
      <c r="V27" s="17">
        <v>1.7999999999999999E-2</v>
      </c>
      <c r="W27" s="17">
        <v>1.7000000000000001E-2</v>
      </c>
      <c r="X27" s="17">
        <v>1.6E-2</v>
      </c>
      <c r="Y27" s="17">
        <v>1.6E-2</v>
      </c>
      <c r="Z27" s="17">
        <v>1.4999999999999999E-2</v>
      </c>
      <c r="AA27" s="17">
        <v>1.4999999999999999E-2</v>
      </c>
      <c r="AB27" s="17">
        <v>1.4E-2</v>
      </c>
      <c r="AC27" s="17">
        <v>1.4E-2</v>
      </c>
      <c r="AD27" s="17">
        <v>1.2999999999999999E-2</v>
      </c>
      <c r="AE27" s="17">
        <v>1.2999999999999999E-2</v>
      </c>
      <c r="AF27" s="17">
        <v>1.6E-2</v>
      </c>
      <c r="AG27" s="17">
        <v>1.6E-2</v>
      </c>
      <c r="AH27" s="17">
        <v>1.7000000000000001E-2</v>
      </c>
      <c r="AI27" s="17">
        <v>1.7000000000000001E-2</v>
      </c>
      <c r="AJ27" s="17">
        <v>1.7000000000000001E-2</v>
      </c>
      <c r="AK27" s="17">
        <v>1.7000000000000001E-2</v>
      </c>
    </row>
    <row r="28" spans="1:37" x14ac:dyDescent="0.25">
      <c r="A28">
        <v>20</v>
      </c>
      <c r="S28" s="17">
        <v>2.1000000000000001E-2</v>
      </c>
      <c r="T28" s="17">
        <v>0.02</v>
      </c>
      <c r="U28" s="17">
        <v>1.9E-2</v>
      </c>
      <c r="V28" s="17">
        <v>1.7999999999999999E-2</v>
      </c>
      <c r="W28" s="17">
        <v>1.7000000000000001E-2</v>
      </c>
      <c r="X28" s="17">
        <v>1.6E-2</v>
      </c>
      <c r="Y28" s="17">
        <v>1.6E-2</v>
      </c>
      <c r="Z28" s="17">
        <v>1.4999999999999999E-2</v>
      </c>
      <c r="AA28" s="17">
        <v>1.4999999999999999E-2</v>
      </c>
      <c r="AB28" s="17">
        <v>1.4E-2</v>
      </c>
      <c r="AC28" s="17">
        <v>1.4E-2</v>
      </c>
      <c r="AD28" s="17">
        <v>1.2999999999999999E-2</v>
      </c>
      <c r="AE28" s="17">
        <v>1.2999999999999999E-2</v>
      </c>
      <c r="AF28" s="17">
        <v>1.6E-2</v>
      </c>
      <c r="AG28" s="17">
        <v>1.6E-2</v>
      </c>
      <c r="AH28" s="17">
        <v>1.7000000000000001E-2</v>
      </c>
      <c r="AI28" s="17">
        <v>1.7000000000000001E-2</v>
      </c>
      <c r="AJ28" s="17">
        <v>1.7000000000000001E-2</v>
      </c>
      <c r="AK28" s="17">
        <v>1.7000000000000001E-2</v>
      </c>
    </row>
    <row r="29" spans="1:37" x14ac:dyDescent="0.25">
      <c r="A29">
        <v>21</v>
      </c>
      <c r="T29" s="17">
        <v>0.02</v>
      </c>
      <c r="U29" s="17">
        <v>1.9E-2</v>
      </c>
      <c r="V29" s="17">
        <v>1.7999999999999999E-2</v>
      </c>
      <c r="W29" s="17">
        <v>1.7000000000000001E-2</v>
      </c>
      <c r="X29" s="17">
        <v>1.6E-2</v>
      </c>
      <c r="Y29" s="17">
        <v>1.6E-2</v>
      </c>
      <c r="Z29" s="17">
        <v>1.4999999999999999E-2</v>
      </c>
      <c r="AA29" s="17">
        <v>1.4999999999999999E-2</v>
      </c>
      <c r="AB29" s="17">
        <v>1.4E-2</v>
      </c>
      <c r="AC29" s="17">
        <v>1.4E-2</v>
      </c>
      <c r="AD29" s="17">
        <v>1.2999999999999999E-2</v>
      </c>
      <c r="AE29" s="17">
        <v>1.2999999999999999E-2</v>
      </c>
      <c r="AF29" s="17">
        <v>1.6E-2</v>
      </c>
      <c r="AG29" s="17">
        <v>1.6E-2</v>
      </c>
      <c r="AH29" s="17">
        <v>1.7000000000000001E-2</v>
      </c>
      <c r="AI29" s="17">
        <v>1.7000000000000001E-2</v>
      </c>
      <c r="AJ29" s="17">
        <v>1.7000000000000001E-2</v>
      </c>
      <c r="AK29" s="17">
        <v>1.7000000000000001E-2</v>
      </c>
    </row>
    <row r="30" spans="1:37" x14ac:dyDescent="0.25">
      <c r="A30">
        <v>22</v>
      </c>
      <c r="U30" s="17">
        <v>1.9E-2</v>
      </c>
      <c r="V30" s="17">
        <v>1.7999999999999999E-2</v>
      </c>
      <c r="W30" s="17">
        <v>1.7000000000000001E-2</v>
      </c>
      <c r="X30" s="17">
        <v>1.6E-2</v>
      </c>
      <c r="Y30" s="17">
        <v>1.6E-2</v>
      </c>
      <c r="Z30" s="17">
        <v>1.4999999999999999E-2</v>
      </c>
      <c r="AA30" s="17">
        <v>1.4999999999999999E-2</v>
      </c>
      <c r="AB30" s="17">
        <v>1.4E-2</v>
      </c>
      <c r="AC30" s="17">
        <v>1.4E-2</v>
      </c>
      <c r="AD30" s="17">
        <v>1.2999999999999999E-2</v>
      </c>
      <c r="AE30" s="17">
        <v>1.2999999999999999E-2</v>
      </c>
      <c r="AF30" s="17">
        <v>1.6E-2</v>
      </c>
      <c r="AG30" s="17">
        <v>1.6E-2</v>
      </c>
      <c r="AH30" s="17">
        <v>1.7000000000000001E-2</v>
      </c>
      <c r="AI30" s="17">
        <v>1.7000000000000001E-2</v>
      </c>
      <c r="AJ30" s="17">
        <v>1.7000000000000001E-2</v>
      </c>
      <c r="AK30" s="17">
        <v>1.7000000000000001E-2</v>
      </c>
    </row>
    <row r="31" spans="1:37" x14ac:dyDescent="0.25">
      <c r="A31">
        <v>23</v>
      </c>
      <c r="V31" s="17">
        <v>1.7999999999999999E-2</v>
      </c>
      <c r="W31" s="17">
        <v>1.7000000000000001E-2</v>
      </c>
      <c r="X31" s="17">
        <v>1.6E-2</v>
      </c>
      <c r="Y31" s="17">
        <v>1.6E-2</v>
      </c>
      <c r="Z31" s="17">
        <v>1.4999999999999999E-2</v>
      </c>
      <c r="AA31" s="17">
        <v>1.4999999999999999E-2</v>
      </c>
      <c r="AB31" s="17">
        <v>1.4E-2</v>
      </c>
      <c r="AC31" s="17">
        <v>1.4E-2</v>
      </c>
      <c r="AD31" s="17">
        <v>1.2999999999999999E-2</v>
      </c>
      <c r="AE31" s="17">
        <v>1.2999999999999999E-2</v>
      </c>
      <c r="AF31" s="17">
        <v>1.6E-2</v>
      </c>
      <c r="AG31" s="17">
        <v>1.6E-2</v>
      </c>
      <c r="AH31" s="17">
        <v>1.7000000000000001E-2</v>
      </c>
      <c r="AI31" s="17">
        <v>1.7000000000000001E-2</v>
      </c>
      <c r="AJ31" s="17">
        <v>1.7000000000000001E-2</v>
      </c>
      <c r="AK31" s="17">
        <v>1.7000000000000001E-2</v>
      </c>
    </row>
    <row r="32" spans="1:37" x14ac:dyDescent="0.25">
      <c r="A32">
        <v>24</v>
      </c>
      <c r="W32" s="17">
        <v>1.7000000000000001E-2</v>
      </c>
      <c r="X32" s="17">
        <v>1.6E-2</v>
      </c>
      <c r="Y32" s="17">
        <v>1.6E-2</v>
      </c>
      <c r="Z32" s="17">
        <v>1.4999999999999999E-2</v>
      </c>
      <c r="AA32" s="17">
        <v>1.4999999999999999E-2</v>
      </c>
      <c r="AB32" s="17">
        <v>1.4E-2</v>
      </c>
      <c r="AC32" s="17">
        <v>1.4E-2</v>
      </c>
      <c r="AD32" s="17">
        <v>1.2999999999999999E-2</v>
      </c>
      <c r="AE32" s="17">
        <v>1.2999999999999999E-2</v>
      </c>
      <c r="AF32" s="17">
        <v>1.6E-2</v>
      </c>
      <c r="AG32" s="17">
        <v>1.6E-2</v>
      </c>
      <c r="AH32" s="17">
        <v>1.7000000000000001E-2</v>
      </c>
      <c r="AI32" s="17">
        <v>1.7000000000000001E-2</v>
      </c>
      <c r="AJ32" s="17">
        <v>1.7000000000000001E-2</v>
      </c>
      <c r="AK32" s="17">
        <v>1.7000000000000001E-2</v>
      </c>
    </row>
    <row r="33" spans="1:37" x14ac:dyDescent="0.25">
      <c r="A33">
        <v>25</v>
      </c>
      <c r="X33" s="17">
        <v>1.6E-2</v>
      </c>
      <c r="Y33" s="17">
        <v>1.6E-2</v>
      </c>
      <c r="Z33" s="17">
        <v>1.4999999999999999E-2</v>
      </c>
      <c r="AA33" s="17">
        <v>1.4999999999999999E-2</v>
      </c>
      <c r="AB33" s="17">
        <v>1.4E-2</v>
      </c>
      <c r="AC33" s="17">
        <v>1.4E-2</v>
      </c>
      <c r="AD33" s="17">
        <v>1.2999999999999999E-2</v>
      </c>
      <c r="AE33" s="17">
        <v>1.2999999999999999E-2</v>
      </c>
      <c r="AF33" s="17">
        <v>1.6E-2</v>
      </c>
      <c r="AG33" s="17">
        <v>1.6E-2</v>
      </c>
      <c r="AH33" s="17">
        <v>1.7000000000000001E-2</v>
      </c>
      <c r="AI33" s="17">
        <v>1.7000000000000001E-2</v>
      </c>
      <c r="AJ33" s="17">
        <v>1.7000000000000001E-2</v>
      </c>
      <c r="AK33" s="17">
        <v>1.7000000000000001E-2</v>
      </c>
    </row>
    <row r="34" spans="1:37" x14ac:dyDescent="0.25">
      <c r="A34">
        <v>26</v>
      </c>
      <c r="Y34" s="17">
        <v>1.6E-2</v>
      </c>
      <c r="Z34" s="17">
        <v>1.4999999999999999E-2</v>
      </c>
      <c r="AA34" s="17">
        <v>1.4999999999999999E-2</v>
      </c>
      <c r="AB34" s="17">
        <v>1.4E-2</v>
      </c>
      <c r="AC34" s="17">
        <v>1.4E-2</v>
      </c>
      <c r="AD34" s="17">
        <v>1.2999999999999999E-2</v>
      </c>
      <c r="AE34" s="17">
        <v>1.2999999999999999E-2</v>
      </c>
      <c r="AF34" s="17">
        <v>1.6E-2</v>
      </c>
      <c r="AG34" s="17">
        <v>1.6E-2</v>
      </c>
      <c r="AH34" s="17">
        <v>1.7000000000000001E-2</v>
      </c>
      <c r="AI34" s="17">
        <v>1.7000000000000001E-2</v>
      </c>
      <c r="AJ34" s="17">
        <v>1.7000000000000001E-2</v>
      </c>
      <c r="AK34" s="17">
        <v>1.7000000000000001E-2</v>
      </c>
    </row>
    <row r="35" spans="1:37" x14ac:dyDescent="0.25">
      <c r="A35">
        <v>27</v>
      </c>
      <c r="Z35" s="17">
        <v>1.4999999999999999E-2</v>
      </c>
      <c r="AA35" s="17">
        <v>1.4999999999999999E-2</v>
      </c>
      <c r="AB35" s="17">
        <v>1.4E-2</v>
      </c>
      <c r="AC35" s="17">
        <v>1.4E-2</v>
      </c>
      <c r="AD35" s="17">
        <v>1.2999999999999999E-2</v>
      </c>
      <c r="AE35" s="17">
        <v>1.2999999999999999E-2</v>
      </c>
      <c r="AF35" s="17">
        <v>1.6E-2</v>
      </c>
      <c r="AG35" s="17">
        <v>1.6E-2</v>
      </c>
      <c r="AH35" s="17">
        <v>1.7000000000000001E-2</v>
      </c>
      <c r="AI35" s="17">
        <v>1.7000000000000001E-2</v>
      </c>
      <c r="AJ35" s="17">
        <v>1.7000000000000001E-2</v>
      </c>
      <c r="AK35" s="17">
        <v>1.7000000000000001E-2</v>
      </c>
    </row>
    <row r="36" spans="1:37" x14ac:dyDescent="0.25">
      <c r="A36">
        <v>28</v>
      </c>
      <c r="AA36" s="17">
        <v>1.4999999999999999E-2</v>
      </c>
      <c r="AB36" s="17">
        <v>1.4E-2</v>
      </c>
      <c r="AC36" s="17">
        <v>1.4E-2</v>
      </c>
      <c r="AD36" s="17">
        <v>1.2999999999999999E-2</v>
      </c>
      <c r="AE36" s="17">
        <v>1.2999999999999999E-2</v>
      </c>
      <c r="AF36" s="17">
        <v>1.6E-2</v>
      </c>
      <c r="AG36" s="17">
        <v>1.6E-2</v>
      </c>
      <c r="AH36" s="17">
        <v>1.7000000000000001E-2</v>
      </c>
      <c r="AI36" s="17">
        <v>1.7000000000000001E-2</v>
      </c>
      <c r="AJ36" s="17">
        <v>1.7000000000000001E-2</v>
      </c>
      <c r="AK36" s="17">
        <v>1.7000000000000001E-2</v>
      </c>
    </row>
    <row r="37" spans="1:37" x14ac:dyDescent="0.25">
      <c r="A37">
        <v>29</v>
      </c>
      <c r="AB37" s="17">
        <v>1.4E-2</v>
      </c>
      <c r="AC37" s="17">
        <v>1.4E-2</v>
      </c>
      <c r="AD37" s="17">
        <v>1.2999999999999999E-2</v>
      </c>
      <c r="AE37" s="17">
        <v>1.2999999999999999E-2</v>
      </c>
      <c r="AF37" s="17">
        <v>1.6E-2</v>
      </c>
      <c r="AG37" s="17">
        <v>1.6E-2</v>
      </c>
      <c r="AH37" s="17">
        <v>1.7000000000000001E-2</v>
      </c>
      <c r="AI37" s="17">
        <v>1.7000000000000001E-2</v>
      </c>
      <c r="AJ37" s="17">
        <v>1.7000000000000001E-2</v>
      </c>
      <c r="AK37" s="17">
        <v>1.7000000000000001E-2</v>
      </c>
    </row>
    <row r="38" spans="1:37" x14ac:dyDescent="0.25">
      <c r="A38">
        <v>30</v>
      </c>
      <c r="AC38" s="17">
        <v>1.4E-2</v>
      </c>
      <c r="AD38" s="17">
        <v>1.2999999999999999E-2</v>
      </c>
      <c r="AE38" s="17">
        <v>1.2999999999999999E-2</v>
      </c>
      <c r="AF38" s="17">
        <v>1.6E-2</v>
      </c>
      <c r="AG38" s="17">
        <v>1.6E-2</v>
      </c>
      <c r="AH38" s="17">
        <v>1.7000000000000001E-2</v>
      </c>
      <c r="AI38" s="17">
        <v>1.7000000000000001E-2</v>
      </c>
      <c r="AJ38" s="17">
        <v>1.7000000000000001E-2</v>
      </c>
      <c r="AK38" s="17">
        <v>1.7000000000000001E-2</v>
      </c>
    </row>
    <row r="39" spans="1:37" x14ac:dyDescent="0.25">
      <c r="A39">
        <v>31</v>
      </c>
      <c r="AD39" s="17">
        <v>1.2999999999999999E-2</v>
      </c>
      <c r="AE39" s="17">
        <v>1.2999999999999999E-2</v>
      </c>
      <c r="AF39" s="17">
        <v>1.6E-2</v>
      </c>
      <c r="AG39" s="17">
        <v>1.6E-2</v>
      </c>
      <c r="AH39" s="17">
        <v>1.7000000000000001E-2</v>
      </c>
      <c r="AI39" s="17">
        <v>1.7000000000000001E-2</v>
      </c>
      <c r="AJ39" s="17">
        <v>1.7000000000000001E-2</v>
      </c>
      <c r="AK39" s="17">
        <v>1.7000000000000001E-2</v>
      </c>
    </row>
    <row r="40" spans="1:37" x14ac:dyDescent="0.25">
      <c r="A40">
        <v>32</v>
      </c>
      <c r="AE40" s="17">
        <v>1.2999999999999999E-2</v>
      </c>
      <c r="AF40" s="17">
        <v>1.6E-2</v>
      </c>
      <c r="AG40" s="17">
        <v>1.6E-2</v>
      </c>
      <c r="AH40" s="17">
        <v>1.7000000000000001E-2</v>
      </c>
      <c r="AI40" s="17">
        <v>1.7000000000000001E-2</v>
      </c>
      <c r="AJ40" s="17">
        <v>1.7000000000000001E-2</v>
      </c>
      <c r="AK40" s="17">
        <v>1.7000000000000001E-2</v>
      </c>
    </row>
    <row r="41" spans="1:37" x14ac:dyDescent="0.25">
      <c r="A41">
        <v>33</v>
      </c>
      <c r="AF41" s="17">
        <v>1.2999999999999999E-2</v>
      </c>
      <c r="AG41" s="17">
        <v>1.2E-2</v>
      </c>
      <c r="AH41" s="17">
        <v>1.15E-2</v>
      </c>
      <c r="AI41" s="17">
        <v>1.15E-2</v>
      </c>
      <c r="AJ41" s="17">
        <v>1.0999999999999999E-2</v>
      </c>
      <c r="AK41" s="17">
        <v>1.0999999999999999E-2</v>
      </c>
    </row>
    <row r="42" spans="1:37" x14ac:dyDescent="0.25">
      <c r="A42">
        <v>34</v>
      </c>
      <c r="AG42" s="17">
        <v>1.2E-2</v>
      </c>
      <c r="AH42" s="17">
        <v>1.15E-2</v>
      </c>
      <c r="AI42" s="17">
        <v>1.15E-2</v>
      </c>
      <c r="AJ42" s="17">
        <v>1.0999999999999999E-2</v>
      </c>
      <c r="AK42" s="17">
        <v>1.0999999999999999E-2</v>
      </c>
    </row>
    <row r="43" spans="1:37" x14ac:dyDescent="0.25">
      <c r="A43">
        <v>35</v>
      </c>
      <c r="AH43" s="17">
        <v>1.15E-2</v>
      </c>
      <c r="AI43" s="17">
        <v>1.15E-2</v>
      </c>
      <c r="AJ43" s="17">
        <v>1.0999999999999999E-2</v>
      </c>
      <c r="AK43" s="17">
        <v>1.0999999999999999E-2</v>
      </c>
    </row>
    <row r="44" spans="1:37" x14ac:dyDescent="0.25">
      <c r="A44">
        <v>36</v>
      </c>
      <c r="AI44" s="17">
        <v>1.15E-2</v>
      </c>
      <c r="AJ44" s="17">
        <v>1.0999999999999999E-2</v>
      </c>
      <c r="AK44" s="17">
        <v>1.0999999999999999E-2</v>
      </c>
    </row>
    <row r="45" spans="1:37" x14ac:dyDescent="0.25">
      <c r="A45">
        <v>37</v>
      </c>
      <c r="AJ45" s="17">
        <v>1.0999999999999999E-2</v>
      </c>
      <c r="AK45" s="17">
        <v>1.0999999999999999E-2</v>
      </c>
    </row>
    <row r="46" spans="1:37" x14ac:dyDescent="0.25">
      <c r="A46">
        <v>38</v>
      </c>
      <c r="AK46" s="17">
        <v>1.0999999999999999E-2</v>
      </c>
    </row>
    <row r="47" spans="1:37" x14ac:dyDescent="0.25">
      <c r="A47" t="s">
        <v>72</v>
      </c>
      <c r="B47" s="12">
        <f t="shared" ref="B47:AJ47" si="0">SUM(B9:B46)</f>
        <v>1</v>
      </c>
      <c r="C47" s="12">
        <f t="shared" si="0"/>
        <v>0.99999999999999989</v>
      </c>
      <c r="D47" s="12">
        <f t="shared" si="0"/>
        <v>1</v>
      </c>
      <c r="E47" s="12">
        <f t="shared" si="0"/>
        <v>1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1.0010000000000003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1.0000000000000002</v>
      </c>
      <c r="AK47" s="12">
        <f>SUM(AK9:AK46)</f>
        <v>1.0000000000000004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P31"/>
  <sheetViews>
    <sheetView workbookViewId="0">
      <selection activeCell="C2" sqref="C2"/>
    </sheetView>
  </sheetViews>
  <sheetFormatPr defaultRowHeight="15" x14ac:dyDescent="0.25"/>
  <cols>
    <col min="1" max="1" width="4.140625" customWidth="1"/>
    <col min="2" max="2" width="19.85546875" customWidth="1"/>
    <col min="3" max="5" width="9.140625" style="44"/>
    <col min="6" max="6" width="9.140625" style="2"/>
  </cols>
  <sheetData>
    <row r="1" spans="1:16" x14ac:dyDescent="0.25">
      <c r="G1" t="s">
        <v>151</v>
      </c>
      <c r="K1" t="s">
        <v>150</v>
      </c>
      <c r="O1" t="s">
        <v>131</v>
      </c>
    </row>
    <row r="2" spans="1:16" x14ac:dyDescent="0.25">
      <c r="A2" t="s">
        <v>132</v>
      </c>
      <c r="C2" s="44">
        <v>3525</v>
      </c>
      <c r="D2" s="44" t="s">
        <v>138</v>
      </c>
      <c r="F2" s="2">
        <v>1</v>
      </c>
      <c r="G2">
        <v>97</v>
      </c>
      <c r="H2">
        <f>+G2*F2</f>
        <v>97</v>
      </c>
      <c r="N2">
        <v>5</v>
      </c>
      <c r="O2">
        <v>58</v>
      </c>
      <c r="P2">
        <f>+O2*N2</f>
        <v>290</v>
      </c>
    </row>
    <row r="3" spans="1:16" x14ac:dyDescent="0.25">
      <c r="C3" s="44">
        <v>400</v>
      </c>
      <c r="D3" s="44" t="s">
        <v>139</v>
      </c>
      <c r="F3" s="2">
        <v>100</v>
      </c>
      <c r="G3">
        <v>4</v>
      </c>
      <c r="H3">
        <f>+G3*F3</f>
        <v>400</v>
      </c>
      <c r="J3" s="2">
        <v>100</v>
      </c>
      <c r="K3">
        <v>11</v>
      </c>
      <c r="L3">
        <f>+K3*J3</f>
        <v>1100</v>
      </c>
      <c r="N3">
        <v>7.5</v>
      </c>
      <c r="O3">
        <v>58</v>
      </c>
      <c r="P3">
        <f>+O3*N3</f>
        <v>435</v>
      </c>
    </row>
    <row r="4" spans="1:16" x14ac:dyDescent="0.25">
      <c r="C4" s="44">
        <v>100</v>
      </c>
      <c r="D4" s="44" t="s">
        <v>140</v>
      </c>
      <c r="F4" s="2">
        <v>50</v>
      </c>
      <c r="G4">
        <v>2</v>
      </c>
      <c r="H4">
        <f>+G4*F4</f>
        <v>100</v>
      </c>
      <c r="J4" s="2">
        <v>50</v>
      </c>
      <c r="K4">
        <v>2</v>
      </c>
      <c r="L4">
        <f>+K4*J4</f>
        <v>100</v>
      </c>
      <c r="O4" t="s">
        <v>152</v>
      </c>
      <c r="P4">
        <v>150</v>
      </c>
    </row>
    <row r="5" spans="1:16" x14ac:dyDescent="0.25">
      <c r="F5" s="2">
        <v>20</v>
      </c>
      <c r="G5">
        <v>25</v>
      </c>
      <c r="H5">
        <f>+G5*F5</f>
        <v>500</v>
      </c>
      <c r="J5" s="2">
        <v>20</v>
      </c>
      <c r="K5">
        <v>41</v>
      </c>
      <c r="L5">
        <f>+K5*J5</f>
        <v>820</v>
      </c>
      <c r="P5">
        <f>SUM(P2:P4)</f>
        <v>875</v>
      </c>
    </row>
    <row r="6" spans="1:16" x14ac:dyDescent="0.25">
      <c r="F6" s="2">
        <v>5</v>
      </c>
      <c r="G6">
        <v>12</v>
      </c>
      <c r="H6">
        <f>+G6*F6</f>
        <v>60</v>
      </c>
      <c r="J6" s="2">
        <v>5</v>
      </c>
      <c r="K6">
        <v>0</v>
      </c>
      <c r="L6">
        <f>+K6*J6</f>
        <v>0</v>
      </c>
    </row>
    <row r="7" spans="1:16" x14ac:dyDescent="0.25">
      <c r="B7" s="2"/>
      <c r="H7">
        <f>SUM(H2:H6)</f>
        <v>1157</v>
      </c>
      <c r="J7" s="2"/>
      <c r="L7">
        <f>SUM(L2:L6)</f>
        <v>2020</v>
      </c>
    </row>
    <row r="8" spans="1:16" x14ac:dyDescent="0.25">
      <c r="A8" t="s">
        <v>144</v>
      </c>
      <c r="C8" s="44">
        <v>1120</v>
      </c>
    </row>
    <row r="10" spans="1:16" x14ac:dyDescent="0.25">
      <c r="B10" s="2" t="s">
        <v>145</v>
      </c>
      <c r="C10" s="44">
        <f>SUM(C2:C9)</f>
        <v>5145</v>
      </c>
    </row>
    <row r="12" spans="1:16" x14ac:dyDescent="0.25">
      <c r="A12" t="s">
        <v>133</v>
      </c>
    </row>
    <row r="13" spans="1:16" x14ac:dyDescent="0.25">
      <c r="B13" s="2" t="s">
        <v>147</v>
      </c>
      <c r="C13" s="97">
        <v>65</v>
      </c>
    </row>
    <row r="14" spans="1:16" x14ac:dyDescent="0.25">
      <c r="B14" s="2" t="s">
        <v>148</v>
      </c>
      <c r="C14" s="97">
        <v>4</v>
      </c>
    </row>
    <row r="15" spans="1:16" x14ac:dyDescent="0.25">
      <c r="B15" s="2" t="s">
        <v>149</v>
      </c>
      <c r="C15" s="97">
        <v>58</v>
      </c>
    </row>
    <row r="16" spans="1:16" x14ac:dyDescent="0.25">
      <c r="B16" s="2"/>
      <c r="C16" s="97"/>
    </row>
    <row r="17" spans="1:4" x14ac:dyDescent="0.25">
      <c r="B17" s="2"/>
      <c r="C17" s="97"/>
    </row>
    <row r="18" spans="1:4" x14ac:dyDescent="0.25">
      <c r="B18" s="2"/>
      <c r="C18" s="97"/>
    </row>
    <row r="19" spans="1:4" x14ac:dyDescent="0.25">
      <c r="C19" s="97"/>
    </row>
    <row r="20" spans="1:4" x14ac:dyDescent="0.25">
      <c r="A20" t="s">
        <v>134</v>
      </c>
      <c r="C20" s="97">
        <f>+MainSummary!B26</f>
        <v>0</v>
      </c>
      <c r="D20" s="96" t="s">
        <v>142</v>
      </c>
    </row>
    <row r="21" spans="1:4" x14ac:dyDescent="0.25">
      <c r="B21" t="s">
        <v>141</v>
      </c>
      <c r="C21" s="97"/>
    </row>
    <row r="22" spans="1:4" x14ac:dyDescent="0.25">
      <c r="C22" s="97"/>
    </row>
    <row r="23" spans="1:4" x14ac:dyDescent="0.25">
      <c r="A23" t="s">
        <v>135</v>
      </c>
      <c r="C23" s="97"/>
    </row>
    <row r="24" spans="1:4" x14ac:dyDescent="0.25">
      <c r="B24" s="1" t="s">
        <v>136</v>
      </c>
      <c r="C24" s="97"/>
      <c r="D24" s="96" t="s">
        <v>142</v>
      </c>
    </row>
    <row r="25" spans="1:4" x14ac:dyDescent="0.25">
      <c r="B25" s="1" t="s">
        <v>137</v>
      </c>
      <c r="C25" s="97"/>
      <c r="D25" s="96" t="s">
        <v>142</v>
      </c>
    </row>
    <row r="26" spans="1:4" x14ac:dyDescent="0.25">
      <c r="C26" s="97"/>
    </row>
    <row r="27" spans="1:4" x14ac:dyDescent="0.25">
      <c r="C27" s="97"/>
    </row>
    <row r="28" spans="1:4" x14ac:dyDescent="0.25">
      <c r="C28" s="97"/>
    </row>
    <row r="29" spans="1:4" x14ac:dyDescent="0.25">
      <c r="B29" t="s">
        <v>143</v>
      </c>
      <c r="C29" s="97">
        <f>SUM(C13:C28)</f>
        <v>127</v>
      </c>
    </row>
    <row r="31" spans="1:4" x14ac:dyDescent="0.25">
      <c r="B31" t="s">
        <v>146</v>
      </c>
      <c r="C31" s="44">
        <f>+C10-C29</f>
        <v>5018</v>
      </c>
    </row>
  </sheetData>
  <pageMargins left="0.7" right="0.7" top="0.75" bottom="0.75" header="0.3" footer="0.3"/>
  <pageSetup orientation="portrait" horizontalDpi="4294967293" verticalDpi="4294967293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2:B24"/>
  <sheetViews>
    <sheetView workbookViewId="0">
      <selection activeCell="B8" sqref="B8"/>
    </sheetView>
  </sheetViews>
  <sheetFormatPr defaultRowHeight="15" x14ac:dyDescent="0.25"/>
  <sheetData>
    <row r="2" spans="1:2" x14ac:dyDescent="0.25">
      <c r="A2">
        <v>1</v>
      </c>
      <c r="B2" t="s">
        <v>154</v>
      </c>
    </row>
    <row r="3" spans="1:2" x14ac:dyDescent="0.25">
      <c r="A3">
        <v>2</v>
      </c>
      <c r="B3" t="s">
        <v>155</v>
      </c>
    </row>
    <row r="4" spans="1:2" x14ac:dyDescent="0.25">
      <c r="A4">
        <v>3</v>
      </c>
      <c r="B4" t="s">
        <v>160</v>
      </c>
    </row>
    <row r="5" spans="1:2" x14ac:dyDescent="0.25">
      <c r="A5">
        <v>4</v>
      </c>
      <c r="B5" t="s">
        <v>161</v>
      </c>
    </row>
    <row r="6" spans="1:2" x14ac:dyDescent="0.25">
      <c r="A6">
        <v>5</v>
      </c>
      <c r="B6" t="s">
        <v>162</v>
      </c>
    </row>
    <row r="7" spans="1:2" x14ac:dyDescent="0.25">
      <c r="A7">
        <v>6</v>
      </c>
      <c r="B7" t="s">
        <v>163</v>
      </c>
    </row>
    <row r="8" spans="1:2" x14ac:dyDescent="0.25">
      <c r="A8">
        <v>7</v>
      </c>
      <c r="B8" t="s">
        <v>164</v>
      </c>
    </row>
    <row r="10" spans="1:2" x14ac:dyDescent="0.25">
      <c r="B10" s="10"/>
    </row>
    <row r="11" spans="1:2" x14ac:dyDescent="0.25">
      <c r="B11" s="10"/>
    </row>
    <row r="12" spans="1:2" x14ac:dyDescent="0.25">
      <c r="B12" s="13"/>
    </row>
    <row r="13" spans="1:2" x14ac:dyDescent="0.25">
      <c r="B13" s="13"/>
    </row>
    <row r="14" spans="1:2" x14ac:dyDescent="0.25">
      <c r="B14" s="10"/>
    </row>
    <row r="15" spans="1:2" x14ac:dyDescent="0.25">
      <c r="B15" s="10"/>
    </row>
    <row r="16" spans="1:2" x14ac:dyDescent="0.25">
      <c r="B16" s="10"/>
    </row>
    <row r="17" spans="2:2" x14ac:dyDescent="0.25">
      <c r="B17" s="10"/>
    </row>
    <row r="18" spans="2:2" x14ac:dyDescent="0.25">
      <c r="B18" s="10"/>
    </row>
    <row r="19" spans="2:2" x14ac:dyDescent="0.25">
      <c r="B19" s="10"/>
    </row>
    <row r="20" spans="2:2" x14ac:dyDescent="0.25">
      <c r="B20" s="10"/>
    </row>
    <row r="21" spans="2:2" x14ac:dyDescent="0.25">
      <c r="B21" s="10"/>
    </row>
    <row r="22" spans="2:2" x14ac:dyDescent="0.25">
      <c r="B22" s="10"/>
    </row>
    <row r="23" spans="2:2" x14ac:dyDescent="0.25">
      <c r="B23" s="10"/>
    </row>
    <row r="24" spans="2:2" x14ac:dyDescent="0.25">
      <c r="B24" s="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55</vt:i4>
      </vt:variant>
    </vt:vector>
  </HeadingPairs>
  <TitlesOfParts>
    <vt:vector size="64" baseType="lpstr">
      <vt:lpstr>MainSummary</vt:lpstr>
      <vt:lpstr>Expenses</vt:lpstr>
      <vt:lpstr>PlayerBenefits</vt:lpstr>
      <vt:lpstr>BracketPayOffs</vt:lpstr>
      <vt:lpstr>PayOffSignOff</vt:lpstr>
      <vt:lpstr>PayOffTable</vt:lpstr>
      <vt:lpstr>PayOffTable4Places</vt:lpstr>
      <vt:lpstr>CashInOut</vt:lpstr>
      <vt:lpstr>Notes</vt:lpstr>
      <vt:lpstr>FMFBenefitsAllEntryFields</vt:lpstr>
      <vt:lpstr>FMFBenefitsEntries</vt:lpstr>
      <vt:lpstr>FMFBracketPayOffsAllEntry</vt:lpstr>
      <vt:lpstr>FMFBracketPayOffsBracketHdr</vt:lpstr>
      <vt:lpstr>FMFBracketPayOffsFirstPlace</vt:lpstr>
      <vt:lpstr>FMFBracketPayOffsFirstPlacePayOff</vt:lpstr>
      <vt:lpstr>FMFBracketPayOffsPayOffsHdr</vt:lpstr>
      <vt:lpstr>FMFExpensesAllentryFields</vt:lpstr>
      <vt:lpstr>FMFMainPayoutsQualifiersHdr</vt:lpstr>
      <vt:lpstr>FMFMiscExpensesEntries</vt:lpstr>
      <vt:lpstr>FMFMiscExpensesTotal</vt:lpstr>
      <vt:lpstr>FMFPayOffSignOffAllEntry</vt:lpstr>
      <vt:lpstr>FMFPayOffSignOffAmountHdr</vt:lpstr>
      <vt:lpstr>FMFPayOffSignOffBracketHdr</vt:lpstr>
      <vt:lpstr>FMFPayoffTablePercentOrigin</vt:lpstr>
      <vt:lpstr>FMFPayoffTableQualifiersHdr</vt:lpstr>
      <vt:lpstr>FMFPayoutsFirstPlacePayout</vt:lpstr>
      <vt:lpstr>FMFPayoutsHdr</vt:lpstr>
      <vt:lpstr>FMFPlayerBenefitsAllEntryFields</vt:lpstr>
      <vt:lpstr>FMFPlayerBenefitsTotal</vt:lpstr>
      <vt:lpstr>FMFSummaryAccFee</vt:lpstr>
      <vt:lpstr>FMFSummaryAdjEntries</vt:lpstr>
      <vt:lpstr>FMFsummaryAdjustments</vt:lpstr>
      <vt:lpstr>FMFSummaryAdjustmentsHdr</vt:lpstr>
      <vt:lpstr>FMFSummaryAllInput</vt:lpstr>
      <vt:lpstr>FMFSummaryAvailablePool</vt:lpstr>
      <vt:lpstr>FMFSummaryBracketsHdr</vt:lpstr>
      <vt:lpstr>FMFSummaryCalcTable</vt:lpstr>
      <vt:lpstr>FMFSummaryDonation</vt:lpstr>
      <vt:lpstr>FMFSummaryEntryFee</vt:lpstr>
      <vt:lpstr>FMFSummaryFinalHdr</vt:lpstr>
      <vt:lpstr>FMFSummaryFixedDonation</vt:lpstr>
      <vt:lpstr>FMFSummaryLocationXP</vt:lpstr>
      <vt:lpstr>FMFSummaryNonBenefitExpenses</vt:lpstr>
      <vt:lpstr>FMFSummaryPercentsHdr</vt:lpstr>
      <vt:lpstr>FMFSummaryPerPlayer</vt:lpstr>
      <vt:lpstr>FMFSummaryPerPlayerExpenseAllowed</vt:lpstr>
      <vt:lpstr>FMFSummaryPlayerBenefitXP</vt:lpstr>
      <vt:lpstr>FMFSummaryPlayerCount</vt:lpstr>
      <vt:lpstr>FMFSummaryPrintAreaOrigin</vt:lpstr>
      <vt:lpstr>FMFSummaryPrizePool</vt:lpstr>
      <vt:lpstr>FMFSummaryQualifierCount</vt:lpstr>
      <vt:lpstr>FMFSummaryRankHdr</vt:lpstr>
      <vt:lpstr>FMFSummaryRawHdr</vt:lpstr>
      <vt:lpstr>FMFSummaryRoundedHdr</vt:lpstr>
      <vt:lpstr>FMFSummaryRoundedPrizePool</vt:lpstr>
      <vt:lpstr>FMFSummarySanctioningFee</vt:lpstr>
      <vt:lpstr>FMFSummaryTourneyDate</vt:lpstr>
      <vt:lpstr>FMFSummaryTourneyInfo</vt:lpstr>
      <vt:lpstr>FMFSummaryTourneyName</vt:lpstr>
      <vt:lpstr>FMFsummaryTourneyPayoffArea</vt:lpstr>
      <vt:lpstr>BracketPayOffs!Print_Area</vt:lpstr>
      <vt:lpstr>Expenses!Print_Area</vt:lpstr>
      <vt:lpstr>MainSummary!Print_Area</vt:lpstr>
      <vt:lpstr>PlayerBenefits!Print_Area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2026-01-29T02:05:29Z</cp:lastPrinted>
  <dcterms:created xsi:type="dcterms:W3CDTF">2014-06-07T17:42:48Z</dcterms:created>
  <dcterms:modified xsi:type="dcterms:W3CDTF">2026-04-17T18:30:38Z</dcterms:modified>
</cp:coreProperties>
</file>