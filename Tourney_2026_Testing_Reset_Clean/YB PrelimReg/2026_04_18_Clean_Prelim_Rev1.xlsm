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YB PrelimReg\"/>
    </mc:Choice>
  </mc:AlternateContent>
  <xr:revisionPtr revIDLastSave="0" documentId="13_ncr:1_{7CA43083-4C59-4080-979A-91EECAF49E92}" xr6:coauthVersionLast="47" xr6:coauthVersionMax="47" xr10:uidLastSave="{00000000-0000-0000-0000-000000000000}"/>
  <bookViews>
    <workbookView xWindow="-27795" yWindow="315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1" i="1" l="1"/>
  <c r="S41" i="1"/>
  <c r="O53" i="1"/>
  <c r="S53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<sst xmlns="http://schemas.openxmlformats.org/spreadsheetml/2006/main" count="1071" uniqueCount="808">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</sst>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>
      <alignment horizontal="center"/>
    </xf>
    <xf numFmtId="0" fontId="21" fillId="0" borderId="13" xfId="0" applyFont="1" applyBorder="1"/>
    <xf numFmtId="0" fontId="21" fillId="0" borderId="0" xfId="0" applyFont="1" applyProtection="1">
      <protection locked="0"/>
    </xf>
    <xf numFmtId="1" fontId="24" fillId="2" borderId="1" xfId="0" applyNumberFormat="1" applyFont="1" applyFill="1" applyBorder="1" applyAlignment="1" applyProtection="1">
      <alignment horizontal="center"/>
      <protection locked="0"/>
    </xf>
    <xf numFmtId="0" fontId="24" fillId="2" borderId="1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1" fontId="21" fillId="2" borderId="1" xfId="0" applyNumberFormat="1" applyFont="1" applyFill="1" applyBorder="1" applyAlignment="1" applyProtection="1">
      <alignment horizontal="center"/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114300</xdr:rowOff>
        </xdr:from>
        <xdr:to>
          <xdr:col>8</xdr:col>
          <xdr:colOff>19050</xdr:colOff>
          <xdr:row>8</xdr:row>
          <xdr:rowOff>190500</xdr:rowOff>
        </xdr:to>
        <xdr:sp macro="" textlink="">
          <xdr:nvSpPr>
            <xdr:cNvPr id="1070" name="SortPool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114300</xdr:rowOff>
        </xdr:from>
        <xdr:to>
          <xdr:col>9</xdr:col>
          <xdr:colOff>9525</xdr:colOff>
          <xdr:row>8</xdr:row>
          <xdr:rowOff>190500</xdr:rowOff>
        </xdr:to>
        <xdr:sp macro="" textlink="">
          <xdr:nvSpPr>
            <xdr:cNvPr id="1071" name="SortPool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7</xdr:row>
          <xdr:rowOff>114300</xdr:rowOff>
        </xdr:from>
        <xdr:to>
          <xdr:col>9</xdr:col>
          <xdr:colOff>561975</xdr:colOff>
          <xdr:row>8</xdr:row>
          <xdr:rowOff>190500</xdr:rowOff>
        </xdr:to>
        <xdr:sp macro="" textlink="">
          <xdr:nvSpPr>
            <xdr:cNvPr id="1072" name="SortPool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114300</xdr:rowOff>
        </xdr:from>
        <xdr:to>
          <xdr:col>10</xdr:col>
          <xdr:colOff>447675</xdr:colOff>
          <xdr:row>8</xdr:row>
          <xdr:rowOff>190500</xdr:rowOff>
        </xdr:to>
        <xdr:sp macro="" textlink="">
          <xdr:nvSpPr>
            <xdr:cNvPr id="1074" name="SortPool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93" Type="http://schemas.openxmlformats.org/officeDocument/2006/relationships/ctrlProp" Target="../ctrlProps/ctrlProp28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91" Type="http://schemas.openxmlformats.org/officeDocument/2006/relationships/ctrlProp" Target="../ctrlProps/ctrlProp2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94" Type="http://schemas.openxmlformats.org/officeDocument/2006/relationships/ctrlProp" Target="../ctrlProps/ctrlProp29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7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3" t="s">
        <v>550</v>
      </c>
      <c r="D1" s="134"/>
      <c r="E1" s="135"/>
      <c r="F1" s="35"/>
      <c r="G1" s="35"/>
      <c r="H1" s="35"/>
    </row>
    <row r="2" spans="1:8" ht="15.75" thickBot="1"/>
    <row r="3" spans="1:8" ht="16.5" thickBot="1">
      <c r="A3" s="28" t="s">
        <v>532</v>
      </c>
      <c r="C3" s="138" t="s">
        <v>622</v>
      </c>
      <c r="D3" s="139"/>
      <c r="E3" s="139"/>
      <c r="F3" s="139"/>
      <c r="G3" s="140"/>
    </row>
    <row r="4" spans="1:8" ht="15.75" thickBot="1"/>
    <row r="5" spans="1:8" ht="16.5" thickBot="1">
      <c r="A5" s="28" t="s">
        <v>533</v>
      </c>
      <c r="C5" s="138" t="s">
        <v>623</v>
      </c>
      <c r="D5" s="139"/>
      <c r="E5" s="139"/>
      <c r="F5" s="139"/>
      <c r="G5" s="140"/>
    </row>
    <row r="6" spans="1:8" ht="15.75" thickBot="1"/>
    <row r="7" spans="1:8" ht="16.5" thickBot="1">
      <c r="A7" s="28" t="s">
        <v>534</v>
      </c>
      <c r="C7" s="138" t="s">
        <v>624</v>
      </c>
      <c r="D7" s="139"/>
      <c r="E7" s="139"/>
      <c r="F7" s="139"/>
      <c r="G7" s="140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6" t="s">
        <v>625</v>
      </c>
      <c r="D11" s="137"/>
      <c r="E11" s="136" t="s">
        <v>626</v>
      </c>
      <c r="F11" s="137"/>
      <c r="G11" s="136" t="s">
        <v>627</v>
      </c>
      <c r="H11" s="137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6" t="s">
        <v>628</v>
      </c>
      <c r="D13" s="137"/>
      <c r="E13" s="136" t="s">
        <v>629</v>
      </c>
      <c r="F13" s="137"/>
      <c r="G13" s="136" t="s">
        <v>630</v>
      </c>
      <c r="H13" s="137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6" t="s">
        <v>349</v>
      </c>
      <c r="D15" s="137"/>
      <c r="E15" s="136" t="s">
        <v>631</v>
      </c>
      <c r="F15" s="137"/>
      <c r="G15" s="136" t="s">
        <v>494</v>
      </c>
      <c r="H15" s="137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2" t="s">
        <v>550</v>
      </c>
      <c r="D2" s="143"/>
      <c r="E2" s="143"/>
      <c r="F2" s="143"/>
      <c r="G2" s="144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1" t="str">
        <f>Tourney!$C$3</f>
        <v>Napa Wine Country Open</v>
      </c>
      <c r="C4" s="141"/>
      <c r="D4" s="141"/>
      <c r="E4" s="141"/>
      <c r="F4" s="141"/>
    </row>
    <row r="5" spans="1:7">
      <c r="A5" s="19" t="s">
        <v>552</v>
      </c>
      <c r="B5" s="146" t="str">
        <f>Tourney!$C$5</f>
        <v>The Moose Lodge</v>
      </c>
      <c r="C5" s="146"/>
      <c r="D5" s="146"/>
      <c r="E5" s="146"/>
      <c r="F5" s="146"/>
    </row>
    <row r="6" spans="1:7">
      <c r="A6" s="19" t="s">
        <v>554</v>
      </c>
      <c r="B6" s="146" t="str">
        <f>Tourney!$C$7</f>
        <v>Napa, Ca, 94558</v>
      </c>
      <c r="C6" s="146"/>
      <c r="D6" s="146"/>
      <c r="E6" s="146"/>
      <c r="F6" s="146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5" t="s">
        <v>551</v>
      </c>
      <c r="D15" s="145"/>
      <c r="E15" s="145"/>
      <c r="F15" s="145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defaultColWidth="9.140625" defaultRowHeight="15"/>
  <cols>
    <col min="1" max="1" width="8.710937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9" t="str">
        <f>Tourney!$C$3</f>
        <v>Napa Wine Country Open</v>
      </c>
      <c r="L2" s="129"/>
      <c r="M2" s="129"/>
      <c r="N2" s="129"/>
    </row>
    <row r="3" spans="1:26" ht="16.5" customHeight="1">
      <c r="A3" s="50" t="s">
        <v>526</v>
      </c>
      <c r="B3"/>
      <c r="C3"/>
      <c r="H3" s="11" t="s">
        <v>544</v>
      </c>
      <c r="I3" s="11"/>
      <c r="K3" s="129" t="str">
        <f>Tourney!$C$5</f>
        <v>The Moose Lodge</v>
      </c>
      <c r="L3" s="129"/>
      <c r="M3" s="129"/>
      <c r="N3" s="129"/>
    </row>
    <row r="4" spans="1:26" ht="16.5" customHeight="1">
      <c r="A4" s="9"/>
      <c r="H4" s="11" t="s">
        <v>543</v>
      </c>
      <c r="I4" s="11"/>
      <c r="K4" s="129" t="str">
        <f>Tourney!$C$7</f>
        <v>Napa, Ca, 94558</v>
      </c>
      <c r="L4" s="129"/>
      <c r="M4" s="129"/>
      <c r="N4" s="129"/>
    </row>
    <row r="5" spans="1:26" ht="16.5" customHeight="1">
      <c r="A5" s="9"/>
      <c r="H5" s="11" t="s">
        <v>535</v>
      </c>
      <c r="I5" s="11"/>
      <c r="K5" s="130">
        <f>Tourney!$C$9</f>
        <v>46130</v>
      </c>
      <c r="L5" s="130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1" t="s">
        <v>799</v>
      </c>
      <c r="V9" s="132"/>
      <c r="X9" s="119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41</v>
      </c>
      <c r="I10" s="66">
        <f t="shared" si="0"/>
        <v>30</v>
      </c>
      <c r="J10" s="66">
        <f t="shared" si="0"/>
        <v>35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128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3" t="s">
        <v>744</v>
      </c>
      <c r="H12" s="127"/>
      <c r="I12" s="128"/>
      <c r="J12" s="128"/>
      <c r="K12" s="128"/>
      <c r="L12" s="89"/>
      <c r="M12" s="89"/>
      <c r="N12" s="89"/>
      <c r="O12" s="95">
        <f t="shared" ref="O12:O42" si="2">T12*N12</f>
        <v>0</v>
      </c>
      <c r="P12" s="89" t="s">
        <v>692</v>
      </c>
      <c r="Q12" s="89">
        <v>3488</v>
      </c>
      <c r="R12" s="96">
        <f t="shared" ref="R12:R30" si="3">IF(OR(P12="c",P12="C"),+T12,"")</f>
        <v>70</v>
      </c>
      <c r="S12" s="96" t="str">
        <f t="shared" ref="S12:S30" si="4">IF(OR(P12="$",N12=1),+T12,"")</f>
        <v/>
      </c>
      <c r="T12" s="116">
        <f>H12*[0]!FMainPool1Fee+I12*[0]!FMainPool2Fee+J12*[0]!FMainPool3Fee+K12*[0]!FMainPool4Fee+B12*[0]!FMainEntryFee</f>
        <v>70</v>
      </c>
      <c r="U12" s="117"/>
      <c r="V12" s="118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128">
        <v>1</v>
      </c>
      <c r="C13" s="90" t="s">
        <v>789</v>
      </c>
      <c r="D13" s="90" t="s">
        <v>790</v>
      </c>
      <c r="E13" s="91" t="s">
        <v>584</v>
      </c>
      <c r="F13" s="92"/>
      <c r="G13" s="113"/>
      <c r="H13" s="127"/>
      <c r="I13" s="128"/>
      <c r="J13" s="128"/>
      <c r="K13" s="128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6">
        <f>H13*[0]!FMainPool1Fee+I13*[0]!FMainPool2Fee+J13*[0]!FMainPool3Fee+K13*[0]!FMainPool4Fee+B13*[0]!FMainEntryFee</f>
        <v>70</v>
      </c>
      <c r="U13" s="117"/>
      <c r="V13" s="118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128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3" t="s">
        <v>793</v>
      </c>
      <c r="H14" s="127"/>
      <c r="I14" s="128"/>
      <c r="J14" s="128"/>
      <c r="K14" s="128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6">
        <f>H14*[0]!FMainPool1Fee+I14*[0]!FMainPool2Fee+J14*[0]!FMainPool3Fee+K14*[0]!FMainPool4Fee+B14*[0]!FMainEntryFee</f>
        <v>70</v>
      </c>
      <c r="U14" s="117"/>
      <c r="V14" s="118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128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3" t="s">
        <v>796</v>
      </c>
      <c r="H15" s="127"/>
      <c r="I15" s="128"/>
      <c r="J15" s="128"/>
      <c r="K15" s="128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6">
        <f>H15*[0]!FMainPool1Fee+I15*[0]!FMainPool2Fee+J15*[0]!FMainPool3Fee+K15*[0]!FMainPool4Fee+B15*[0]!FMainEntryFee</f>
        <v>70</v>
      </c>
      <c r="U15" s="117"/>
      <c r="V15" s="118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128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127">
        <v>1</v>
      </c>
      <c r="I16" s="128"/>
      <c r="J16" s="128">
        <v>1</v>
      </c>
      <c r="K16" s="128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6">
        <f>H16*[0]!FMainPool1Fee+I16*[0]!FMainPool2Fee+J16*[0]!FMainPool3Fee+K16*[0]!FMainPool4Fee+B16*[0]!FMainEntryFee</f>
        <v>100</v>
      </c>
      <c r="U16" s="117"/>
      <c r="V16" s="118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128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127">
        <v>1</v>
      </c>
      <c r="I17" s="128"/>
      <c r="J17" s="128">
        <v>1</v>
      </c>
      <c r="K17" s="128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6">
        <f>H17*[0]!FMainPool1Fee+I17*[0]!FMainPool2Fee+J17*[0]!FMainPool3Fee+K17*[0]!FMainPool4Fee+B17*[0]!FMainEntryFee</f>
        <v>100</v>
      </c>
      <c r="U17" s="117"/>
      <c r="V17" s="118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128">
        <v>1</v>
      </c>
      <c r="C18" s="101" t="s">
        <v>757</v>
      </c>
      <c r="D18" s="101" t="s">
        <v>9</v>
      </c>
      <c r="E18" s="102" t="s">
        <v>759</v>
      </c>
      <c r="F18" s="105">
        <v>7076856206</v>
      </c>
      <c r="G18" s="114" t="s">
        <v>760</v>
      </c>
      <c r="H18" s="127"/>
      <c r="I18" s="128"/>
      <c r="J18" s="128"/>
      <c r="K18" s="128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6">
        <f>H18*[0]!FMainPool1Fee+I18*[0]!FMainPool2Fee+J18*[0]!FMainPool3Fee+K18*[0]!FMainPool4Fee+B18*[0]!FMainEntryFee</f>
        <v>70</v>
      </c>
      <c r="U18" s="117"/>
      <c r="V18" s="118"/>
      <c r="W18" s="66"/>
      <c r="X18" s="97"/>
      <c r="Y18" s="97"/>
      <c r="Z18" s="98"/>
    </row>
    <row r="19" spans="1:26" ht="15" customHeight="1">
      <c r="A19" s="88">
        <f t="shared" si="1"/>
        <v>8</v>
      </c>
      <c r="B19" s="128">
        <v>1</v>
      </c>
      <c r="C19" s="101" t="s">
        <v>758</v>
      </c>
      <c r="D19" s="101" t="s">
        <v>9</v>
      </c>
      <c r="E19" s="102" t="s">
        <v>761</v>
      </c>
      <c r="F19" s="105">
        <v>7076856206</v>
      </c>
      <c r="G19" s="114" t="s">
        <v>760</v>
      </c>
      <c r="H19" s="127"/>
      <c r="I19" s="128"/>
      <c r="J19" s="128"/>
      <c r="K19" s="128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6">
        <f>H19*[0]!FMainPool1Fee+I19*[0]!FMainPool2Fee+J19*[0]!FMainPool3Fee+K19*[0]!FMainPool4Fee+B19*[0]!FMainEntryFee</f>
        <v>70</v>
      </c>
      <c r="U19" s="117"/>
      <c r="V19" s="118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128">
        <v>1</v>
      </c>
      <c r="C20" s="90" t="s">
        <v>734</v>
      </c>
      <c r="D20" s="90" t="s">
        <v>87</v>
      </c>
      <c r="E20" s="91" t="s">
        <v>457</v>
      </c>
      <c r="F20" s="105" t="s">
        <v>490</v>
      </c>
      <c r="G20" s="125" t="s">
        <v>491</v>
      </c>
      <c r="H20" s="127">
        <v>1</v>
      </c>
      <c r="I20" s="128">
        <v>1</v>
      </c>
      <c r="J20" s="128">
        <v>1</v>
      </c>
      <c r="K20" s="128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6">
        <f>H20*[0]!FMainPool1Fee+I20*[0]!FMainPool2Fee+J20*[0]!FMainPool3Fee+K20*[0]!FMainPool4Fee+B20*[0]!FMainEntryFee</f>
        <v>160</v>
      </c>
      <c r="U20" s="117"/>
      <c r="V20" s="118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128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127">
        <v>1</v>
      </c>
      <c r="I21" s="128">
        <v>1</v>
      </c>
      <c r="J21" s="128">
        <v>1</v>
      </c>
      <c r="K21" s="128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6">
        <f>H21*[0]!FMainPool1Fee+I21*[0]!FMainPool2Fee+J21*[0]!FMainPool3Fee+K21*[0]!FMainPool4Fee+B21*[0]!FMainEntryFee</f>
        <v>160</v>
      </c>
      <c r="U21" s="117"/>
      <c r="V21" s="118"/>
      <c r="W21" s="66"/>
      <c r="X21" s="97"/>
      <c r="Y21" s="97"/>
      <c r="Z21" s="98"/>
    </row>
    <row r="22" spans="1:26" ht="15" customHeight="1">
      <c r="A22" s="88">
        <f t="shared" si="1"/>
        <v>11</v>
      </c>
      <c r="B22" s="128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3" t="s">
        <v>756</v>
      </c>
      <c r="H22" s="127">
        <v>1</v>
      </c>
      <c r="I22" s="128"/>
      <c r="J22" s="128"/>
      <c r="K22" s="128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6">
        <f>H22*[0]!FMainPool1Fee+I22*[0]!FMainPool2Fee+J22*[0]!FMainPool3Fee+K22*[0]!FMainPool4Fee+B22*[0]!FMainEntryFee</f>
        <v>80</v>
      </c>
      <c r="U22" s="117"/>
      <c r="V22" s="118"/>
      <c r="W22" s="66"/>
      <c r="X22" s="97"/>
      <c r="Y22" s="97"/>
      <c r="Z22" s="98"/>
    </row>
    <row r="23" spans="1:26" ht="15" customHeight="1">
      <c r="A23" s="88">
        <f t="shared" si="1"/>
        <v>12</v>
      </c>
      <c r="B23" s="128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3" t="s">
        <v>778</v>
      </c>
      <c r="H23" s="127"/>
      <c r="I23" s="128"/>
      <c r="J23" s="128"/>
      <c r="K23" s="128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6">
        <f>H23*[0]!FMainPool1Fee+I23*[0]!FMainPool2Fee+J23*[0]!FMainPool3Fee+K23*[0]!FMainPool4Fee+B23*[0]!FMainEntryFee</f>
        <v>70</v>
      </c>
      <c r="U23" s="117"/>
      <c r="V23" s="118"/>
      <c r="W23" s="66"/>
      <c r="X23" s="97"/>
      <c r="Y23" s="97"/>
      <c r="Z23" s="98"/>
    </row>
    <row r="24" spans="1:26" ht="15" customHeight="1">
      <c r="A24" s="88">
        <f t="shared" si="1"/>
        <v>13</v>
      </c>
      <c r="B24" s="128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5" t="s">
        <v>772</v>
      </c>
      <c r="H24" s="127">
        <v>1</v>
      </c>
      <c r="I24" s="128"/>
      <c r="J24" s="128"/>
      <c r="K24" s="128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6">
        <f>H24*[0]!FMainPool1Fee+I24*[0]!FMainPool2Fee+J24*[0]!FMainPool3Fee+K24*[0]!FMainPool4Fee+B24*[0]!FMainEntryFee</f>
        <v>80</v>
      </c>
      <c r="U24" s="117"/>
      <c r="V24" s="118"/>
      <c r="W24" s="66"/>
      <c r="X24" s="97"/>
      <c r="Y24" s="97"/>
      <c r="Z24" s="98"/>
    </row>
    <row r="25" spans="1:26" ht="15" customHeight="1">
      <c r="A25" s="88">
        <f t="shared" si="1"/>
        <v>14</v>
      </c>
      <c r="B25" s="128">
        <v>1</v>
      </c>
      <c r="C25" s="103" t="s">
        <v>570</v>
      </c>
      <c r="D25" s="103" t="s">
        <v>97</v>
      </c>
      <c r="E25" s="108" t="s">
        <v>571</v>
      </c>
      <c r="F25" s="105">
        <v>5305666454</v>
      </c>
      <c r="G25" s="109" t="s">
        <v>675</v>
      </c>
      <c r="H25" s="127">
        <v>1</v>
      </c>
      <c r="I25" s="128">
        <v>1</v>
      </c>
      <c r="J25" s="128">
        <v>1</v>
      </c>
      <c r="K25" s="128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6">
        <f>H25*[0]!FMainPool1Fee+I25*[0]!FMainPool2Fee+J25*[0]!FMainPool3Fee+K25*[0]!FMainPool4Fee+B25*[0]!FMainEntryFee</f>
        <v>160</v>
      </c>
      <c r="U25" s="117"/>
      <c r="V25" s="118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128">
        <v>1</v>
      </c>
      <c r="C26" s="101" t="s">
        <v>645</v>
      </c>
      <c r="D26" s="101" t="s">
        <v>40</v>
      </c>
      <c r="E26" s="102" t="s">
        <v>646</v>
      </c>
      <c r="F26" s="110">
        <v>7075994896</v>
      </c>
      <c r="G26" s="109" t="s">
        <v>647</v>
      </c>
      <c r="H26" s="127">
        <v>1</v>
      </c>
      <c r="I26" s="128">
        <v>1</v>
      </c>
      <c r="J26" s="128">
        <v>1</v>
      </c>
      <c r="K26" s="128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6">
        <f>H26*[0]!FMainPool1Fee+I26*[0]!FMainPool2Fee+J26*[0]!FMainPool3Fee+K26*[0]!FMainPool4Fee+B26*[0]!FMainEntryFee</f>
        <v>110</v>
      </c>
      <c r="U26" s="117"/>
      <c r="V26" s="118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128">
        <v>1</v>
      </c>
      <c r="C27" s="90" t="s">
        <v>707</v>
      </c>
      <c r="D27" s="90" t="s">
        <v>708</v>
      </c>
      <c r="E27" s="91" t="s">
        <v>709</v>
      </c>
      <c r="F27" s="106">
        <v>9257272271</v>
      </c>
      <c r="G27" s="112" t="s">
        <v>710</v>
      </c>
      <c r="H27" s="127"/>
      <c r="I27" s="128"/>
      <c r="J27" s="128"/>
      <c r="K27" s="128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6">
        <f>H27*[0]!FMainPool1Fee+I27*[0]!FMainPool2Fee+J27*[0]!FMainPool3Fee+K27*[0]!FMainPool4Fee+B27*[0]!FMainEntryFee</f>
        <v>70</v>
      </c>
      <c r="U27" s="117"/>
      <c r="V27" s="118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128">
        <v>1</v>
      </c>
      <c r="C28" s="90" t="s">
        <v>263</v>
      </c>
      <c r="D28" s="90" t="s">
        <v>32</v>
      </c>
      <c r="E28" s="91" t="s">
        <v>264</v>
      </c>
      <c r="F28" s="106">
        <v>7074168199</v>
      </c>
      <c r="G28" s="115" t="s">
        <v>775</v>
      </c>
      <c r="H28" s="127">
        <v>1</v>
      </c>
      <c r="I28" s="128">
        <v>1</v>
      </c>
      <c r="J28" s="128"/>
      <c r="K28" s="128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6">
        <f>H28*[0]!FMainPool1Fee+I28*[0]!FMainPool2Fee+J28*[0]!FMainPool3Fee+K28*[0]!FMainPool4Fee+B28*[0]!FMainEntryFee</f>
        <v>90</v>
      </c>
      <c r="U28" s="117"/>
      <c r="V28" s="118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128">
        <v>1</v>
      </c>
      <c r="C29" s="90" t="s">
        <v>738</v>
      </c>
      <c r="D29" s="90" t="s">
        <v>5</v>
      </c>
      <c r="E29" s="91" t="s">
        <v>739</v>
      </c>
      <c r="F29" s="106">
        <v>7072252742</v>
      </c>
      <c r="G29" s="113" t="s">
        <v>740</v>
      </c>
      <c r="H29" s="127">
        <v>1</v>
      </c>
      <c r="I29" s="128">
        <v>1</v>
      </c>
      <c r="J29" s="128">
        <v>1</v>
      </c>
      <c r="K29" s="128">
        <v>1</v>
      </c>
      <c r="L29" s="89"/>
      <c r="M29" s="89"/>
      <c r="N29" s="89"/>
      <c r="O29" s="95">
        <f t="shared" si="2"/>
        <v>0</v>
      </c>
      <c r="P29" s="89" t="s">
        <v>741</v>
      </c>
      <c r="Q29" s="89"/>
      <c r="R29" s="96" t="str">
        <f t="shared" si="3"/>
        <v/>
      </c>
      <c r="S29" s="96">
        <f t="shared" si="4"/>
        <v>160</v>
      </c>
      <c r="T29" s="116">
        <f>H29*[0]!FMainPool1Fee+I29*[0]!FMainPool2Fee+J29*[0]!FMainPool3Fee+K29*[0]!FMainPool4Fee+B29*[0]!FMainEntryFee</f>
        <v>160</v>
      </c>
      <c r="U29" s="117">
        <v>1</v>
      </c>
      <c r="V29" s="118"/>
      <c r="W29" s="66"/>
      <c r="X29" s="97"/>
      <c r="Y29" s="97"/>
      <c r="Z29" s="98"/>
    </row>
    <row r="30" spans="1:26" ht="15" customHeight="1">
      <c r="A30" s="88">
        <f t="shared" si="1"/>
        <v>19</v>
      </c>
      <c r="B30" s="128">
        <v>1</v>
      </c>
      <c r="C30" s="101" t="s">
        <v>53</v>
      </c>
      <c r="D30" s="101" t="s">
        <v>15</v>
      </c>
      <c r="E30" s="102" t="s">
        <v>199</v>
      </c>
      <c r="F30" s="110">
        <v>9705539123</v>
      </c>
      <c r="G30" s="103" t="s">
        <v>474</v>
      </c>
      <c r="H30" s="127">
        <v>1</v>
      </c>
      <c r="I30" s="128"/>
      <c r="J30" s="128"/>
      <c r="K30" s="128"/>
      <c r="L30" s="89">
        <v>1</v>
      </c>
      <c r="M30" s="89"/>
      <c r="N30" s="89"/>
      <c r="O30" s="95">
        <f t="shared" si="2"/>
        <v>0</v>
      </c>
      <c r="P30" s="89" t="s">
        <v>692</v>
      </c>
      <c r="Q30" s="89">
        <v>241</v>
      </c>
      <c r="R30" s="96">
        <f t="shared" si="3"/>
        <v>80</v>
      </c>
      <c r="S30" s="96" t="str">
        <f t="shared" si="4"/>
        <v/>
      </c>
      <c r="T30" s="116">
        <f>H30*[0]!FMainPool1Fee+I30*[0]!FMainPool2Fee+J30*[0]!FMainPool3Fee+K30*[0]!FMainPool4Fee+B30*[0]!FMainEntryFee</f>
        <v>80</v>
      </c>
      <c r="U30" s="117"/>
      <c r="V30" s="118"/>
      <c r="W30" s="66"/>
      <c r="X30" s="97"/>
      <c r="Y30" s="97"/>
      <c r="Z30" s="98"/>
    </row>
    <row r="31" spans="1:26" ht="15" customHeight="1">
      <c r="A31" s="88">
        <f t="shared" si="1"/>
        <v>20</v>
      </c>
      <c r="B31" s="128">
        <v>1</v>
      </c>
      <c r="C31" s="101" t="s">
        <v>781</v>
      </c>
      <c r="D31" s="101" t="s">
        <v>26</v>
      </c>
      <c r="E31" s="102" t="s">
        <v>782</v>
      </c>
      <c r="F31" s="110">
        <v>4086485063</v>
      </c>
      <c r="G31" s="115" t="s">
        <v>783</v>
      </c>
      <c r="H31" s="127">
        <v>1</v>
      </c>
      <c r="I31" s="128">
        <v>1</v>
      </c>
      <c r="J31" s="128">
        <v>1</v>
      </c>
      <c r="K31" s="128">
        <v>1</v>
      </c>
      <c r="L31" s="89"/>
      <c r="M31" s="89">
        <v>1</v>
      </c>
      <c r="N31" s="89"/>
      <c r="O31" s="95">
        <f t="shared" si="2"/>
        <v>0</v>
      </c>
      <c r="P31" s="89" t="s">
        <v>692</v>
      </c>
      <c r="Q31" s="89">
        <v>19</v>
      </c>
      <c r="R31" s="96">
        <v>150</v>
      </c>
      <c r="S31" s="96">
        <v>10</v>
      </c>
      <c r="T31" s="116">
        <f>H31*[0]!FMainPool1Fee+I31*[0]!FMainPool2Fee+J31*[0]!FMainPool3Fee+K31*[0]!FMainPool4Fee+B31*[0]!FMainEntryFee</f>
        <v>160</v>
      </c>
      <c r="U31" s="117"/>
      <c r="V31" s="118"/>
      <c r="W31" s="66"/>
      <c r="X31" s="97"/>
      <c r="Y31" s="97"/>
      <c r="Z31" s="98"/>
    </row>
    <row r="32" spans="1:26" ht="15" customHeight="1">
      <c r="A32" s="88">
        <f t="shared" si="1"/>
        <v>21</v>
      </c>
      <c r="B32" s="128">
        <v>1</v>
      </c>
      <c r="C32" s="99" t="s">
        <v>572</v>
      </c>
      <c r="D32" s="99" t="s">
        <v>5</v>
      </c>
      <c r="E32" s="66" t="s">
        <v>573</v>
      </c>
      <c r="F32" s="107">
        <v>7079744711</v>
      </c>
      <c r="G32" s="109" t="s">
        <v>574</v>
      </c>
      <c r="H32" s="127"/>
      <c r="I32" s="128"/>
      <c r="J32" s="128"/>
      <c r="K32" s="128"/>
      <c r="L32" s="89"/>
      <c r="M32" s="89"/>
      <c r="N32" s="89"/>
      <c r="O32" s="95">
        <f t="shared" si="2"/>
        <v>0</v>
      </c>
      <c r="P32" s="89" t="s">
        <v>692</v>
      </c>
      <c r="Q32" s="89">
        <v>1219</v>
      </c>
      <c r="R32" s="96">
        <f t="shared" ref="R32:R63" si="5">IF(OR(P32="c",P32="C"),+T32,"")</f>
        <v>70</v>
      </c>
      <c r="S32" s="96" t="str">
        <f t="shared" ref="S32:S60" si="6">IF(OR(P32="$",N32=1),+T32,"")</f>
        <v/>
      </c>
      <c r="T32" s="116">
        <f>H32*[0]!FMainPool1Fee+I32*[0]!FMainPool2Fee+J32*[0]!FMainPool3Fee+K32*[0]!FMainPool4Fee+B32*[0]!FMainEntryFee</f>
        <v>70</v>
      </c>
      <c r="U32" s="117"/>
      <c r="V32" s="118"/>
      <c r="W32" s="66"/>
      <c r="X32" s="97"/>
      <c r="Y32" s="97"/>
      <c r="Z32" s="98"/>
    </row>
    <row r="33" spans="1:26" ht="15" customHeight="1">
      <c r="A33" s="88">
        <f t="shared" si="1"/>
        <v>22</v>
      </c>
      <c r="B33" s="128">
        <v>1</v>
      </c>
      <c r="C33" s="101" t="s">
        <v>8</v>
      </c>
      <c r="D33" s="101" t="s">
        <v>38</v>
      </c>
      <c r="E33" s="102" t="s">
        <v>177</v>
      </c>
      <c r="F33" s="110">
        <v>7073175740</v>
      </c>
      <c r="G33" s="93" t="s">
        <v>523</v>
      </c>
      <c r="H33" s="127"/>
      <c r="I33" s="128">
        <v>1</v>
      </c>
      <c r="J33" s="128">
        <v>1</v>
      </c>
      <c r="K33" s="128"/>
      <c r="L33" s="89"/>
      <c r="M33" s="89"/>
      <c r="N33" s="89"/>
      <c r="O33" s="95">
        <f t="shared" si="2"/>
        <v>0</v>
      </c>
      <c r="P33" s="89" t="s">
        <v>741</v>
      </c>
      <c r="Q33" s="89"/>
      <c r="R33" s="96" t="str">
        <f t="shared" si="5"/>
        <v/>
      </c>
      <c r="S33" s="96">
        <f t="shared" si="6"/>
        <v>100</v>
      </c>
      <c r="T33" s="116">
        <f>H33*[0]!FMainPool1Fee+I33*[0]!FMainPool2Fee+J33*[0]!FMainPool3Fee+K33*[0]!FMainPool4Fee+B33*[0]!FMainEntryFee</f>
        <v>100</v>
      </c>
      <c r="U33" s="117"/>
      <c r="V33" s="118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128">
        <v>1</v>
      </c>
      <c r="C34" s="99" t="s">
        <v>575</v>
      </c>
      <c r="D34" s="99" t="s">
        <v>292</v>
      </c>
      <c r="E34" s="66" t="s">
        <v>576</v>
      </c>
      <c r="F34" s="124">
        <v>2793335535</v>
      </c>
      <c r="G34" s="99"/>
      <c r="H34" s="127">
        <v>1</v>
      </c>
      <c r="I34" s="128">
        <v>1</v>
      </c>
      <c r="J34" s="128">
        <v>1</v>
      </c>
      <c r="K34" s="128">
        <v>1</v>
      </c>
      <c r="L34" s="89">
        <v>1</v>
      </c>
      <c r="M34" s="89"/>
      <c r="N34" s="89"/>
      <c r="O34" s="95">
        <f t="shared" si="2"/>
        <v>0</v>
      </c>
      <c r="P34" s="89" t="s">
        <v>692</v>
      </c>
      <c r="Q34" s="89">
        <v>1418</v>
      </c>
      <c r="R34" s="96">
        <f t="shared" si="5"/>
        <v>160</v>
      </c>
      <c r="S34" s="96" t="str">
        <f t="shared" si="6"/>
        <v/>
      </c>
      <c r="T34" s="116">
        <f>H34*[0]!FMainPool1Fee+I34*[0]!FMainPool2Fee+J34*[0]!FMainPool3Fee+K34*[0]!FMainPool4Fee+B34*[0]!FMainEntryFee</f>
        <v>160</v>
      </c>
      <c r="U34" s="117"/>
      <c r="V34" s="118"/>
      <c r="W34" s="66"/>
      <c r="X34" s="97"/>
      <c r="Y34" s="97"/>
      <c r="Z34" s="98"/>
    </row>
    <row r="35" spans="1:26" ht="15" customHeight="1">
      <c r="A35" s="88">
        <f t="shared" si="1"/>
        <v>24</v>
      </c>
      <c r="B35" s="128">
        <v>1</v>
      </c>
      <c r="C35" s="90" t="s">
        <v>112</v>
      </c>
      <c r="D35" s="90" t="s">
        <v>69</v>
      </c>
      <c r="E35" s="91" t="s">
        <v>201</v>
      </c>
      <c r="F35" s="106">
        <v>9165213208</v>
      </c>
      <c r="G35" s="103" t="s">
        <v>348</v>
      </c>
      <c r="H35" s="127">
        <v>1</v>
      </c>
      <c r="I35" s="128"/>
      <c r="J35" s="128">
        <v>1</v>
      </c>
      <c r="K35" s="128"/>
      <c r="L35" s="89"/>
      <c r="M35" s="89"/>
      <c r="N35" s="89"/>
      <c r="O35" s="95">
        <f t="shared" si="2"/>
        <v>0</v>
      </c>
      <c r="P35" s="89" t="s">
        <v>741</v>
      </c>
      <c r="Q35" s="89"/>
      <c r="R35" s="96" t="str">
        <f t="shared" si="5"/>
        <v/>
      </c>
      <c r="S35" s="96">
        <f t="shared" si="6"/>
        <v>100</v>
      </c>
      <c r="T35" s="116">
        <f>H35*[0]!FMainPool1Fee+I35*[0]!FMainPool2Fee+J35*[0]!FMainPool3Fee+K35*[0]!FMainPool4Fee+B35*[0]!FMainEntryFee</f>
        <v>100</v>
      </c>
      <c r="U35" s="117">
        <v>1</v>
      </c>
      <c r="V35" s="118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128">
        <v>1</v>
      </c>
      <c r="C36" s="101" t="s">
        <v>59</v>
      </c>
      <c r="D36" s="101" t="s">
        <v>15</v>
      </c>
      <c r="E36" s="102" t="s">
        <v>202</v>
      </c>
      <c r="F36" s="107" t="s">
        <v>524</v>
      </c>
      <c r="G36" s="103" t="s">
        <v>303</v>
      </c>
      <c r="H36" s="127">
        <v>1</v>
      </c>
      <c r="I36" s="128">
        <v>1</v>
      </c>
      <c r="J36" s="128">
        <v>1</v>
      </c>
      <c r="K36" s="128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2074</v>
      </c>
      <c r="R36" s="96">
        <f t="shared" si="5"/>
        <v>160</v>
      </c>
      <c r="S36" s="96" t="str">
        <f t="shared" si="6"/>
        <v/>
      </c>
      <c r="T36" s="116">
        <f>H36*[0]!FMainPool1Fee+I36*[0]!FMainPool2Fee+J36*[0]!FMainPool3Fee+K36*[0]!FMainPool4Fee+B36*[0]!FMainEntryFee</f>
        <v>160</v>
      </c>
      <c r="U36" s="117"/>
      <c r="V36" s="118"/>
      <c r="W36" s="66"/>
      <c r="X36" s="97"/>
      <c r="Y36" s="97"/>
      <c r="Z36" s="98"/>
    </row>
    <row r="37" spans="1:26" ht="18">
      <c r="A37" s="88">
        <v>22</v>
      </c>
      <c r="B37" s="128">
        <v>1</v>
      </c>
      <c r="C37" s="101" t="s">
        <v>466</v>
      </c>
      <c r="D37" s="101" t="s">
        <v>15</v>
      </c>
      <c r="E37" s="102" t="s">
        <v>186</v>
      </c>
      <c r="F37" s="110" t="s">
        <v>473</v>
      </c>
      <c r="G37" s="103" t="s">
        <v>474</v>
      </c>
      <c r="H37" s="127">
        <v>1</v>
      </c>
      <c r="I37" s="128">
        <v>1</v>
      </c>
      <c r="J37" s="128">
        <v>1</v>
      </c>
      <c r="K37" s="128">
        <v>1</v>
      </c>
      <c r="L37" s="89"/>
      <c r="M37" s="89"/>
      <c r="N37" s="89"/>
      <c r="O37" s="95">
        <f t="shared" si="2"/>
        <v>0</v>
      </c>
      <c r="P37" s="89" t="s">
        <v>692</v>
      </c>
      <c r="Q37" s="89">
        <v>2334</v>
      </c>
      <c r="R37" s="96">
        <f t="shared" si="5"/>
        <v>160</v>
      </c>
      <c r="S37" s="96" t="str">
        <f t="shared" si="6"/>
        <v/>
      </c>
      <c r="T37" s="116">
        <f>H37*[0]!FMainPool1Fee+I37*[0]!FMainPool2Fee+J37*[0]!FMainPool3Fee+K37*[0]!FMainPool4Fee+B37*[0]!FMainEntryFee</f>
        <v>160</v>
      </c>
      <c r="U37" s="117"/>
      <c r="V37" s="118"/>
      <c r="W37" s="66"/>
      <c r="X37" s="97"/>
      <c r="Y37" s="97"/>
      <c r="Z37" s="98"/>
    </row>
    <row r="38" spans="1:26" ht="18">
      <c r="A38" s="88">
        <v>23</v>
      </c>
      <c r="B38" s="128">
        <v>1</v>
      </c>
      <c r="C38" s="90" t="s">
        <v>101</v>
      </c>
      <c r="D38" s="101" t="s">
        <v>5</v>
      </c>
      <c r="E38" s="91" t="s">
        <v>203</v>
      </c>
      <c r="F38" s="106" t="s">
        <v>478</v>
      </c>
      <c r="G38" s="103" t="s">
        <v>349</v>
      </c>
      <c r="H38" s="127">
        <v>1</v>
      </c>
      <c r="I38" s="128">
        <v>1</v>
      </c>
      <c r="J38" s="128">
        <v>1</v>
      </c>
      <c r="K38" s="128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6">
        <f>H38*[0]!FMainPool1Fee+I38*[0]!FMainPool2Fee+J38*[0]!FMainPool3Fee+K38*[0]!FMainPool4Fee+B38*[0]!FMainEntryFee</f>
        <v>160</v>
      </c>
      <c r="U38" s="117"/>
      <c r="V38" s="118"/>
      <c r="W38" s="66"/>
      <c r="X38" s="97"/>
      <c r="Y38" s="97"/>
      <c r="Z38" s="98"/>
    </row>
    <row r="39" spans="1:26" ht="18">
      <c r="A39" s="88">
        <f t="shared" ref="A39:A71" si="7">ROW() - ROW(FRegentiresEneteredHdr)</f>
        <v>28</v>
      </c>
      <c r="B39" s="128">
        <v>1</v>
      </c>
      <c r="C39" s="103" t="s">
        <v>61</v>
      </c>
      <c r="D39" s="101" t="s">
        <v>62</v>
      </c>
      <c r="E39" s="102" t="s">
        <v>185</v>
      </c>
      <c r="F39" s="110">
        <v>5104613953</v>
      </c>
      <c r="G39" s="93" t="s">
        <v>480</v>
      </c>
      <c r="H39" s="127">
        <v>1</v>
      </c>
      <c r="I39" s="128">
        <v>1</v>
      </c>
      <c r="J39" s="128">
        <v>1</v>
      </c>
      <c r="K39" s="128">
        <v>1</v>
      </c>
      <c r="L39" s="89">
        <v>1</v>
      </c>
      <c r="M39" s="89"/>
      <c r="N39" s="89"/>
      <c r="O39" s="95">
        <f t="shared" si="2"/>
        <v>0</v>
      </c>
      <c r="P39" s="89" t="s">
        <v>741</v>
      </c>
      <c r="Q39" s="89"/>
      <c r="R39" s="96" t="str">
        <f t="shared" si="5"/>
        <v/>
      </c>
      <c r="S39" s="96">
        <f t="shared" si="6"/>
        <v>160</v>
      </c>
      <c r="T39" s="116">
        <f>H39*[0]!FMainPool1Fee+I39*[0]!FMainPool2Fee+J39*[0]!FMainPool3Fee+K39*[0]!FMainPool4Fee+B39*[0]!FMainEntryFee</f>
        <v>160</v>
      </c>
      <c r="U39" s="117">
        <v>1</v>
      </c>
      <c r="V39" s="118"/>
      <c r="W39" s="66"/>
      <c r="X39" s="97"/>
      <c r="Y39" s="97"/>
      <c r="Z39" s="98"/>
    </row>
    <row r="40" spans="1:26" ht="18">
      <c r="A40" s="88">
        <f t="shared" si="7"/>
        <v>29</v>
      </c>
      <c r="B40" s="128">
        <v>1</v>
      </c>
      <c r="C40" s="90" t="s">
        <v>104</v>
      </c>
      <c r="D40" s="90" t="s">
        <v>317</v>
      </c>
      <c r="E40" s="91" t="s">
        <v>470</v>
      </c>
      <c r="F40" s="106">
        <v>7074223729</v>
      </c>
      <c r="G40" s="126" t="s">
        <v>143</v>
      </c>
      <c r="H40" s="127">
        <v>1</v>
      </c>
      <c r="I40" s="128"/>
      <c r="J40" s="128"/>
      <c r="K40" s="128"/>
      <c r="L40" s="89"/>
      <c r="M40" s="89"/>
      <c r="N40" s="89"/>
      <c r="O40" s="95">
        <f t="shared" si="2"/>
        <v>0</v>
      </c>
      <c r="P40" s="89" t="s">
        <v>692</v>
      </c>
      <c r="Q40" s="89">
        <v>122</v>
      </c>
      <c r="R40" s="96">
        <f t="shared" si="5"/>
        <v>80</v>
      </c>
      <c r="S40" s="96" t="str">
        <f t="shared" si="6"/>
        <v/>
      </c>
      <c r="T40" s="116">
        <f>H40*[0]!FMainPool1Fee+I40*[0]!FMainPool2Fee+J40*[0]!FMainPool3Fee+K40*[0]!FMainPool4Fee+B40*[0]!FMainEntryFee</f>
        <v>80</v>
      </c>
      <c r="U40" s="117"/>
      <c r="V40" s="118"/>
      <c r="W40" s="66"/>
      <c r="X40" s="97"/>
      <c r="Y40" s="97"/>
      <c r="Z40" s="98"/>
    </row>
    <row r="41" spans="1:26" ht="18">
      <c r="A41" s="88">
        <f t="shared" si="7"/>
        <v>30</v>
      </c>
      <c r="B41" s="128">
        <v>1</v>
      </c>
      <c r="C41" s="90" t="s">
        <v>297</v>
      </c>
      <c r="D41" s="90" t="s">
        <v>298</v>
      </c>
      <c r="E41" s="91" t="s">
        <v>299</v>
      </c>
      <c r="F41" s="106">
        <v>9253604907</v>
      </c>
      <c r="G41" s="103" t="s">
        <v>351</v>
      </c>
      <c r="H41" s="127">
        <v>1</v>
      </c>
      <c r="I41" s="128">
        <v>1</v>
      </c>
      <c r="J41" s="128"/>
      <c r="K41" s="128"/>
      <c r="L41" s="89"/>
      <c r="M41" s="89"/>
      <c r="N41" s="89">
        <v>1</v>
      </c>
      <c r="O41" s="95">
        <f t="shared" si="2"/>
        <v>90</v>
      </c>
      <c r="P41" s="89" t="s">
        <v>741</v>
      </c>
      <c r="Q41" s="89"/>
      <c r="R41" s="96" t="str">
        <f t="shared" si="5"/>
        <v/>
      </c>
      <c r="S41" s="96">
        <f t="shared" si="6"/>
        <v>90</v>
      </c>
      <c r="T41" s="116">
        <f>H41*[0]!FMainPool1Fee+I41*[0]!FMainPool2Fee+J41*[0]!FMainPool3Fee+K41*[0]!FMainPool4Fee+B41*[0]!FMainEntryFee</f>
        <v>90</v>
      </c>
      <c r="U41" s="117"/>
      <c r="V41" s="118"/>
      <c r="W41" s="66"/>
      <c r="X41" s="97"/>
      <c r="Y41" s="97">
        <v>1</v>
      </c>
      <c r="Z41" s="98" t="s">
        <v>742</v>
      </c>
    </row>
    <row r="42" spans="1:26" ht="18">
      <c r="A42" s="88">
        <f t="shared" si="7"/>
        <v>31</v>
      </c>
      <c r="B42" s="128">
        <v>1</v>
      </c>
      <c r="C42" s="90" t="s">
        <v>96</v>
      </c>
      <c r="D42" s="90" t="s">
        <v>97</v>
      </c>
      <c r="E42" s="91" t="s">
        <v>164</v>
      </c>
      <c r="F42" s="106">
        <v>5305180274</v>
      </c>
      <c r="G42" s="103" t="s">
        <v>125</v>
      </c>
      <c r="H42" s="127">
        <v>1</v>
      </c>
      <c r="I42" s="128">
        <v>1</v>
      </c>
      <c r="J42" s="128">
        <v>1</v>
      </c>
      <c r="K42" s="128"/>
      <c r="L42" s="89"/>
      <c r="M42" s="89"/>
      <c r="N42" s="89"/>
      <c r="O42" s="95">
        <f t="shared" si="2"/>
        <v>0</v>
      </c>
      <c r="P42" s="89" t="s">
        <v>692</v>
      </c>
      <c r="Q42" s="89">
        <v>7457</v>
      </c>
      <c r="R42" s="96">
        <f t="shared" si="5"/>
        <v>110</v>
      </c>
      <c r="S42" s="96" t="str">
        <f t="shared" si="6"/>
        <v/>
      </c>
      <c r="T42" s="116">
        <f>H42*[0]!FMainPool1Fee+I42*[0]!FMainPool2Fee+J42*[0]!FMainPool3Fee+K42*[0]!FMainPool4Fee+B42*[0]!FMainEntryFee</f>
        <v>110</v>
      </c>
      <c r="U42" s="117"/>
      <c r="V42" s="118"/>
      <c r="W42" s="66"/>
      <c r="X42" s="97"/>
      <c r="Y42" s="97"/>
      <c r="Z42" s="98"/>
    </row>
    <row r="43" spans="1:26" ht="18">
      <c r="A43" s="88">
        <f t="shared" si="7"/>
        <v>32</v>
      </c>
      <c r="B43" s="128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127">
        <v>1</v>
      </c>
      <c r="I43" s="128"/>
      <c r="J43" s="128">
        <v>1</v>
      </c>
      <c r="K43" s="128">
        <v>1</v>
      </c>
      <c r="L43" s="89"/>
      <c r="M43" s="89"/>
      <c r="N43" s="89"/>
      <c r="O43" s="95"/>
      <c r="P43" s="89" t="s">
        <v>741</v>
      </c>
      <c r="Q43" s="89"/>
      <c r="R43" s="96" t="str">
        <f t="shared" si="5"/>
        <v/>
      </c>
      <c r="S43" s="96">
        <f t="shared" si="6"/>
        <v>150</v>
      </c>
      <c r="T43" s="116">
        <f>H43*[0]!FMainPool1Fee+I43*[0]!FMainPool2Fee+J43*[0]!FMainPool3Fee+K43*[0]!FMainPool4Fee+B43*[0]!FMainEntryFee</f>
        <v>150</v>
      </c>
      <c r="U43" s="117"/>
      <c r="V43" s="118"/>
      <c r="W43" s="66"/>
      <c r="X43" s="97"/>
      <c r="Y43" s="97"/>
      <c r="Z43" s="98"/>
    </row>
    <row r="44" spans="1:26" ht="18">
      <c r="A44" s="88">
        <f t="shared" si="7"/>
        <v>33</v>
      </c>
      <c r="B44" s="128">
        <v>1</v>
      </c>
      <c r="C44" s="101" t="s">
        <v>31</v>
      </c>
      <c r="D44" s="101" t="s">
        <v>32</v>
      </c>
      <c r="E44" s="102" t="s">
        <v>179</v>
      </c>
      <c r="F44" s="104">
        <v>4084722020</v>
      </c>
      <c r="G44" s="93" t="s">
        <v>484</v>
      </c>
      <c r="H44" s="127">
        <v>1</v>
      </c>
      <c r="I44" s="128"/>
      <c r="J44" s="128"/>
      <c r="K44" s="128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 t="shared" si="5"/>
        <v>130</v>
      </c>
      <c r="S44" s="96" t="str">
        <f t="shared" si="6"/>
        <v/>
      </c>
      <c r="T44" s="116">
        <f>H44*[0]!FMainPool1Fee+I44*[0]!FMainPool2Fee+J44*[0]!FMainPool3Fee+K44*[0]!FMainPool4Fee+B44*[0]!FMainEntryFee</f>
        <v>130</v>
      </c>
      <c r="U44" s="117"/>
      <c r="V44" s="118"/>
      <c r="W44" s="66"/>
      <c r="X44" s="97"/>
      <c r="Y44" s="97"/>
      <c r="Z44" s="98"/>
    </row>
    <row r="45" spans="1:26" ht="18">
      <c r="A45" s="88">
        <f t="shared" si="7"/>
        <v>34</v>
      </c>
      <c r="B45" s="128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127">
        <v>1</v>
      </c>
      <c r="I45" s="128"/>
      <c r="J45" s="128"/>
      <c r="K45" s="128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 t="shared" si="5"/>
        <v>80</v>
      </c>
      <c r="S45" s="96" t="str">
        <f t="shared" si="6"/>
        <v/>
      </c>
      <c r="T45" s="116">
        <f>H45*[0]!FMainPool1Fee+I45*[0]!FMainPool2Fee+J45*[0]!FMainPool3Fee+K45*[0]!FMainPool4Fee+B45*[0]!FMainEntryFee</f>
        <v>80</v>
      </c>
      <c r="U45" s="117">
        <v>1</v>
      </c>
      <c r="V45" s="118"/>
      <c r="W45" s="66"/>
      <c r="X45" s="97"/>
      <c r="Y45" s="97"/>
      <c r="Z45" s="98"/>
    </row>
    <row r="46" spans="1:26" ht="18">
      <c r="A46" s="88">
        <f t="shared" si="7"/>
        <v>35</v>
      </c>
      <c r="B46" s="128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127"/>
      <c r="I46" s="128"/>
      <c r="J46" s="128"/>
      <c r="K46" s="128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 t="shared" si="5"/>
        <v/>
      </c>
      <c r="S46" s="96">
        <f t="shared" si="6"/>
        <v>70</v>
      </c>
      <c r="T46" s="116">
        <f>H46*[0]!FMainPool1Fee+I46*[0]!FMainPool2Fee+J46*[0]!FMainPool3Fee+K46*[0]!FMainPool4Fee+B46*[0]!FMainEntryFee</f>
        <v>70</v>
      </c>
      <c r="U46" s="117"/>
      <c r="V46" s="118"/>
      <c r="W46" s="66"/>
      <c r="X46" s="97"/>
      <c r="Y46" s="97"/>
      <c r="Z46" s="98"/>
    </row>
    <row r="47" spans="1:26" ht="18">
      <c r="A47" s="88">
        <f t="shared" si="7"/>
        <v>36</v>
      </c>
      <c r="B47" s="128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26" t="s">
        <v>353</v>
      </c>
      <c r="H47" s="127"/>
      <c r="I47" s="128"/>
      <c r="J47" s="128"/>
      <c r="K47" s="128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 t="shared" si="5"/>
        <v>70</v>
      </c>
      <c r="S47" s="96" t="str">
        <f t="shared" si="6"/>
        <v/>
      </c>
      <c r="T47" s="116">
        <f>H47*[0]!FMainPool1Fee+I47*[0]!FMainPool2Fee+J47*[0]!FMainPool3Fee+K47*[0]!FMainPool4Fee+B47*[0]!FMainEntryFee</f>
        <v>70</v>
      </c>
      <c r="U47" s="117"/>
      <c r="V47" s="118"/>
      <c r="W47" s="66"/>
      <c r="X47" s="97"/>
      <c r="Y47" s="97">
        <v>1</v>
      </c>
      <c r="Z47" s="98"/>
    </row>
    <row r="48" spans="1:26" ht="18">
      <c r="A48" s="88">
        <f t="shared" si="7"/>
        <v>37</v>
      </c>
      <c r="B48" s="128">
        <v>1</v>
      </c>
      <c r="C48" s="101" t="s">
        <v>115</v>
      </c>
      <c r="D48" s="101" t="s">
        <v>45</v>
      </c>
      <c r="E48" s="102" t="s">
        <v>210</v>
      </c>
      <c r="F48" s="104">
        <v>9252504073</v>
      </c>
      <c r="G48" s="103" t="s">
        <v>378</v>
      </c>
      <c r="H48" s="127">
        <v>1</v>
      </c>
      <c r="I48" s="128">
        <v>1</v>
      </c>
      <c r="J48" s="128">
        <v>1</v>
      </c>
      <c r="K48" s="128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 t="shared" si="5"/>
        <v>110</v>
      </c>
      <c r="S48" s="96" t="str">
        <f t="shared" si="6"/>
        <v/>
      </c>
      <c r="T48" s="116">
        <f>H48*[0]!FMainPool1Fee+I48*[0]!FMainPool2Fee+J48*[0]!FMainPool3Fee+K48*[0]!FMainPool4Fee+B48*[0]!FMainEntryFee</f>
        <v>110</v>
      </c>
      <c r="U48" s="117"/>
      <c r="V48" s="118"/>
      <c r="W48" s="66"/>
      <c r="X48" s="97"/>
      <c r="Y48" s="97"/>
      <c r="Z48" s="98"/>
    </row>
    <row r="49" spans="1:26" ht="18">
      <c r="A49" s="88">
        <f t="shared" si="7"/>
        <v>38</v>
      </c>
      <c r="B49" s="128">
        <v>1</v>
      </c>
      <c r="C49" s="99" t="s">
        <v>587</v>
      </c>
      <c r="D49" s="99" t="s">
        <v>588</v>
      </c>
      <c r="E49" s="66" t="s">
        <v>589</v>
      </c>
      <c r="F49" s="105">
        <v>8315959920</v>
      </c>
      <c r="G49" s="109" t="s">
        <v>674</v>
      </c>
      <c r="H49" s="127">
        <v>1</v>
      </c>
      <c r="I49" s="128"/>
      <c r="J49" s="128">
        <v>1</v>
      </c>
      <c r="K49" s="128"/>
      <c r="L49" s="89"/>
      <c r="M49" s="89"/>
      <c r="N49" s="89"/>
      <c r="O49" s="95"/>
      <c r="P49" s="89" t="s">
        <v>692</v>
      </c>
      <c r="Q49" s="89">
        <v>16750</v>
      </c>
      <c r="R49" s="96">
        <f t="shared" si="5"/>
        <v>100</v>
      </c>
      <c r="S49" s="96" t="str">
        <f t="shared" si="6"/>
        <v/>
      </c>
      <c r="T49" s="116">
        <f>H49*[0]!FMainPool1Fee+I49*[0]!FMainPool2Fee+J49*[0]!FMainPool3Fee+K49*[0]!FMainPool4Fee+B49*[0]!FMainEntryFee</f>
        <v>100</v>
      </c>
      <c r="U49" s="117"/>
      <c r="V49" s="118"/>
      <c r="W49" s="66"/>
      <c r="X49" s="97"/>
      <c r="Y49" s="97"/>
      <c r="Z49" s="98"/>
    </row>
    <row r="50" spans="1:26" ht="18">
      <c r="A50" s="88">
        <f t="shared" si="7"/>
        <v>39</v>
      </c>
      <c r="B50" s="128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127"/>
      <c r="I50" s="128"/>
      <c r="J50" s="128"/>
      <c r="K50" s="128"/>
      <c r="L50" s="89"/>
      <c r="M50" s="89"/>
      <c r="N50" s="89"/>
      <c r="O50" s="95">
        <f t="shared" ref="O50:O56" si="8">T50*N50</f>
        <v>0</v>
      </c>
      <c r="P50" s="89" t="s">
        <v>692</v>
      </c>
      <c r="Q50" s="89">
        <v>1824</v>
      </c>
      <c r="R50" s="96">
        <f t="shared" si="5"/>
        <v>70</v>
      </c>
      <c r="S50" s="96" t="str">
        <f t="shared" si="6"/>
        <v/>
      </c>
      <c r="T50" s="116">
        <f>H50*[0]!FMainPool1Fee+I50*[0]!FMainPool2Fee+J50*[0]!FMainPool3Fee+K50*[0]!FMainPool4Fee+B50*[0]!FMainEntryFee</f>
        <v>70</v>
      </c>
      <c r="U50" s="117"/>
      <c r="V50" s="118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128">
        <v>1</v>
      </c>
      <c r="C51" s="99" t="s">
        <v>593</v>
      </c>
      <c r="D51" s="99" t="s">
        <v>472</v>
      </c>
      <c r="E51" s="66" t="s">
        <v>596</v>
      </c>
      <c r="F51" s="105">
        <v>7078892101</v>
      </c>
      <c r="G51" s="99"/>
      <c r="H51" s="127"/>
      <c r="I51" s="128">
        <v>1</v>
      </c>
      <c r="J51" s="128">
        <v>1</v>
      </c>
      <c r="K51" s="128">
        <v>1</v>
      </c>
      <c r="L51" s="89"/>
      <c r="M51" s="89"/>
      <c r="N51" s="89">
        <v>1</v>
      </c>
      <c r="O51" s="95">
        <f t="shared" si="8"/>
        <v>150</v>
      </c>
      <c r="P51" s="89" t="s">
        <v>741</v>
      </c>
      <c r="Q51" s="89"/>
      <c r="R51" s="96" t="str">
        <f t="shared" si="5"/>
        <v/>
      </c>
      <c r="S51" s="96">
        <f t="shared" si="6"/>
        <v>150</v>
      </c>
      <c r="T51" s="116">
        <f>H51*[0]!FMainPool1Fee+I51*[0]!FMainPool2Fee+J51*[0]!FMainPool3Fee+K51*[0]!FMainPool4Fee+B51*[0]!FMainEntryFee</f>
        <v>150</v>
      </c>
      <c r="U51" s="117">
        <v>1</v>
      </c>
      <c r="V51" s="118"/>
      <c r="W51" s="66"/>
      <c r="X51" s="97"/>
      <c r="Y51" s="97">
        <v>1</v>
      </c>
      <c r="Z51" s="98" t="s">
        <v>788</v>
      </c>
    </row>
    <row r="52" spans="1:26" ht="18">
      <c r="A52" s="88">
        <f t="shared" si="7"/>
        <v>41</v>
      </c>
      <c r="B52" s="128">
        <v>1</v>
      </c>
      <c r="C52" s="101" t="s">
        <v>64</v>
      </c>
      <c r="D52" s="101" t="s">
        <v>5</v>
      </c>
      <c r="E52" s="102" t="s">
        <v>714</v>
      </c>
      <c r="F52" s="104">
        <v>7072242345</v>
      </c>
      <c r="G52" s="103" t="s">
        <v>355</v>
      </c>
      <c r="H52" s="127">
        <v>1</v>
      </c>
      <c r="I52" s="128">
        <v>1</v>
      </c>
      <c r="J52" s="128">
        <v>1</v>
      </c>
      <c r="K52" s="128">
        <v>1</v>
      </c>
      <c r="L52" s="89">
        <v>1</v>
      </c>
      <c r="M52" s="89"/>
      <c r="N52" s="89"/>
      <c r="O52" s="95">
        <f t="shared" si="8"/>
        <v>0</v>
      </c>
      <c r="P52" s="89" t="s">
        <v>692</v>
      </c>
      <c r="Q52" s="89">
        <v>2615</v>
      </c>
      <c r="R52" s="96">
        <f t="shared" si="5"/>
        <v>160</v>
      </c>
      <c r="S52" s="96" t="str">
        <f t="shared" si="6"/>
        <v/>
      </c>
      <c r="T52" s="116">
        <f>H52*[0]!FMainPool1Fee+I52*[0]!FMainPool2Fee+J52*[0]!FMainPool3Fee+K52*[0]!FMainPool4Fee+B52*[0]!FMainEntryFee</f>
        <v>160</v>
      </c>
      <c r="U52" s="117"/>
      <c r="V52" s="118"/>
      <c r="W52" s="66"/>
      <c r="X52" s="97"/>
      <c r="Y52" s="97"/>
      <c r="Z52" s="98"/>
    </row>
    <row r="53" spans="1:26" ht="18">
      <c r="A53" s="88">
        <f t="shared" si="7"/>
        <v>42</v>
      </c>
      <c r="B53" s="128">
        <v>1</v>
      </c>
      <c r="C53" s="99" t="s">
        <v>594</v>
      </c>
      <c r="D53" s="99" t="s">
        <v>47</v>
      </c>
      <c r="E53" s="66" t="s">
        <v>595</v>
      </c>
      <c r="F53" s="105"/>
      <c r="G53" s="109" t="s">
        <v>600</v>
      </c>
      <c r="H53" s="127">
        <v>1</v>
      </c>
      <c r="I53" s="128"/>
      <c r="J53" s="128">
        <v>1</v>
      </c>
      <c r="K53" s="128"/>
      <c r="L53" s="89">
        <v>1</v>
      </c>
      <c r="M53" s="89"/>
      <c r="N53" s="89">
        <v>1</v>
      </c>
      <c r="O53" s="95">
        <f t="shared" si="8"/>
        <v>100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6">
        <f>H53*[0]!FMainPool1Fee+I53*[0]!FMainPool2Fee+J53*[0]!FMainPool3Fee+K53*[0]!FMainPool4Fee+B53*[0]!FMainEntryFee</f>
        <v>100</v>
      </c>
      <c r="U53" s="117"/>
      <c r="V53" s="118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128">
        <v>1</v>
      </c>
      <c r="C54" s="101" t="s">
        <v>72</v>
      </c>
      <c r="D54" s="101" t="s">
        <v>73</v>
      </c>
      <c r="E54" s="102" t="s">
        <v>169</v>
      </c>
      <c r="F54" s="104">
        <v>8315952169</v>
      </c>
      <c r="G54" s="103" t="s">
        <v>474</v>
      </c>
      <c r="H54" s="127">
        <v>1</v>
      </c>
      <c r="I54" s="128"/>
      <c r="J54" s="128">
        <v>1</v>
      </c>
      <c r="K54" s="128"/>
      <c r="L54" s="89"/>
      <c r="M54" s="89">
        <v>1</v>
      </c>
      <c r="N54" s="89"/>
      <c r="O54" s="95">
        <f t="shared" si="8"/>
        <v>0</v>
      </c>
      <c r="P54" s="89" t="s">
        <v>741</v>
      </c>
      <c r="Q54" s="89"/>
      <c r="R54" s="96" t="str">
        <f t="shared" si="5"/>
        <v/>
      </c>
      <c r="S54" s="96">
        <f t="shared" si="6"/>
        <v>100</v>
      </c>
      <c r="T54" s="116">
        <f>H54*[0]!FMainPool1Fee+I54*[0]!FMainPool2Fee+J54*[0]!FMainPool3Fee+K54*[0]!FMainPool4Fee+B54*[0]!FMainEntryFee</f>
        <v>100</v>
      </c>
      <c r="U54" s="117"/>
      <c r="V54" s="118"/>
      <c r="W54" s="66"/>
      <c r="X54" s="97"/>
      <c r="Y54" s="97"/>
      <c r="Z54" s="98"/>
    </row>
    <row r="55" spans="1:26" ht="18">
      <c r="A55" s="88">
        <f t="shared" si="7"/>
        <v>44</v>
      </c>
      <c r="B55" s="128">
        <v>1</v>
      </c>
      <c r="C55" s="101" t="s">
        <v>24</v>
      </c>
      <c r="D55" s="101" t="s">
        <v>25</v>
      </c>
      <c r="E55" s="102" t="s">
        <v>174</v>
      </c>
      <c r="F55" s="104">
        <v>9253780132</v>
      </c>
      <c r="G55" s="103" t="s">
        <v>131</v>
      </c>
      <c r="H55" s="127">
        <v>1</v>
      </c>
      <c r="I55" s="128">
        <v>1</v>
      </c>
      <c r="J55" s="128">
        <v>1</v>
      </c>
      <c r="K55" s="128"/>
      <c r="L55" s="89"/>
      <c r="M55" s="89"/>
      <c r="N55" s="89"/>
      <c r="O55" s="95">
        <f t="shared" si="8"/>
        <v>0</v>
      </c>
      <c r="P55" s="89" t="s">
        <v>692</v>
      </c>
      <c r="Q55" s="89">
        <v>5549</v>
      </c>
      <c r="R55" s="96">
        <f t="shared" si="5"/>
        <v>110</v>
      </c>
      <c r="S55" s="96" t="str">
        <f t="shared" si="6"/>
        <v/>
      </c>
      <c r="T55" s="116">
        <f>H55*[0]!FMainPool1Fee+I55*[0]!FMainPool2Fee+J55*[0]!FMainPool3Fee+K55*[0]!FMainPool4Fee+B55*[0]!FMainEntryFee</f>
        <v>110</v>
      </c>
      <c r="U55" s="117">
        <v>1</v>
      </c>
      <c r="V55" s="118"/>
      <c r="W55" s="66"/>
      <c r="X55" s="97"/>
      <c r="Y55" s="97">
        <v>1</v>
      </c>
      <c r="Z55" s="98"/>
    </row>
    <row r="56" spans="1:26" ht="18">
      <c r="A56" s="88">
        <f t="shared" si="7"/>
        <v>45</v>
      </c>
      <c r="B56" s="128">
        <v>1</v>
      </c>
      <c r="C56" s="101" t="s">
        <v>23</v>
      </c>
      <c r="D56" s="101" t="s">
        <v>5</v>
      </c>
      <c r="E56" s="102" t="s">
        <v>213</v>
      </c>
      <c r="F56" s="104">
        <v>5105046905</v>
      </c>
      <c r="G56" s="93" t="s">
        <v>494</v>
      </c>
      <c r="H56" s="127">
        <v>1</v>
      </c>
      <c r="I56" s="128">
        <v>1</v>
      </c>
      <c r="J56" s="128">
        <v>1</v>
      </c>
      <c r="K56" s="128">
        <v>1</v>
      </c>
      <c r="L56" s="89">
        <v>1</v>
      </c>
      <c r="M56" s="89"/>
      <c r="N56" s="89"/>
      <c r="O56" s="95">
        <f t="shared" si="8"/>
        <v>0</v>
      </c>
      <c r="P56" s="89" t="s">
        <v>692</v>
      </c>
      <c r="Q56" s="89">
        <v>5014</v>
      </c>
      <c r="R56" s="96">
        <f t="shared" si="5"/>
        <v>160</v>
      </c>
      <c r="S56" s="96" t="str">
        <f t="shared" si="6"/>
        <v/>
      </c>
      <c r="T56" s="116">
        <f>H56*[0]!FMainPool1Fee+I56*[0]!FMainPool2Fee+J56*[0]!FMainPool3Fee+K56*[0]!FMainPool4Fee+B56*[0]!FMainEntryFee</f>
        <v>160</v>
      </c>
      <c r="U56" s="117">
        <v>1</v>
      </c>
      <c r="V56" s="118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128">
        <v>1</v>
      </c>
      <c r="C57" s="90" t="s">
        <v>249</v>
      </c>
      <c r="D57" s="90" t="s">
        <v>251</v>
      </c>
      <c r="E57" s="91" t="s">
        <v>250</v>
      </c>
      <c r="F57" s="105" t="s">
        <v>495</v>
      </c>
      <c r="G57" s="103" t="s">
        <v>274</v>
      </c>
      <c r="H57" s="127">
        <v>1</v>
      </c>
      <c r="I57" s="128">
        <v>1</v>
      </c>
      <c r="J57" s="128">
        <v>1</v>
      </c>
      <c r="K57" s="128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 t="shared" si="5"/>
        <v>160</v>
      </c>
      <c r="S57" s="96" t="str">
        <f t="shared" si="6"/>
        <v/>
      </c>
      <c r="T57" s="116">
        <f>H57*[0]!FMainPool1Fee+I57*[0]!FMainPool2Fee+J57*[0]!FMainPool3Fee+K57*[0]!FMainPool4Fee+B57*[0]!FMainEntryFee</f>
        <v>160</v>
      </c>
      <c r="U57" s="117"/>
      <c r="V57" s="118"/>
      <c r="W57" s="66"/>
      <c r="X57" s="97">
        <v>1</v>
      </c>
      <c r="Y57" s="97"/>
      <c r="Z57" s="98" t="s">
        <v>798</v>
      </c>
    </row>
    <row r="58" spans="1:26" ht="18">
      <c r="A58" s="88">
        <f t="shared" si="7"/>
        <v>47</v>
      </c>
      <c r="B58" s="128">
        <v>1</v>
      </c>
      <c r="C58" s="101" t="s">
        <v>648</v>
      </c>
      <c r="D58" s="101" t="s">
        <v>5</v>
      </c>
      <c r="E58" s="102" t="s">
        <v>650</v>
      </c>
      <c r="F58" s="104">
        <v>7072944291</v>
      </c>
      <c r="G58" s="93" t="s">
        <v>649</v>
      </c>
      <c r="H58" s="127"/>
      <c r="I58" s="128">
        <v>1</v>
      </c>
      <c r="J58" s="128">
        <v>1</v>
      </c>
      <c r="K58" s="128"/>
      <c r="L58" s="89"/>
      <c r="M58" s="89"/>
      <c r="N58" s="89"/>
      <c r="O58" s="95">
        <f t="shared" ref="O58:O90" si="9">T58*N58</f>
        <v>0</v>
      </c>
      <c r="P58" s="89" t="s">
        <v>692</v>
      </c>
      <c r="Q58" s="89">
        <v>1412</v>
      </c>
      <c r="R58" s="96">
        <f t="shared" si="5"/>
        <v>100</v>
      </c>
      <c r="S58" s="96" t="str">
        <f t="shared" si="6"/>
        <v/>
      </c>
      <c r="T58" s="116">
        <f>H58*[0]!FMainPool1Fee+I58*[0]!FMainPool2Fee+J58*[0]!FMainPool3Fee+K58*[0]!FMainPool4Fee+B58*[0]!FMainEntryFee</f>
        <v>100</v>
      </c>
      <c r="U58" s="117"/>
      <c r="V58" s="118"/>
      <c r="W58" s="66"/>
      <c r="X58" s="97"/>
      <c r="Y58" s="97"/>
      <c r="Z58" s="98"/>
    </row>
    <row r="59" spans="1:26" ht="18">
      <c r="A59" s="88">
        <f t="shared" si="7"/>
        <v>48</v>
      </c>
      <c r="B59" s="128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127">
        <v>1</v>
      </c>
      <c r="I59" s="128">
        <v>1</v>
      </c>
      <c r="J59" s="128">
        <v>1</v>
      </c>
      <c r="K59" s="128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6">
        <f>H59*[0]!FMainPool1Fee+I59*[0]!FMainPool2Fee+J59*[0]!FMainPool3Fee+K59*[0]!FMainPool4Fee+B59*[0]!FMainEntryFee</f>
        <v>160</v>
      </c>
      <c r="U59" s="117"/>
      <c r="V59" s="118"/>
      <c r="W59" s="66">
        <v>1</v>
      </c>
      <c r="X59" s="97"/>
      <c r="Y59" s="97"/>
      <c r="Z59" s="98"/>
    </row>
    <row r="60" spans="1:26" ht="18">
      <c r="A60" s="88">
        <f t="shared" si="7"/>
        <v>49</v>
      </c>
      <c r="B60" s="128">
        <v>1</v>
      </c>
      <c r="C60" s="101" t="s">
        <v>39</v>
      </c>
      <c r="D60" s="101" t="s">
        <v>40</v>
      </c>
      <c r="E60" s="102" t="s">
        <v>190</v>
      </c>
      <c r="F60" s="104">
        <v>7075994605</v>
      </c>
      <c r="G60" s="99" t="s">
        <v>497</v>
      </c>
      <c r="H60" s="127">
        <v>1</v>
      </c>
      <c r="I60" s="128">
        <v>1</v>
      </c>
      <c r="J60" s="128">
        <v>1</v>
      </c>
      <c r="K60" s="128">
        <v>1</v>
      </c>
      <c r="L60" s="89">
        <v>1</v>
      </c>
      <c r="M60" s="89"/>
      <c r="N60" s="89"/>
      <c r="O60" s="95">
        <f t="shared" si="9"/>
        <v>0</v>
      </c>
      <c r="P60" s="89" t="s">
        <v>692</v>
      </c>
      <c r="Q60" s="89">
        <v>1570</v>
      </c>
      <c r="R60" s="96">
        <f t="shared" si="5"/>
        <v>160</v>
      </c>
      <c r="S60" s="96" t="str">
        <f t="shared" si="6"/>
        <v/>
      </c>
      <c r="T60" s="116">
        <f>H60*[0]!FMainPool1Fee+I60*[0]!FMainPool2Fee+J60*[0]!FMainPool3Fee+K60*[0]!FMainPool4Fee+B60*[0]!FMainEntryFee</f>
        <v>160</v>
      </c>
      <c r="U60" s="117"/>
      <c r="V60" s="118"/>
      <c r="W60" s="66"/>
      <c r="X60" s="97"/>
      <c r="Y60" s="97"/>
      <c r="Z60" s="98"/>
    </row>
    <row r="61" spans="1:26" ht="18" customHeight="1">
      <c r="A61" s="88">
        <f t="shared" si="7"/>
        <v>50</v>
      </c>
      <c r="B61" s="128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5" t="s">
        <v>786</v>
      </c>
      <c r="H61" s="127">
        <v>1</v>
      </c>
      <c r="I61" s="128">
        <v>1</v>
      </c>
      <c r="J61" s="128">
        <v>1</v>
      </c>
      <c r="K61" s="128">
        <v>1</v>
      </c>
      <c r="L61" s="89"/>
      <c r="M61" s="89"/>
      <c r="N61" s="89"/>
      <c r="O61" s="95">
        <f t="shared" si="9"/>
        <v>0</v>
      </c>
      <c r="P61" s="89" t="s">
        <v>797</v>
      </c>
      <c r="Q61" s="89"/>
      <c r="R61" s="96" t="str">
        <f t="shared" si="5"/>
        <v/>
      </c>
      <c r="S61" s="96">
        <v>160</v>
      </c>
      <c r="T61" s="116">
        <f>H61*[0]!FMainPool1Fee+I61*[0]!FMainPool2Fee+J61*[0]!FMainPool3Fee+K61*[0]!FMainPool4Fee+B61*[0]!FMainEntryFee</f>
        <v>160</v>
      </c>
      <c r="U61" s="117"/>
      <c r="V61" s="118"/>
      <c r="W61" s="66"/>
      <c r="X61" s="97"/>
      <c r="Y61" s="97"/>
      <c r="Z61" s="98"/>
    </row>
    <row r="62" spans="1:26" ht="18">
      <c r="A62" s="88">
        <f t="shared" si="7"/>
        <v>51</v>
      </c>
      <c r="B62" s="128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127">
        <v>1</v>
      </c>
      <c r="I62" s="128"/>
      <c r="J62" s="128">
        <v>1</v>
      </c>
      <c r="K62" s="128"/>
      <c r="L62" s="89"/>
      <c r="M62" s="89"/>
      <c r="N62" s="89"/>
      <c r="O62" s="95">
        <f t="shared" si="9"/>
        <v>0</v>
      </c>
      <c r="P62" s="89" t="s">
        <v>741</v>
      </c>
      <c r="Q62" s="89"/>
      <c r="R62" s="96" t="str">
        <f t="shared" si="5"/>
        <v/>
      </c>
      <c r="S62" s="96">
        <f t="shared" ref="S62:S93" si="10">IF(OR(P62="$",N62=1),+T62,"")</f>
        <v>100</v>
      </c>
      <c r="T62" s="116">
        <f>H62*[0]!FMainPool1Fee+I62*[0]!FMainPool2Fee+J62*[0]!FMainPool3Fee+K62*[0]!FMainPool4Fee+B62*[0]!FMainEntryFee</f>
        <v>100</v>
      </c>
      <c r="U62" s="117"/>
      <c r="V62" s="118"/>
      <c r="W62" s="66"/>
      <c r="X62" s="97"/>
      <c r="Y62" s="97"/>
      <c r="Z62" s="98" t="s">
        <v>800</v>
      </c>
    </row>
    <row r="63" spans="1:26" ht="18">
      <c r="A63" s="88">
        <f t="shared" si="7"/>
        <v>52</v>
      </c>
      <c r="B63" s="128">
        <v>1</v>
      </c>
      <c r="C63" s="90" t="s">
        <v>460</v>
      </c>
      <c r="D63" s="90" t="s">
        <v>472</v>
      </c>
      <c r="E63" s="91" t="s">
        <v>461</v>
      </c>
      <c r="F63" s="122">
        <v>7076641532</v>
      </c>
      <c r="G63" s="93" t="s">
        <v>500</v>
      </c>
      <c r="H63" s="127">
        <v>1</v>
      </c>
      <c r="I63" s="128">
        <v>1</v>
      </c>
      <c r="J63" s="128">
        <v>1</v>
      </c>
      <c r="K63" s="128"/>
      <c r="L63" s="89"/>
      <c r="M63" s="89"/>
      <c r="N63" s="89">
        <v>1</v>
      </c>
      <c r="O63" s="95">
        <f t="shared" si="9"/>
        <v>110</v>
      </c>
      <c r="P63" s="89" t="s">
        <v>741</v>
      </c>
      <c r="Q63" s="89"/>
      <c r="R63" s="96" t="str">
        <f t="shared" si="5"/>
        <v/>
      </c>
      <c r="S63" s="96">
        <f t="shared" si="10"/>
        <v>110</v>
      </c>
      <c r="T63" s="116">
        <f>H63*[0]!FMainPool1Fee+I63*[0]!FMainPool2Fee+J63*[0]!FMainPool3Fee+K63*[0]!FMainPool4Fee+B63*[0]!FMainEntryFee</f>
        <v>110</v>
      </c>
      <c r="U63" s="117"/>
      <c r="V63" s="118"/>
      <c r="W63" s="66"/>
      <c r="X63" s="97"/>
      <c r="Y63" s="97"/>
      <c r="Z63" s="98"/>
    </row>
    <row r="64" spans="1:26" ht="18">
      <c r="A64" s="88">
        <f t="shared" si="7"/>
        <v>53</v>
      </c>
      <c r="B64" s="128">
        <v>1</v>
      </c>
      <c r="C64" s="90" t="s">
        <v>427</v>
      </c>
      <c r="D64" s="90" t="s">
        <v>5</v>
      </c>
      <c r="E64" s="91" t="s">
        <v>428</v>
      </c>
      <c r="F64" s="105" t="s">
        <v>501</v>
      </c>
      <c r="G64" s="103" t="s">
        <v>502</v>
      </c>
      <c r="H64" s="127">
        <v>1</v>
      </c>
      <c r="I64" s="128">
        <v>1</v>
      </c>
      <c r="J64" s="128">
        <v>1</v>
      </c>
      <c r="K64" s="128"/>
      <c r="L64" s="89"/>
      <c r="M64" s="89"/>
      <c r="N64" s="89"/>
      <c r="O64" s="95">
        <f t="shared" si="9"/>
        <v>0</v>
      </c>
      <c r="P64" s="89" t="s">
        <v>741</v>
      </c>
      <c r="Q64" s="89"/>
      <c r="R64" s="96" t="str">
        <f t="shared" ref="R64:R95" si="11">IF(OR(P64="c",P64="C"),+T64,"")</f>
        <v/>
      </c>
      <c r="S64" s="96">
        <f t="shared" si="10"/>
        <v>110</v>
      </c>
      <c r="T64" s="116">
        <f>H64*[0]!FMainPool1Fee+I64*[0]!FMainPool2Fee+J64*[0]!FMainPool3Fee+K64*[0]!FMainPool4Fee+B64*[0]!FMainEntryFee</f>
        <v>110</v>
      </c>
      <c r="U64" s="117"/>
      <c r="V64" s="118"/>
      <c r="W64" s="66"/>
      <c r="X64" s="97">
        <v>1</v>
      </c>
      <c r="Y64" s="97"/>
      <c r="Z64" s="98"/>
    </row>
    <row r="65" spans="1:26" ht="18">
      <c r="A65" s="88">
        <f t="shared" si="7"/>
        <v>54</v>
      </c>
      <c r="B65" s="128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127"/>
      <c r="I65" s="128">
        <v>1</v>
      </c>
      <c r="J65" s="128"/>
      <c r="K65" s="128"/>
      <c r="L65" s="89"/>
      <c r="M65" s="89"/>
      <c r="N65" s="89"/>
      <c r="O65" s="95">
        <f t="shared" si="9"/>
        <v>0</v>
      </c>
      <c r="P65" s="89" t="s">
        <v>692</v>
      </c>
      <c r="Q65" s="89">
        <v>8445</v>
      </c>
      <c r="R65" s="96">
        <f t="shared" si="11"/>
        <v>80</v>
      </c>
      <c r="S65" s="96" t="str">
        <f t="shared" si="10"/>
        <v/>
      </c>
      <c r="T65" s="116">
        <f>H65*[0]!FMainPool1Fee+I65*[0]!FMainPool2Fee+J65*[0]!FMainPool3Fee+K65*[0]!FMainPool4Fee+B65*[0]!FMainEntryFee</f>
        <v>80</v>
      </c>
      <c r="U65" s="117"/>
      <c r="V65" s="118"/>
      <c r="W65" s="66"/>
      <c r="X65" s="97"/>
      <c r="Y65" s="97"/>
      <c r="Z65" s="98"/>
    </row>
    <row r="66" spans="1:26" ht="18">
      <c r="A66" s="88">
        <f t="shared" si="7"/>
        <v>55</v>
      </c>
      <c r="B66" s="128">
        <v>1</v>
      </c>
      <c r="C66" s="101" t="s">
        <v>37</v>
      </c>
      <c r="D66" s="101" t="s">
        <v>5</v>
      </c>
      <c r="E66" s="102" t="s">
        <v>192</v>
      </c>
      <c r="F66" s="104">
        <v>7072524331</v>
      </c>
      <c r="G66" s="103" t="s">
        <v>359</v>
      </c>
      <c r="H66" s="127">
        <v>1</v>
      </c>
      <c r="I66" s="128">
        <v>1</v>
      </c>
      <c r="J66" s="128">
        <v>1</v>
      </c>
      <c r="K66" s="128"/>
      <c r="L66" s="89"/>
      <c r="M66" s="89"/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110</v>
      </c>
      <c r="T66" s="116">
        <f>H66*[0]!FMainPool1Fee+I66*[0]!FMainPool2Fee+J66*[0]!FMainPool3Fee+K66*[0]!FMainPool4Fee+B66*[0]!FMainEntryFee</f>
        <v>110</v>
      </c>
      <c r="U66" s="117"/>
      <c r="V66" s="118"/>
      <c r="W66" s="66"/>
      <c r="X66" s="97"/>
      <c r="Y66" s="97"/>
      <c r="Z66" s="98"/>
    </row>
    <row r="67" spans="1:26" ht="18">
      <c r="A67" s="88">
        <f t="shared" si="7"/>
        <v>56</v>
      </c>
      <c r="B67" s="128">
        <v>1</v>
      </c>
      <c r="C67" s="101" t="s">
        <v>60</v>
      </c>
      <c r="D67" s="101" t="s">
        <v>5</v>
      </c>
      <c r="E67" s="102" t="s">
        <v>193</v>
      </c>
      <c r="F67" s="104" t="s">
        <v>504</v>
      </c>
      <c r="G67" s="103" t="s">
        <v>360</v>
      </c>
      <c r="H67" s="127">
        <v>1</v>
      </c>
      <c r="I67" s="128">
        <v>1</v>
      </c>
      <c r="J67" s="128">
        <v>1</v>
      </c>
      <c r="K67" s="128">
        <v>1</v>
      </c>
      <c r="L67" s="89">
        <v>1</v>
      </c>
      <c r="M67" s="89">
        <v>1</v>
      </c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160</v>
      </c>
      <c r="T67" s="116">
        <f>H67*[0]!FMainPool1Fee+I67*[0]!FMainPool2Fee+J67*[0]!FMainPool3Fee+K67*[0]!FMainPool4Fee+B67*[0]!FMainEntryFee</f>
        <v>160</v>
      </c>
      <c r="U67" s="117"/>
      <c r="V67" s="118"/>
      <c r="W67" s="66"/>
      <c r="X67" s="97"/>
      <c r="Y67" s="97"/>
      <c r="Z67" s="98"/>
    </row>
    <row r="68" spans="1:26" ht="18">
      <c r="A68" s="88">
        <f t="shared" si="7"/>
        <v>57</v>
      </c>
      <c r="B68" s="128">
        <v>1</v>
      </c>
      <c r="C68" s="103" t="s">
        <v>804</v>
      </c>
      <c r="D68" s="101" t="s">
        <v>803</v>
      </c>
      <c r="E68" s="102" t="s">
        <v>805</v>
      </c>
      <c r="F68" s="104">
        <v>5305666454</v>
      </c>
      <c r="G68" s="109" t="s">
        <v>675</v>
      </c>
      <c r="H68" s="127"/>
      <c r="I68" s="128"/>
      <c r="J68" s="128"/>
      <c r="K68" s="128"/>
      <c r="L68" s="89"/>
      <c r="M68" s="89"/>
      <c r="N68" s="89"/>
      <c r="O68" s="95">
        <f t="shared" si="9"/>
        <v>0</v>
      </c>
      <c r="P68" s="89" t="s">
        <v>741</v>
      </c>
      <c r="Q68" s="89"/>
      <c r="R68" s="96" t="str">
        <f t="shared" si="11"/>
        <v/>
      </c>
      <c r="S68" s="96">
        <f t="shared" si="10"/>
        <v>70</v>
      </c>
      <c r="T68" s="116">
        <f>H68*[0]!FMainPool1Fee+I68*[0]!FMainPool2Fee+J68*[0]!FMainPool3Fee+K68*[0]!FMainPool4Fee+B68*[0]!FMainEntryFee</f>
        <v>70</v>
      </c>
      <c r="U68" s="117"/>
      <c r="V68" s="118"/>
      <c r="W68" s="66"/>
      <c r="X68" s="97"/>
      <c r="Y68" s="97"/>
      <c r="Z68" s="98" t="s">
        <v>742</v>
      </c>
    </row>
    <row r="69" spans="1:26" ht="18">
      <c r="A69" s="88">
        <f t="shared" si="7"/>
        <v>58</v>
      </c>
      <c r="B69" s="128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127">
        <v>1</v>
      </c>
      <c r="I69" s="128"/>
      <c r="J69" s="128"/>
      <c r="K69" s="128"/>
      <c r="L69" s="89"/>
      <c r="M69" s="89"/>
      <c r="N69" s="89"/>
      <c r="O69" s="95">
        <f t="shared" si="9"/>
        <v>0</v>
      </c>
      <c r="P69" s="89" t="s">
        <v>692</v>
      </c>
      <c r="Q69" s="89">
        <v>2497</v>
      </c>
      <c r="R69" s="96">
        <f t="shared" si="11"/>
        <v>80</v>
      </c>
      <c r="S69" s="96" t="str">
        <f t="shared" si="10"/>
        <v/>
      </c>
      <c r="T69" s="116">
        <f>H69*[0]!FMainPool1Fee+I69*[0]!FMainPool2Fee+J69*[0]!FMainPool3Fee+K69*[0]!FMainPool4Fee+B69*[0]!FMainEntryFee</f>
        <v>80</v>
      </c>
      <c r="U69" s="117"/>
      <c r="V69" s="118"/>
      <c r="W69" s="66"/>
      <c r="X69" s="97"/>
      <c r="Y69" s="97"/>
      <c r="Z69" s="98"/>
    </row>
    <row r="70" spans="1:26" ht="18">
      <c r="A70" s="88">
        <f t="shared" si="7"/>
        <v>59</v>
      </c>
      <c r="B70" s="128"/>
      <c r="C70" s="101" t="s">
        <v>29</v>
      </c>
      <c r="D70" s="101" t="s">
        <v>30</v>
      </c>
      <c r="E70" s="102" t="s">
        <v>197</v>
      </c>
      <c r="F70" s="124" t="s">
        <v>511</v>
      </c>
      <c r="G70" s="103" t="s">
        <v>512</v>
      </c>
      <c r="H70" s="127"/>
      <c r="I70" s="128"/>
      <c r="J70" s="128"/>
      <c r="K70" s="128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6">
        <f>H70*[0]!FMainPool1Fee+I70*[0]!FMainPool2Fee+J70*[0]!FMainPool3Fee+K70*[0]!FMainPool4Fee+B70*[0]!FMainEntryFee</f>
        <v>0</v>
      </c>
      <c r="U70" s="117"/>
      <c r="V70" s="118"/>
      <c r="W70" s="66"/>
      <c r="X70" s="97"/>
      <c r="Y70" s="97">
        <v>1</v>
      </c>
      <c r="Z70" s="98"/>
    </row>
    <row r="71" spans="1:26" ht="18">
      <c r="A71" s="88">
        <f t="shared" si="7"/>
        <v>60</v>
      </c>
      <c r="B71" s="147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127"/>
      <c r="I71" s="128"/>
      <c r="J71" s="128"/>
      <c r="K71" s="128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6">
        <f>H71*[0]!FMainPool1Fee+I71*[0]!FMainPool2Fee+J71*[0]!FMainPool3Fee+K71*[0]!FMainPool4Fee+B71*[0]!FMainEntryFee</f>
        <v>0</v>
      </c>
      <c r="U71" s="117"/>
      <c r="V71" s="118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128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127"/>
      <c r="I72" s="128"/>
      <c r="J72" s="128"/>
      <c r="K72" s="128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6">
        <f>H72*[0]!FMainPool1Fee+I72*[0]!FMainPool2Fee+J72*[0]!FMainPool3Fee+K72*[0]!FMainPool4Fee+B72*[0]!FMainEntryFee</f>
        <v>0</v>
      </c>
      <c r="U72" s="117"/>
      <c r="V72" s="118"/>
      <c r="W72" s="66"/>
      <c r="X72" s="97"/>
      <c r="Y72" s="97"/>
      <c r="Z72" s="98"/>
    </row>
    <row r="73" spans="1:26" ht="18">
      <c r="A73" s="88">
        <f t="shared" si="12"/>
        <v>62</v>
      </c>
      <c r="B73" s="128"/>
      <c r="C73" s="90" t="s">
        <v>283</v>
      </c>
      <c r="D73" s="90" t="s">
        <v>14</v>
      </c>
      <c r="E73" s="91" t="s">
        <v>284</v>
      </c>
      <c r="F73" s="122"/>
      <c r="G73" s="103" t="s">
        <v>346</v>
      </c>
      <c r="H73" s="127"/>
      <c r="I73" s="128"/>
      <c r="J73" s="128"/>
      <c r="K73" s="128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6">
        <f>H73*[0]!FMainPool1Fee+I73*[0]!FMainPool2Fee+J73*[0]!FMainPool3Fee+K73*[0]!FMainPool4Fee+B73*[0]!FMainEntryFee</f>
        <v>0</v>
      </c>
      <c r="U73" s="117"/>
      <c r="V73" s="118"/>
      <c r="W73" s="66"/>
      <c r="X73" s="97">
        <v>1</v>
      </c>
      <c r="Y73" s="97"/>
      <c r="Z73" s="98" t="s">
        <v>773</v>
      </c>
    </row>
    <row r="74" spans="1:26" ht="18">
      <c r="A74" s="88">
        <f t="shared" si="12"/>
        <v>63</v>
      </c>
      <c r="B74" s="128"/>
      <c r="C74" s="101" t="s">
        <v>13</v>
      </c>
      <c r="D74" s="101" t="s">
        <v>14</v>
      </c>
      <c r="E74" s="102" t="s">
        <v>168</v>
      </c>
      <c r="F74" s="123">
        <v>9168138609</v>
      </c>
      <c r="G74" s="103" t="s">
        <v>347</v>
      </c>
      <c r="H74" s="127"/>
      <c r="I74" s="128"/>
      <c r="J74" s="128"/>
      <c r="K74" s="128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6">
        <f>H74*[0]!FMainPool1Fee+I74*[0]!FMainPool2Fee+J74*[0]!FMainPool3Fee+K74*[0]!FMainPool4Fee+B74*[0]!FMainEntryFee</f>
        <v>0</v>
      </c>
      <c r="U74" s="117"/>
      <c r="V74" s="118"/>
      <c r="W74" s="66"/>
      <c r="X74" s="97"/>
      <c r="Y74" s="97"/>
      <c r="Z74" s="98"/>
    </row>
    <row r="75" spans="1:26" ht="18">
      <c r="A75" s="88">
        <f t="shared" si="12"/>
        <v>64</v>
      </c>
      <c r="B75" s="128"/>
      <c r="C75" s="99" t="s">
        <v>621</v>
      </c>
      <c r="D75" s="99"/>
      <c r="E75" s="66" t="s">
        <v>566</v>
      </c>
      <c r="F75" s="105"/>
      <c r="G75" s="99"/>
      <c r="H75" s="127"/>
      <c r="I75" s="128"/>
      <c r="J75" s="128"/>
      <c r="K75" s="128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6">
        <f>H75*[0]!FMainPool1Fee+I75*[0]!FMainPool2Fee+J75*[0]!FMainPool3Fee+K75*[0]!FMainPool4Fee+B75*[0]!FMainEntryFee</f>
        <v>0</v>
      </c>
      <c r="U75" s="117"/>
      <c r="V75" s="118"/>
      <c r="W75" s="66"/>
      <c r="X75" s="97"/>
      <c r="Y75" s="97"/>
      <c r="Z75" s="98"/>
    </row>
    <row r="76" spans="1:26" ht="18">
      <c r="A76" s="88">
        <f t="shared" si="12"/>
        <v>65</v>
      </c>
      <c r="B76" s="128"/>
      <c r="C76" s="99" t="s">
        <v>567</v>
      </c>
      <c r="D76" s="99" t="s">
        <v>568</v>
      </c>
      <c r="E76" s="66" t="s">
        <v>569</v>
      </c>
      <c r="F76" s="105"/>
      <c r="G76" s="99"/>
      <c r="H76" s="127"/>
      <c r="I76" s="128"/>
      <c r="J76" s="128"/>
      <c r="K76" s="128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6">
        <f>H76*[0]!FMainPool1Fee+I76*[0]!FMainPool2Fee+J76*[0]!FMainPool3Fee+K76*[0]!FMainPool4Fee+B76*[0]!FMainEntryFee</f>
        <v>0</v>
      </c>
      <c r="U76" s="117"/>
      <c r="V76" s="118"/>
      <c r="W76" s="66"/>
      <c r="X76" s="97"/>
      <c r="Y76" s="97"/>
      <c r="Z76" s="98"/>
    </row>
    <row r="77" spans="1:26" ht="18">
      <c r="A77" s="88">
        <f t="shared" si="12"/>
        <v>66</v>
      </c>
      <c r="B77" s="128"/>
      <c r="C77" s="90" t="s">
        <v>327</v>
      </c>
      <c r="D77" s="90" t="s">
        <v>328</v>
      </c>
      <c r="E77" s="121" t="s">
        <v>651</v>
      </c>
      <c r="F77" s="92">
        <v>4087325550</v>
      </c>
      <c r="G77" s="103" t="s">
        <v>329</v>
      </c>
      <c r="H77" s="127"/>
      <c r="I77" s="128"/>
      <c r="J77" s="128"/>
      <c r="K77" s="128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6">
        <f>H77*[0]!FMainPool1Fee+I77*[0]!FMainPool2Fee+J77*[0]!FMainPool3Fee+K77*[0]!FMainPool4Fee+B77*[0]!FMainEntryFee</f>
        <v>0</v>
      </c>
      <c r="U77" s="117"/>
      <c r="V77" s="118"/>
      <c r="W77" s="66"/>
      <c r="X77" s="97"/>
      <c r="Y77" s="97"/>
      <c r="Z77" s="98"/>
    </row>
    <row r="78" spans="1:26" ht="18">
      <c r="A78" s="88">
        <f t="shared" si="12"/>
        <v>67</v>
      </c>
      <c r="B78" s="128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127"/>
      <c r="I78" s="128"/>
      <c r="J78" s="128"/>
      <c r="K78" s="128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6">
        <f>H78*[0]!FMainPool1Fee+I78*[0]!FMainPool2Fee+J78*[0]!FMainPool3Fee+K78*[0]!FMainPool4Fee+B78*[0]!FMainEntryFee</f>
        <v>0</v>
      </c>
      <c r="U78" s="117"/>
      <c r="V78" s="118"/>
      <c r="W78" s="66"/>
      <c r="X78" s="97"/>
      <c r="Y78" s="97"/>
      <c r="Z78" s="98" t="s">
        <v>801</v>
      </c>
    </row>
    <row r="79" spans="1:26" ht="18">
      <c r="A79" s="88">
        <f t="shared" si="12"/>
        <v>68</v>
      </c>
      <c r="B79" s="128"/>
      <c r="C79" s="101" t="s">
        <v>6</v>
      </c>
      <c r="D79" s="101" t="s">
        <v>7</v>
      </c>
      <c r="E79" s="102" t="s">
        <v>170</v>
      </c>
      <c r="F79" s="104">
        <v>7078430109</v>
      </c>
      <c r="G79" s="93" t="s">
        <v>515</v>
      </c>
      <c r="H79" s="127"/>
      <c r="I79" s="128"/>
      <c r="J79" s="128"/>
      <c r="K79" s="128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6">
        <f>H79*[0]!FMainPool1Fee+I79*[0]!FMainPool2Fee+J79*[0]!FMainPool3Fee+K79*[0]!FMainPool4Fee+B79*[0]!FMainEntryFee</f>
        <v>0</v>
      </c>
      <c r="U79" s="117"/>
      <c r="V79" s="118"/>
      <c r="W79" s="66"/>
      <c r="X79" s="97"/>
      <c r="Y79" s="97"/>
      <c r="Z79" s="98"/>
    </row>
    <row r="80" spans="1:26" ht="18">
      <c r="A80" s="88">
        <f t="shared" si="12"/>
        <v>69</v>
      </c>
      <c r="B80" s="128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127"/>
      <c r="I80" s="128"/>
      <c r="J80" s="128"/>
      <c r="K80" s="128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6">
        <f>H80*[0]!FMainPool1Fee+I80*[0]!FMainPool2Fee+J80*[0]!FMainPool3Fee+K80*[0]!FMainPool4Fee+B80*[0]!FMainEntryFee</f>
        <v>0</v>
      </c>
      <c r="U80" s="117"/>
      <c r="V80" s="118"/>
      <c r="W80" s="66"/>
      <c r="X80" s="97"/>
      <c r="Y80" s="97"/>
      <c r="Z80" s="98"/>
    </row>
    <row r="81" spans="1:26" ht="18">
      <c r="A81" s="88">
        <f t="shared" si="12"/>
        <v>70</v>
      </c>
      <c r="B81" s="128"/>
      <c r="C81" s="99" t="s">
        <v>632</v>
      </c>
      <c r="D81" s="99" t="s">
        <v>277</v>
      </c>
      <c r="E81" s="66" t="s">
        <v>633</v>
      </c>
      <c r="F81" s="105"/>
      <c r="G81" s="99"/>
      <c r="H81" s="127"/>
      <c r="I81" s="128"/>
      <c r="J81" s="128"/>
      <c r="K81" s="128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6">
        <f>H81*[0]!FMainPool1Fee+I81*[0]!FMainPool2Fee+J81*[0]!FMainPool3Fee+K81*[0]!FMainPool4Fee+B81*[0]!FMainEntryFee</f>
        <v>0</v>
      </c>
      <c r="U81" s="117"/>
      <c r="V81" s="118"/>
      <c r="W81" s="66"/>
      <c r="X81" s="97"/>
      <c r="Y81" s="97"/>
      <c r="Z81" s="98"/>
    </row>
    <row r="82" spans="1:26" ht="18">
      <c r="A82" s="88">
        <f t="shared" si="12"/>
        <v>71</v>
      </c>
      <c r="B82" s="128"/>
      <c r="C82" s="90" t="s">
        <v>465</v>
      </c>
      <c r="D82" s="90" t="s">
        <v>111</v>
      </c>
      <c r="E82" s="91" t="s">
        <v>442</v>
      </c>
      <c r="F82" s="105" t="s">
        <v>516</v>
      </c>
      <c r="G82" s="99" t="s">
        <v>517</v>
      </c>
      <c r="H82" s="127"/>
      <c r="I82" s="128"/>
      <c r="J82" s="128"/>
      <c r="K82" s="128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6">
        <f>H82*[0]!FMainPool1Fee+I82*[0]!FMainPool2Fee+J82*[0]!FMainPool3Fee+K82*[0]!FMainPool4Fee+B82*[0]!FMainEntryFee</f>
        <v>0</v>
      </c>
      <c r="U82" s="117"/>
      <c r="V82" s="118"/>
      <c r="W82" s="66"/>
      <c r="X82" s="97"/>
      <c r="Y82" s="97"/>
      <c r="Z82" s="98"/>
    </row>
    <row r="83" spans="1:26" ht="18">
      <c r="A83" s="88">
        <f t="shared" si="12"/>
        <v>72</v>
      </c>
      <c r="B83" s="128"/>
      <c r="C83" s="101" t="s">
        <v>43</v>
      </c>
      <c r="D83" s="101" t="s">
        <v>5</v>
      </c>
      <c r="E83" s="102" t="s">
        <v>171</v>
      </c>
      <c r="F83" s="104" t="s">
        <v>518</v>
      </c>
      <c r="G83" s="103" t="s">
        <v>370</v>
      </c>
      <c r="H83" s="127"/>
      <c r="I83" s="128"/>
      <c r="J83" s="128"/>
      <c r="K83" s="128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6">
        <f>H83*[0]!FMainPool1Fee+I83*[0]!FMainPool2Fee+J83*[0]!FMainPool3Fee+K83*[0]!FMainPool4Fee+B83*[0]!FMainEntryFee</f>
        <v>0</v>
      </c>
      <c r="U83" s="117"/>
      <c r="V83" s="118"/>
      <c r="W83" s="66"/>
      <c r="X83" s="97"/>
      <c r="Y83" s="97"/>
      <c r="Z83" s="98"/>
    </row>
    <row r="84" spans="1:26" ht="18">
      <c r="A84" s="88">
        <f t="shared" si="12"/>
        <v>73</v>
      </c>
      <c r="B84" s="128"/>
      <c r="C84" s="101" t="s">
        <v>44</v>
      </c>
      <c r="D84" s="101" t="s">
        <v>5</v>
      </c>
      <c r="E84" s="102" t="s">
        <v>172</v>
      </c>
      <c r="F84" s="123" t="s">
        <v>518</v>
      </c>
      <c r="G84" s="103" t="s">
        <v>370</v>
      </c>
      <c r="H84" s="127"/>
      <c r="I84" s="128"/>
      <c r="J84" s="128"/>
      <c r="K84" s="128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6">
        <f>H84*[0]!FMainPool1Fee+I84*[0]!FMainPool2Fee+J84*[0]!FMainPool3Fee+K84*[0]!FMainPool4Fee+B84*[0]!FMainEntryFee</f>
        <v>0</v>
      </c>
      <c r="U84" s="117"/>
      <c r="V84" s="118"/>
      <c r="W84" s="66"/>
      <c r="X84" s="97"/>
      <c r="Y84" s="97"/>
      <c r="Z84" s="98"/>
    </row>
    <row r="85" spans="1:26" ht="18">
      <c r="A85" s="88">
        <f t="shared" si="12"/>
        <v>74</v>
      </c>
      <c r="B85" s="128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127"/>
      <c r="I85" s="128"/>
      <c r="J85" s="128"/>
      <c r="K85" s="128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6">
        <f>H85*[0]!FMainPool1Fee+I85*[0]!FMainPool2Fee+J85*[0]!FMainPool3Fee+K85*[0]!FMainPool4Fee+B85*[0]!FMainEntryFee</f>
        <v>0</v>
      </c>
      <c r="U85" s="117"/>
      <c r="V85" s="118"/>
      <c r="W85" s="66"/>
      <c r="X85" s="97"/>
      <c r="Y85" s="97"/>
      <c r="Z85" s="98"/>
    </row>
    <row r="86" spans="1:26" ht="18">
      <c r="A86" s="88">
        <f t="shared" si="12"/>
        <v>75</v>
      </c>
      <c r="B86" s="128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127"/>
      <c r="I86" s="128"/>
      <c r="J86" s="128"/>
      <c r="K86" s="128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6">
        <f>H86*[0]!FMainPool1Fee+I86*[0]!FMainPool2Fee+J86*[0]!FMainPool3Fee+K86*[0]!FMainPool4Fee+B86*[0]!FMainEntryFee</f>
        <v>0</v>
      </c>
      <c r="U86" s="117"/>
      <c r="V86" s="118"/>
      <c r="W86" s="66">
        <v>1</v>
      </c>
      <c r="X86" s="97"/>
      <c r="Y86" s="97"/>
      <c r="Z86" s="98"/>
    </row>
    <row r="87" spans="1:26" ht="18">
      <c r="A87" s="88">
        <f t="shared" si="12"/>
        <v>76</v>
      </c>
      <c r="B87" s="128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127"/>
      <c r="I87" s="128"/>
      <c r="J87" s="128"/>
      <c r="K87" s="128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6">
        <f>H87*[0]!FMainPool1Fee+I87*[0]!FMainPool2Fee+J87*[0]!FMainPool3Fee+K87*[0]!FMainPool4Fee+B87*[0]!FMainEntryFee</f>
        <v>0</v>
      </c>
      <c r="U87" s="117"/>
      <c r="V87" s="118"/>
      <c r="W87" s="66"/>
      <c r="X87" s="97"/>
      <c r="Y87" s="97"/>
      <c r="Z87" s="98"/>
    </row>
    <row r="88" spans="1:26" ht="18">
      <c r="A88" s="88">
        <f t="shared" si="12"/>
        <v>77</v>
      </c>
      <c r="B88" s="128"/>
      <c r="C88" s="90" t="s">
        <v>703</v>
      </c>
      <c r="D88" s="90" t="s">
        <v>704</v>
      </c>
      <c r="E88" s="91" t="s">
        <v>705</v>
      </c>
      <c r="F88" s="92">
        <v>9255487664</v>
      </c>
      <c r="G88" s="111" t="s">
        <v>706</v>
      </c>
      <c r="H88" s="127"/>
      <c r="I88" s="128"/>
      <c r="J88" s="128"/>
      <c r="K88" s="128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6">
        <f>H88*[0]!FMainPool1Fee+I88*[0]!FMainPool2Fee+J88*[0]!FMainPool3Fee+K88*[0]!FMainPool4Fee+B88*[0]!FMainEntryFee</f>
        <v>0</v>
      </c>
      <c r="U88" s="117"/>
      <c r="V88" s="118"/>
      <c r="W88" s="66"/>
      <c r="X88" s="97"/>
      <c r="Y88" s="97"/>
      <c r="Z88" s="98"/>
    </row>
    <row r="89" spans="1:26" ht="18">
      <c r="A89" s="88">
        <f t="shared" si="12"/>
        <v>78</v>
      </c>
      <c r="B89" s="128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127"/>
      <c r="I89" s="128"/>
      <c r="J89" s="128"/>
      <c r="K89" s="128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6">
        <f>H89*[0]!FMainPool1Fee+I89*[0]!FMainPool2Fee+J89*[0]!FMainPool3Fee+K89*[0]!FMainPool4Fee+B89*[0]!FMainEntryFee</f>
        <v>0</v>
      </c>
      <c r="U89" s="117"/>
      <c r="V89" s="118"/>
      <c r="W89" s="66"/>
      <c r="X89" s="97"/>
      <c r="Y89" s="97"/>
      <c r="Z89" s="98"/>
    </row>
    <row r="90" spans="1:26" ht="18">
      <c r="A90" s="88">
        <f t="shared" si="12"/>
        <v>79</v>
      </c>
      <c r="B90" s="128"/>
      <c r="C90" s="90" t="s">
        <v>721</v>
      </c>
      <c r="D90" s="90" t="s">
        <v>15</v>
      </c>
      <c r="E90" s="91" t="s">
        <v>722</v>
      </c>
      <c r="F90" s="92">
        <v>7078430341</v>
      </c>
      <c r="G90" s="112" t="s">
        <v>723</v>
      </c>
      <c r="H90" s="127"/>
      <c r="I90" s="128"/>
      <c r="J90" s="128"/>
      <c r="K90" s="128"/>
      <c r="L90" s="89"/>
      <c r="M90" s="89"/>
      <c r="N90" s="89"/>
      <c r="O90" s="95">
        <f t="shared" si="9"/>
        <v>0</v>
      </c>
      <c r="P90" s="89"/>
      <c r="Q90" s="89"/>
      <c r="R90" s="96" t="str">
        <f t="shared" si="11"/>
        <v/>
      </c>
      <c r="S90" s="96" t="str">
        <f t="shared" si="10"/>
        <v/>
      </c>
      <c r="T90" s="116">
        <f>H90*[0]!FMainPool1Fee+I90*[0]!FMainPool2Fee+J90*[0]!FMainPool3Fee+K90*[0]!FMainPool4Fee+B90*[0]!FMainEntryFee</f>
        <v>0</v>
      </c>
      <c r="U90" s="117"/>
      <c r="V90" s="118"/>
      <c r="W90" s="66"/>
      <c r="X90" s="97"/>
      <c r="Y90" s="97"/>
      <c r="Z90" s="98"/>
    </row>
    <row r="91" spans="1:26" ht="18">
      <c r="A91" s="88">
        <f t="shared" si="12"/>
        <v>80</v>
      </c>
      <c r="B91" s="128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127"/>
      <c r="I91" s="128"/>
      <c r="J91" s="128"/>
      <c r="K91" s="128"/>
      <c r="L91" s="89"/>
      <c r="M91" s="89"/>
      <c r="N91" s="89"/>
      <c r="O91" s="95"/>
      <c r="P91" s="89"/>
      <c r="Q91" s="89"/>
      <c r="R91" s="96" t="str">
        <f t="shared" si="11"/>
        <v/>
      </c>
      <c r="S91" s="96" t="str">
        <f t="shared" si="10"/>
        <v/>
      </c>
      <c r="T91" s="116"/>
      <c r="U91" s="117"/>
      <c r="V91" s="118"/>
      <c r="W91" s="66"/>
      <c r="X91" s="97"/>
      <c r="Y91" s="97"/>
      <c r="Z91" s="98"/>
    </row>
    <row r="92" spans="1:26" ht="18">
      <c r="A92" s="88">
        <f t="shared" si="12"/>
        <v>81</v>
      </c>
      <c r="B92" s="128"/>
      <c r="C92" s="101" t="s">
        <v>11</v>
      </c>
      <c r="D92" s="101" t="s">
        <v>12</v>
      </c>
      <c r="E92" s="102" t="s">
        <v>167</v>
      </c>
      <c r="F92" s="104">
        <v>9253213485</v>
      </c>
      <c r="G92" s="103" t="s">
        <v>95</v>
      </c>
      <c r="H92" s="127"/>
      <c r="I92" s="128"/>
      <c r="J92" s="128"/>
      <c r="K92" s="128"/>
      <c r="L92" s="89"/>
      <c r="M92" s="89"/>
      <c r="N92" s="89"/>
      <c r="O92" s="95">
        <f t="shared" ref="O92:O109" si="13">T92*N92</f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6">
        <f>H92*[0]!FMainPool1Fee+I92*[0]!FMainPool2Fee+J92*[0]!FMainPool3Fee+K92*[0]!FMainPool4Fee+B92*[0]!FMainEntryFee</f>
        <v>0</v>
      </c>
      <c r="U92" s="117"/>
      <c r="V92" s="118"/>
      <c r="W92" s="66"/>
      <c r="X92" s="97"/>
      <c r="Y92" s="97"/>
      <c r="Z92" s="98"/>
    </row>
    <row r="93" spans="1:26" ht="18">
      <c r="A93" s="88">
        <f t="shared" si="12"/>
        <v>82</v>
      </c>
      <c r="B93" s="128"/>
      <c r="C93" s="90" t="s">
        <v>246</v>
      </c>
      <c r="D93" s="90" t="s">
        <v>40</v>
      </c>
      <c r="E93" s="91" t="s">
        <v>247</v>
      </c>
      <c r="F93" s="92"/>
      <c r="G93" s="103"/>
      <c r="H93" s="127"/>
      <c r="I93" s="128"/>
      <c r="J93" s="128"/>
      <c r="K93" s="128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si="10"/>
        <v/>
      </c>
      <c r="T93" s="116">
        <f>H93*[0]!FMainPool1Fee+I93*[0]!FMainPool2Fee+J93*[0]!FMainPool3Fee+K93*[0]!FMainPool4Fee+B93*[0]!FMainEntryFee</f>
        <v>0</v>
      </c>
      <c r="U93" s="117"/>
      <c r="V93" s="118"/>
      <c r="W93" s="66"/>
      <c r="X93" s="97"/>
      <c r="Y93" s="97"/>
      <c r="Z93" s="98"/>
    </row>
    <row r="94" spans="1:26" ht="18">
      <c r="A94" s="88">
        <f t="shared" si="12"/>
        <v>83</v>
      </c>
      <c r="B94" s="128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127"/>
      <c r="I94" s="128"/>
      <c r="J94" s="128"/>
      <c r="K94" s="128"/>
      <c r="L94" s="89"/>
      <c r="M94" s="89"/>
      <c r="N94" s="89"/>
      <c r="O94" s="95">
        <f t="shared" si="13"/>
        <v>0</v>
      </c>
      <c r="P94" s="89"/>
      <c r="Q94" s="89"/>
      <c r="R94" s="96" t="str">
        <f t="shared" si="11"/>
        <v/>
      </c>
      <c r="S94" s="96" t="str">
        <f t="shared" ref="S94:S125" si="14">IF(OR(P94="$",N94=1),+T94,"")</f>
        <v/>
      </c>
      <c r="T94" s="116">
        <f>H94*[0]!FMainPool1Fee+I94*[0]!FMainPool2Fee+J94*[0]!FMainPool3Fee+K94*[0]!FMainPool4Fee+B94*[0]!FMainEntryFee</f>
        <v>0</v>
      </c>
      <c r="U94" s="117"/>
      <c r="V94" s="118"/>
      <c r="W94" s="66"/>
      <c r="X94" s="97"/>
      <c r="Y94" s="97"/>
      <c r="Z94" s="98" t="s">
        <v>750</v>
      </c>
    </row>
    <row r="95" spans="1:26" ht="18">
      <c r="A95" s="88">
        <f t="shared" si="12"/>
        <v>84</v>
      </c>
      <c r="B95" s="128"/>
      <c r="C95" s="101" t="s">
        <v>33</v>
      </c>
      <c r="D95" s="101" t="s">
        <v>34</v>
      </c>
      <c r="E95" s="102" t="s">
        <v>180</v>
      </c>
      <c r="F95" s="123"/>
      <c r="G95" s="103" t="s">
        <v>139</v>
      </c>
      <c r="H95" s="127"/>
      <c r="I95" s="128"/>
      <c r="J95" s="128"/>
      <c r="K95" s="128"/>
      <c r="L95" s="89"/>
      <c r="M95" s="89"/>
      <c r="N95" s="89"/>
      <c r="O95" s="95">
        <f t="shared" si="13"/>
        <v>0</v>
      </c>
      <c r="P95" s="89"/>
      <c r="Q95" s="89"/>
      <c r="R95" s="96" t="str">
        <f t="shared" si="11"/>
        <v/>
      </c>
      <c r="S95" s="96" t="str">
        <f t="shared" si="14"/>
        <v/>
      </c>
      <c r="T95" s="116">
        <f>H95*[0]!FMainPool1Fee+I95*[0]!FMainPool2Fee+J95*[0]!FMainPool3Fee+K95*[0]!FMainPool4Fee+B95*[0]!FMainEntryFee</f>
        <v>0</v>
      </c>
      <c r="U95" s="117"/>
      <c r="V95" s="118"/>
      <c r="W95" s="66"/>
      <c r="X95" s="97"/>
      <c r="Y95" s="97"/>
      <c r="Z95" s="98"/>
    </row>
    <row r="96" spans="1:26" ht="18">
      <c r="A96" s="88">
        <f t="shared" si="12"/>
        <v>85</v>
      </c>
      <c r="B96" s="128"/>
      <c r="C96" s="101" t="s">
        <v>459</v>
      </c>
      <c r="D96" s="101" t="s">
        <v>451</v>
      </c>
      <c r="E96" s="88" t="s">
        <v>452</v>
      </c>
      <c r="F96" s="105" t="s">
        <v>521</v>
      </c>
      <c r="G96" s="99" t="s">
        <v>522</v>
      </c>
      <c r="H96" s="127"/>
      <c r="I96" s="128"/>
      <c r="J96" s="128"/>
      <c r="K96" s="128"/>
      <c r="L96" s="89"/>
      <c r="M96" s="89"/>
      <c r="N96" s="89"/>
      <c r="O96" s="95">
        <f t="shared" si="13"/>
        <v>0</v>
      </c>
      <c r="P96" s="89"/>
      <c r="Q96" s="89"/>
      <c r="R96" s="96" t="str">
        <f t="shared" ref="R96:R127" si="15">IF(OR(P96="c",P96="C"),+T96,"")</f>
        <v/>
      </c>
      <c r="S96" s="96" t="str">
        <f t="shared" si="14"/>
        <v/>
      </c>
      <c r="T96" s="116">
        <f>H96*[0]!FMainPool1Fee+I96*[0]!FMainPool2Fee+J96*[0]!FMainPool3Fee+K96*[0]!FMainPool4Fee+B96*[0]!FMainEntryFee</f>
        <v>0</v>
      </c>
      <c r="U96" s="117"/>
      <c r="V96" s="118"/>
      <c r="W96" s="66"/>
      <c r="X96" s="97"/>
      <c r="Y96" s="97"/>
      <c r="Z96" s="98"/>
    </row>
    <row r="97" spans="1:26" ht="18">
      <c r="A97" s="88">
        <f t="shared" si="12"/>
        <v>86</v>
      </c>
      <c r="B97" s="128"/>
      <c r="C97" s="99" t="s">
        <v>655</v>
      </c>
      <c r="D97" s="99" t="s">
        <v>40</v>
      </c>
      <c r="E97" s="66" t="s">
        <v>656</v>
      </c>
      <c r="F97" s="105">
        <v>7075027980</v>
      </c>
      <c r="G97" s="109" t="s">
        <v>666</v>
      </c>
      <c r="H97" s="127"/>
      <c r="I97" s="128"/>
      <c r="J97" s="128"/>
      <c r="K97" s="128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6">
        <f>H97*[0]!FMainPool1Fee+I97*[0]!FMainPool2Fee+J97*[0]!FMainPool3Fee+K97*[0]!FMainPool4Fee+B97*[0]!FMainEntryFee</f>
        <v>0</v>
      </c>
      <c r="U97" s="117"/>
      <c r="V97" s="118"/>
      <c r="W97" s="66"/>
      <c r="X97" s="97"/>
      <c r="Y97" s="97">
        <v>1</v>
      </c>
      <c r="Z97" s="98"/>
    </row>
    <row r="98" spans="1:26" ht="18">
      <c r="A98" s="88">
        <f t="shared" si="12"/>
        <v>87</v>
      </c>
      <c r="B98" s="128"/>
      <c r="C98" s="101" t="s">
        <v>63</v>
      </c>
      <c r="D98" s="101" t="s">
        <v>57</v>
      </c>
      <c r="E98" s="102" t="s">
        <v>178</v>
      </c>
      <c r="F98" s="123"/>
      <c r="G98" s="103" t="s">
        <v>140</v>
      </c>
      <c r="H98" s="127"/>
      <c r="I98" s="128"/>
      <c r="J98" s="128"/>
      <c r="K98" s="128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6">
        <f>H98*[0]!FMainPool1Fee+I98*[0]!FMainPool2Fee+J98*[0]!FMainPool3Fee+K98*[0]!FMainPool4Fee+B98*[0]!FMainEntryFee</f>
        <v>0</v>
      </c>
      <c r="U98" s="117"/>
      <c r="V98" s="118"/>
      <c r="W98" s="66"/>
      <c r="X98" s="97"/>
      <c r="Y98" s="97"/>
      <c r="Z98" s="98"/>
    </row>
    <row r="99" spans="1:26" ht="18">
      <c r="A99" s="88">
        <f t="shared" si="12"/>
        <v>88</v>
      </c>
      <c r="B99" s="128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127"/>
      <c r="I99" s="128"/>
      <c r="J99" s="128"/>
      <c r="K99" s="128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6">
        <f>H99*[0]!FMainPool1Fee+I99*[0]!FMainPool2Fee+J99*[0]!FMainPool3Fee+K99*[0]!FMainPool4Fee+B99*[0]!FMainEntryFee</f>
        <v>0</v>
      </c>
      <c r="U99" s="117"/>
      <c r="V99" s="118"/>
      <c r="W99" s="66"/>
      <c r="X99" s="97">
        <v>1</v>
      </c>
      <c r="Y99" s="97"/>
      <c r="Z99" s="98"/>
    </row>
    <row r="100" spans="1:26" ht="18">
      <c r="A100" s="88">
        <f t="shared" si="12"/>
        <v>89</v>
      </c>
      <c r="B100" s="128"/>
      <c r="C100" s="101" t="s">
        <v>70</v>
      </c>
      <c r="D100" s="101" t="s">
        <v>71</v>
      </c>
      <c r="E100" s="102" t="s">
        <v>191</v>
      </c>
      <c r="F100" s="104"/>
      <c r="G100" s="103" t="s">
        <v>151</v>
      </c>
      <c r="H100" s="127"/>
      <c r="I100" s="128"/>
      <c r="J100" s="128"/>
      <c r="K100" s="128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6">
        <f>H100*[0]!FMainPool1Fee+I100*[0]!FMainPool2Fee+J100*[0]!FMainPool3Fee+K100*[0]!FMainPool4Fee+B100*[0]!FMainEntryFee</f>
        <v>0</v>
      </c>
      <c r="U100" s="117"/>
      <c r="V100" s="118"/>
      <c r="W100" s="66"/>
      <c r="X100" s="97"/>
      <c r="Y100" s="97"/>
      <c r="Z100" s="98"/>
    </row>
    <row r="101" spans="1:26" ht="18">
      <c r="A101" s="88">
        <f t="shared" si="12"/>
        <v>90</v>
      </c>
      <c r="B101" s="128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127"/>
      <c r="I101" s="128"/>
      <c r="J101" s="128"/>
      <c r="K101" s="128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6">
        <f>H101*[0]!FMainPool1Fee+I101*[0]!FMainPool2Fee+J101*[0]!FMainPool3Fee+K101*[0]!FMainPool4Fee+B101*[0]!FMainEntryFee</f>
        <v>0</v>
      </c>
      <c r="U101" s="117"/>
      <c r="V101" s="118"/>
      <c r="W101" s="66">
        <v>1</v>
      </c>
      <c r="X101" s="97"/>
      <c r="Y101" s="97"/>
      <c r="Z101" s="98"/>
    </row>
    <row r="102" spans="1:26" ht="18">
      <c r="A102" s="88">
        <f t="shared" si="12"/>
        <v>91</v>
      </c>
      <c r="B102" s="128"/>
      <c r="C102" s="101" t="s">
        <v>54</v>
      </c>
      <c r="D102" s="101" t="s">
        <v>55</v>
      </c>
      <c r="E102" s="102" t="s">
        <v>221</v>
      </c>
      <c r="F102" s="104"/>
      <c r="G102" s="103" t="s">
        <v>373</v>
      </c>
      <c r="H102" s="127"/>
      <c r="I102" s="128"/>
      <c r="J102" s="128"/>
      <c r="K102" s="128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6">
        <f>H102*[0]!FMainPool1Fee+I102*[0]!FMainPool2Fee+J102*[0]!FMainPool3Fee+K102*[0]!FMainPool4Fee+B102*[0]!FMainEntryFee</f>
        <v>0</v>
      </c>
      <c r="U102" s="117"/>
      <c r="V102" s="118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16">ROW() - ROW(FRegentiresEneteredHdr)</f>
        <v>92</v>
      </c>
      <c r="B103" s="128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127"/>
      <c r="I103" s="128"/>
      <c r="J103" s="128"/>
      <c r="K103" s="128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6">
        <f>H103*[0]!FMainPool1Fee+I103*[0]!FMainPool2Fee+J103*[0]!FMainPool3Fee+K103*[0]!FMainPool4Fee+B103*[0]!FMainEntryFee</f>
        <v>0</v>
      </c>
      <c r="U103" s="117"/>
      <c r="V103" s="118"/>
      <c r="W103" s="66"/>
      <c r="X103" s="97"/>
      <c r="Y103" s="97"/>
      <c r="Z103" s="98"/>
    </row>
    <row r="104" spans="1:26" ht="18">
      <c r="A104" s="88">
        <f t="shared" si="16"/>
        <v>93</v>
      </c>
      <c r="B104" s="128"/>
      <c r="C104" s="101" t="s">
        <v>58</v>
      </c>
      <c r="D104" s="101" t="s">
        <v>14</v>
      </c>
      <c r="E104" s="102" t="s">
        <v>165</v>
      </c>
      <c r="F104" s="105" t="s">
        <v>525</v>
      </c>
      <c r="G104" s="103" t="s">
        <v>124</v>
      </c>
      <c r="H104" s="127"/>
      <c r="I104" s="128"/>
      <c r="J104" s="128"/>
      <c r="K104" s="128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6">
        <f>H104*[0]!FMainPool1Fee+I104*[0]!FMainPool2Fee+J104*[0]!FMainPool3Fee+K104*[0]!FMainPool4Fee+B104*[0]!FMainEntryFee</f>
        <v>0</v>
      </c>
      <c r="U104" s="117"/>
      <c r="V104" s="118"/>
      <c r="W104" s="66"/>
      <c r="X104" s="97"/>
      <c r="Y104" s="97"/>
      <c r="Z104" s="98"/>
    </row>
    <row r="105" spans="1:26" ht="18">
      <c r="A105" s="88">
        <f t="shared" si="16"/>
        <v>94</v>
      </c>
      <c r="B105" s="128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127"/>
      <c r="I105" s="128"/>
      <c r="J105" s="128"/>
      <c r="K105" s="128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6">
        <f>H105*[0]!FMainPool1Fee+I105*[0]!FMainPool2Fee+J105*[0]!FMainPool3Fee+K105*[0]!FMainPool4Fee+B105*[0]!FMainEntryFee</f>
        <v>0</v>
      </c>
      <c r="U105" s="117"/>
      <c r="V105" s="118"/>
      <c r="W105" s="66"/>
      <c r="X105" s="97"/>
      <c r="Y105" s="97"/>
      <c r="Z105" s="98"/>
    </row>
    <row r="106" spans="1:26" ht="18">
      <c r="A106" s="88">
        <f t="shared" si="16"/>
        <v>95</v>
      </c>
      <c r="B106" s="128"/>
      <c r="C106" s="90" t="s">
        <v>232</v>
      </c>
      <c r="D106" s="90" t="s">
        <v>233</v>
      </c>
      <c r="E106" s="91" t="s">
        <v>234</v>
      </c>
      <c r="F106" s="92"/>
      <c r="G106" s="103"/>
      <c r="H106" s="127"/>
      <c r="I106" s="128"/>
      <c r="J106" s="128"/>
      <c r="K106" s="128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6">
        <f>H106*[0]!FMainPool1Fee+I106*[0]!FMainPool2Fee+J106*[0]!FMainPool3Fee+K106*[0]!FMainPool4Fee+B106*[0]!FMainEntryFee</f>
        <v>0</v>
      </c>
      <c r="U106" s="117"/>
      <c r="V106" s="118"/>
      <c r="W106" s="66"/>
      <c r="X106" s="97"/>
      <c r="Y106" s="97"/>
      <c r="Z106" s="98"/>
    </row>
    <row r="107" spans="1:26" ht="18">
      <c r="A107" s="88">
        <f t="shared" si="16"/>
        <v>96</v>
      </c>
      <c r="B107" s="128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127"/>
      <c r="I107" s="128"/>
      <c r="J107" s="128"/>
      <c r="K107" s="128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6">
        <f>H107*[0]!FMainPool1Fee+I107*[0]!FMainPool2Fee+J107*[0]!FMainPool3Fee+K107*[0]!FMainPool4Fee+B107*[0]!FMainEntryFee</f>
        <v>0</v>
      </c>
      <c r="U107" s="117"/>
      <c r="V107" s="118"/>
      <c r="W107" s="66"/>
      <c r="X107" s="97"/>
      <c r="Y107" s="97"/>
      <c r="Z107" s="98"/>
    </row>
    <row r="108" spans="1:26" ht="18">
      <c r="A108" s="88">
        <f t="shared" si="16"/>
        <v>97</v>
      </c>
      <c r="B108" s="128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127"/>
      <c r="I108" s="128"/>
      <c r="J108" s="128"/>
      <c r="K108" s="128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6">
        <f>H108*[0]!FMainPool1Fee+I108*[0]!FMainPool2Fee+J108*[0]!FMainPool3Fee+K108*[0]!FMainPool4Fee+B108*[0]!FMainEntryFee</f>
        <v>0</v>
      </c>
      <c r="U108" s="117"/>
      <c r="V108" s="118"/>
      <c r="W108" s="66"/>
      <c r="X108" s="97"/>
      <c r="Y108" s="97"/>
      <c r="Z108" s="98"/>
    </row>
    <row r="109" spans="1:26" ht="18">
      <c r="A109" s="88">
        <f t="shared" si="16"/>
        <v>98</v>
      </c>
      <c r="B109" s="128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127"/>
      <c r="I109" s="128"/>
      <c r="J109" s="128"/>
      <c r="K109" s="128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6">
        <f>H109*[0]!FMainPool1Fee+I109*[0]!FMainPool2Fee+J109*[0]!FMainPool3Fee+K109*[0]!FMainPool4Fee+B109*[0]!FMainEntryFee</f>
        <v>0</v>
      </c>
      <c r="U109" s="117"/>
      <c r="V109" s="118"/>
      <c r="W109" s="66"/>
      <c r="X109" s="97"/>
      <c r="Y109" s="97" t="s">
        <v>776</v>
      </c>
      <c r="Z109" s="98"/>
    </row>
    <row r="110" spans="1:26" ht="18">
      <c r="A110" s="88">
        <f t="shared" si="16"/>
        <v>99</v>
      </c>
      <c r="B110" s="128"/>
      <c r="C110" s="101" t="s">
        <v>48</v>
      </c>
      <c r="D110" s="101" t="s">
        <v>704</v>
      </c>
      <c r="E110" s="102" t="s">
        <v>187</v>
      </c>
      <c r="F110" s="105">
        <v>5103760257</v>
      </c>
      <c r="G110" s="103" t="s">
        <v>374</v>
      </c>
      <c r="H110" s="127"/>
      <c r="I110" s="128"/>
      <c r="J110" s="128"/>
      <c r="K110" s="128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6">
        <f>H110*[0]!FMainPool1Fee+I110*[0]!FMainPool2Fee+J110*[0]!FMainPool3Fee+K110*[0]!FMainPool4Fee+B110*[0]!FMainEntryFee</f>
        <v>0</v>
      </c>
      <c r="U110" s="117"/>
      <c r="V110" s="118"/>
      <c r="W110" s="66"/>
      <c r="X110" s="97"/>
      <c r="Y110" s="97"/>
      <c r="Z110" s="98"/>
    </row>
    <row r="111" spans="1:26" ht="18">
      <c r="A111" s="88">
        <f t="shared" si="16"/>
        <v>100</v>
      </c>
      <c r="B111" s="128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127"/>
      <c r="I111" s="128"/>
      <c r="J111" s="128"/>
      <c r="K111" s="128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6">
        <f>H111*[0]!FMainPool1Fee+I111*[0]!FMainPool2Fee+J111*[0]!FMainPool3Fee+K111*[0]!FMainPool4Fee+B111*[0]!FMainEntryFee</f>
        <v>0</v>
      </c>
      <c r="U111" s="117"/>
      <c r="V111" s="118"/>
      <c r="W111" s="66"/>
      <c r="X111" s="97"/>
      <c r="Y111" s="97"/>
      <c r="Z111" s="98"/>
    </row>
    <row r="112" spans="1:26" ht="18">
      <c r="A112" s="88">
        <f t="shared" si="16"/>
        <v>101</v>
      </c>
      <c r="B112" s="128"/>
      <c r="C112" s="99" t="s">
        <v>634</v>
      </c>
      <c r="D112" s="99" t="s">
        <v>5</v>
      </c>
      <c r="E112" s="66" t="s">
        <v>635</v>
      </c>
      <c r="F112" s="105"/>
      <c r="G112" s="99"/>
      <c r="H112" s="127"/>
      <c r="I112" s="128"/>
      <c r="J112" s="128"/>
      <c r="K112" s="128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6">
        <f>H112*[0]!FMainPool1Fee+I112*[0]!FMainPool2Fee+J112*[0]!FMainPool3Fee+K112*[0]!FMainPool4Fee+B112*[0]!FMainEntryFee</f>
        <v>0</v>
      </c>
      <c r="U112" s="117"/>
      <c r="V112" s="118"/>
      <c r="W112" s="66"/>
      <c r="X112" s="97"/>
      <c r="Y112" s="97"/>
      <c r="Z112" s="98"/>
    </row>
    <row r="113" spans="1:26" ht="18">
      <c r="A113" s="88">
        <f t="shared" si="16"/>
        <v>102</v>
      </c>
      <c r="B113" s="128"/>
      <c r="C113" s="90" t="s">
        <v>412</v>
      </c>
      <c r="D113" s="90" t="s">
        <v>57</v>
      </c>
      <c r="E113" s="121" t="s">
        <v>413</v>
      </c>
      <c r="F113" s="122"/>
      <c r="G113" s="126"/>
      <c r="H113" s="127"/>
      <c r="I113" s="128"/>
      <c r="J113" s="128"/>
      <c r="K113" s="128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6">
        <f>H113*[0]!FMainPool1Fee+I113*[0]!FMainPool2Fee+J113*[0]!FMainPool3Fee+K113*[0]!FMainPool4Fee+B113*[0]!FMainEntryFee</f>
        <v>0</v>
      </c>
      <c r="U113" s="117"/>
      <c r="V113" s="118"/>
      <c r="W113" s="66"/>
      <c r="X113" s="97"/>
      <c r="Y113" s="97"/>
      <c r="Z113" s="98"/>
    </row>
    <row r="114" spans="1:26" ht="18">
      <c r="A114" s="88">
        <f t="shared" si="16"/>
        <v>103</v>
      </c>
      <c r="B114" s="128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127"/>
      <c r="I114" s="128"/>
      <c r="J114" s="128"/>
      <c r="K114" s="128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6">
        <f>H114*[0]!FMainPool1Fee+I114*[0]!FMainPool2Fee+J114*[0]!FMainPool3Fee+K114*[0]!FMainPool4Fee+B114*[0]!FMainEntryFee</f>
        <v>0</v>
      </c>
      <c r="U114" s="117"/>
      <c r="V114" s="118"/>
      <c r="W114" s="66"/>
      <c r="X114" s="97"/>
      <c r="Y114" s="97"/>
      <c r="Z114" s="98"/>
    </row>
    <row r="115" spans="1:26" ht="18">
      <c r="A115" s="88">
        <f t="shared" si="16"/>
        <v>104</v>
      </c>
      <c r="B115" s="128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127"/>
      <c r="I115" s="128"/>
      <c r="J115" s="128"/>
      <c r="K115" s="128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6">
        <f>H115*[0]!FMainPool1Fee+I115*[0]!FMainPool2Fee+J115*[0]!FMainPool3Fee+K115*[0]!FMainPool4Fee+B115*[0]!FMainEntryFee</f>
        <v>0</v>
      </c>
      <c r="U115" s="117"/>
      <c r="V115" s="118"/>
      <c r="W115" s="66"/>
      <c r="X115" s="97"/>
      <c r="Y115" s="97"/>
      <c r="Z115" s="98"/>
    </row>
    <row r="116" spans="1:26" ht="18">
      <c r="A116" s="88">
        <f t="shared" si="16"/>
        <v>105</v>
      </c>
      <c r="B116" s="128"/>
      <c r="C116" s="99" t="s">
        <v>577</v>
      </c>
      <c r="D116" s="99" t="s">
        <v>5</v>
      </c>
      <c r="E116" s="66" t="s">
        <v>578</v>
      </c>
      <c r="F116" s="105"/>
      <c r="G116" s="99"/>
      <c r="H116" s="127"/>
      <c r="I116" s="128"/>
      <c r="J116" s="128"/>
      <c r="K116" s="128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6">
        <f>H116*[0]!FMainPool1Fee+I116*[0]!FMainPool2Fee+J116*[0]!FMainPool3Fee+K116*[0]!FMainPool4Fee+B116*[0]!FMainEntryFee</f>
        <v>0</v>
      </c>
      <c r="U116" s="117"/>
      <c r="V116" s="118"/>
      <c r="W116" s="66"/>
      <c r="X116" s="97"/>
      <c r="Y116" s="97"/>
      <c r="Z116" s="98"/>
    </row>
    <row r="117" spans="1:26" ht="18">
      <c r="A117" s="88">
        <f t="shared" si="16"/>
        <v>106</v>
      </c>
      <c r="B117" s="128"/>
      <c r="C117" s="90" t="s">
        <v>419</v>
      </c>
      <c r="D117" s="90" t="s">
        <v>458</v>
      </c>
      <c r="E117" s="66" t="s">
        <v>469</v>
      </c>
      <c r="F117" s="92"/>
      <c r="G117" s="103"/>
      <c r="H117" s="127"/>
      <c r="I117" s="128"/>
      <c r="J117" s="128"/>
      <c r="K117" s="128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6">
        <f>H117*[0]!FMainPool1Fee+I117*[0]!FMainPool2Fee+J117*[0]!FMainPool3Fee+K117*[0]!FMainPool4Fee+B117*[0]!FMainEntryFee</f>
        <v>0</v>
      </c>
      <c r="U117" s="117"/>
      <c r="V117" s="118"/>
      <c r="W117" s="66"/>
      <c r="X117" s="97"/>
      <c r="Y117" s="97"/>
      <c r="Z117" s="98"/>
    </row>
    <row r="118" spans="1:26" ht="18">
      <c r="A118" s="88">
        <f t="shared" si="16"/>
        <v>107</v>
      </c>
      <c r="B118" s="128"/>
      <c r="C118" s="99" t="s">
        <v>579</v>
      </c>
      <c r="D118" s="99" t="s">
        <v>450</v>
      </c>
      <c r="E118" s="66" t="s">
        <v>580</v>
      </c>
      <c r="F118" s="105">
        <v>5103043540</v>
      </c>
      <c r="G118" s="109" t="s">
        <v>676</v>
      </c>
      <c r="H118" s="127"/>
      <c r="I118" s="128"/>
      <c r="J118" s="128"/>
      <c r="K118" s="128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6">
        <f>H118*[0]!FMainPool1Fee+I118*[0]!FMainPool2Fee+J118*[0]!FMainPool3Fee+K118*[0]!FMainPool4Fee+B118*[0]!FMainEntryFee</f>
        <v>0</v>
      </c>
      <c r="U118" s="117"/>
      <c r="V118" s="118"/>
      <c r="W118" s="66"/>
      <c r="X118" s="97"/>
      <c r="Y118" s="97"/>
      <c r="Z118" s="98"/>
    </row>
    <row r="119" spans="1:26" ht="18">
      <c r="A119" s="88">
        <f t="shared" si="16"/>
        <v>108</v>
      </c>
      <c r="B119" s="128"/>
      <c r="C119" s="99" t="s">
        <v>659</v>
      </c>
      <c r="D119" s="99" t="s">
        <v>660</v>
      </c>
      <c r="E119" s="66" t="s">
        <v>661</v>
      </c>
      <c r="F119" s="105">
        <v>5309277047</v>
      </c>
      <c r="G119" s="109" t="s">
        <v>665</v>
      </c>
      <c r="H119" s="127"/>
      <c r="I119" s="128"/>
      <c r="J119" s="128"/>
      <c r="K119" s="128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6">
        <f>H119*[0]!FMainPool1Fee+I119*[0]!FMainPool2Fee+J119*[0]!FMainPool3Fee+K119*[0]!FMainPool4Fee+B119*[0]!FMainEntryFee</f>
        <v>0</v>
      </c>
      <c r="U119" s="117"/>
      <c r="V119" s="118"/>
      <c r="W119" s="66"/>
      <c r="X119" s="97"/>
      <c r="Y119" s="97"/>
      <c r="Z119" s="98"/>
    </row>
    <row r="120" spans="1:26" ht="18">
      <c r="A120" s="88">
        <f t="shared" si="16"/>
        <v>109</v>
      </c>
      <c r="B120" s="128"/>
      <c r="C120" s="99" t="s">
        <v>662</v>
      </c>
      <c r="D120" s="99" t="s">
        <v>660</v>
      </c>
      <c r="E120" s="66" t="s">
        <v>663</v>
      </c>
      <c r="F120" s="124">
        <v>5309277048</v>
      </c>
      <c r="G120" s="109" t="s">
        <v>664</v>
      </c>
      <c r="H120" s="127"/>
      <c r="I120" s="128"/>
      <c r="J120" s="128"/>
      <c r="K120" s="128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6">
        <f>H120*[0]!FMainPool1Fee+I120*[0]!FMainPool2Fee+J120*[0]!FMainPool3Fee+K120*[0]!FMainPool4Fee+B120*[0]!FMainEntryFee</f>
        <v>0</v>
      </c>
      <c r="U120" s="117"/>
      <c r="V120" s="118"/>
      <c r="W120" s="66"/>
      <c r="X120" s="97">
        <v>1</v>
      </c>
      <c r="Y120" s="97"/>
      <c r="Z120" s="98" t="s">
        <v>742</v>
      </c>
    </row>
    <row r="121" spans="1:26" ht="18">
      <c r="A121" s="88">
        <f t="shared" si="16"/>
        <v>110</v>
      </c>
      <c r="B121" s="128"/>
      <c r="C121" s="90" t="s">
        <v>132</v>
      </c>
      <c r="D121" s="90" t="s">
        <v>133</v>
      </c>
      <c r="E121" s="91" t="s">
        <v>223</v>
      </c>
      <c r="F121" s="106"/>
      <c r="G121" s="103" t="s">
        <v>350</v>
      </c>
      <c r="H121" s="127"/>
      <c r="I121" s="128"/>
      <c r="J121" s="128"/>
      <c r="K121" s="128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6">
        <f>H121*[0]!FMainPool1Fee+I121*[0]!FMainPool2Fee+J121*[0]!FMainPool3Fee+K121*[0]!FMainPool4Fee+B121*[0]!FMainEntryFee</f>
        <v>0</v>
      </c>
      <c r="U121" s="117"/>
      <c r="V121" s="118"/>
      <c r="W121" s="66"/>
      <c r="X121" s="97"/>
      <c r="Y121" s="97">
        <v>1</v>
      </c>
      <c r="Z121" s="98"/>
    </row>
    <row r="122" spans="1:26" ht="18">
      <c r="A122" s="88">
        <f t="shared" si="16"/>
        <v>111</v>
      </c>
      <c r="B122" s="128"/>
      <c r="C122" s="101" t="s">
        <v>56</v>
      </c>
      <c r="D122" s="101" t="s">
        <v>251</v>
      </c>
      <c r="E122" s="102" t="s">
        <v>204</v>
      </c>
      <c r="F122" s="104">
        <v>9166997163</v>
      </c>
      <c r="G122" s="93" t="s">
        <v>479</v>
      </c>
      <c r="H122" s="127"/>
      <c r="I122" s="128"/>
      <c r="J122" s="128"/>
      <c r="K122" s="128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6">
        <f>H122*[0]!FMainPool1Fee+I122*[0]!FMainPool2Fee+J122*[0]!FMainPool3Fee+K122*[0]!FMainPool4Fee+B122*[0]!FMainEntryFee</f>
        <v>0</v>
      </c>
      <c r="U122" s="117"/>
      <c r="V122" s="118"/>
      <c r="W122" s="66"/>
      <c r="X122" s="97"/>
      <c r="Y122" s="97"/>
      <c r="Z122" s="98"/>
    </row>
    <row r="123" spans="1:26" ht="18">
      <c r="A123" s="88">
        <f t="shared" si="16"/>
        <v>112</v>
      </c>
      <c r="B123" s="128"/>
      <c r="C123" s="99" t="s">
        <v>581</v>
      </c>
      <c r="D123" s="99" t="s">
        <v>9</v>
      </c>
      <c r="E123" s="66" t="s">
        <v>582</v>
      </c>
      <c r="F123" s="105"/>
      <c r="G123" s="93" t="s">
        <v>590</v>
      </c>
      <c r="H123" s="127"/>
      <c r="I123" s="128"/>
      <c r="J123" s="128"/>
      <c r="K123" s="128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6">
        <f>H123*[0]!FMainPool1Fee+I123*[0]!FMainPool2Fee+J123*[0]!FMainPool3Fee+K123*[0]!FMainPool4Fee+B123*[0]!FMainEntryFee</f>
        <v>0</v>
      </c>
      <c r="U123" s="117"/>
      <c r="V123" s="118"/>
      <c r="W123" s="66"/>
      <c r="X123" s="97"/>
      <c r="Y123" s="97">
        <v>1</v>
      </c>
      <c r="Z123" s="98" t="s">
        <v>747</v>
      </c>
    </row>
    <row r="124" spans="1:26" ht="18">
      <c r="A124" s="88">
        <f t="shared" si="16"/>
        <v>113</v>
      </c>
      <c r="B124" s="128"/>
      <c r="C124" s="99" t="s">
        <v>583</v>
      </c>
      <c r="D124" s="99" t="s">
        <v>7</v>
      </c>
      <c r="E124" s="66" t="s">
        <v>584</v>
      </c>
      <c r="F124" s="105"/>
      <c r="G124" s="93" t="s">
        <v>602</v>
      </c>
      <c r="H124" s="127"/>
      <c r="I124" s="128"/>
      <c r="J124" s="128"/>
      <c r="K124" s="128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6">
        <f>H124*[0]!FMainPool1Fee+I124*[0]!FMainPool2Fee+J124*[0]!FMainPool3Fee+K124*[0]!FMainPool4Fee+B124*[0]!FMainEntryFee</f>
        <v>0</v>
      </c>
      <c r="U124" s="117"/>
      <c r="V124" s="118"/>
      <c r="W124" s="66">
        <v>1</v>
      </c>
      <c r="X124" s="97"/>
      <c r="Y124" s="97"/>
      <c r="Z124" s="98"/>
    </row>
    <row r="125" spans="1:26" ht="18">
      <c r="A125" s="88">
        <f t="shared" si="16"/>
        <v>114</v>
      </c>
      <c r="B125" s="128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127"/>
      <c r="I125" s="128"/>
      <c r="J125" s="128"/>
      <c r="K125" s="128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si="14"/>
        <v/>
      </c>
      <c r="T125" s="116">
        <f>H125*[0]!FMainPool1Fee+I125*[0]!FMainPool2Fee+J125*[0]!FMainPool3Fee+K125*[0]!FMainPool4Fee+B125*[0]!FMainEntryFee</f>
        <v>0</v>
      </c>
      <c r="U125" s="117"/>
      <c r="V125" s="118"/>
      <c r="W125" s="66"/>
      <c r="X125" s="97"/>
      <c r="Y125" s="97"/>
      <c r="Z125" s="98"/>
    </row>
    <row r="126" spans="1:26" ht="18">
      <c r="A126" s="88">
        <f t="shared" si="16"/>
        <v>115</v>
      </c>
      <c r="B126" s="128"/>
      <c r="C126" s="101" t="s">
        <v>46</v>
      </c>
      <c r="D126" s="101" t="s">
        <v>47</v>
      </c>
      <c r="E126" s="102" t="s">
        <v>182</v>
      </c>
      <c r="F126" s="105" t="s">
        <v>481</v>
      </c>
      <c r="G126" s="103" t="s">
        <v>474</v>
      </c>
      <c r="H126" s="127"/>
      <c r="I126" s="128"/>
      <c r="J126" s="128"/>
      <c r="K126" s="128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ref="S126:S157" si="18">IF(OR(P126="$",N126=1),+T126,"")</f>
        <v/>
      </c>
      <c r="T126" s="116">
        <f>H126*[0]!FMainPool1Fee+I126*[0]!FMainPool2Fee+J126*[0]!FMainPool3Fee+K126*[0]!FMainPool4Fee+B126*[0]!FMainEntryFee</f>
        <v>0</v>
      </c>
      <c r="U126" s="117"/>
      <c r="V126" s="118"/>
      <c r="W126" s="66"/>
      <c r="X126" s="97">
        <v>1</v>
      </c>
      <c r="Y126" s="97"/>
      <c r="Z126" s="98"/>
    </row>
    <row r="127" spans="1:26" ht="18">
      <c r="A127" s="88">
        <f t="shared" si="16"/>
        <v>116</v>
      </c>
      <c r="B127" s="128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127"/>
      <c r="I127" s="128"/>
      <c r="J127" s="128"/>
      <c r="K127" s="128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si="15"/>
        <v/>
      </c>
      <c r="S127" s="96" t="str">
        <f t="shared" si="18"/>
        <v/>
      </c>
      <c r="T127" s="116">
        <f>H127*[0]!FMainPool1Fee+I127*[0]!FMainPool2Fee+J127*[0]!FMainPool3Fee+K127*[0]!FMainPool4Fee+B127*[0]!FMainEntryFee</f>
        <v>0</v>
      </c>
      <c r="U127" s="117"/>
      <c r="V127" s="118"/>
      <c r="W127" s="66"/>
      <c r="X127" s="97"/>
      <c r="Y127" s="97"/>
      <c r="Z127" s="98"/>
    </row>
    <row r="128" spans="1:26" ht="18">
      <c r="A128" s="88">
        <f t="shared" si="16"/>
        <v>117</v>
      </c>
      <c r="B128" s="128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127"/>
      <c r="I128" s="128"/>
      <c r="J128" s="128"/>
      <c r="K128" s="128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ref="R128:R159" si="19">IF(OR(P128="c",P128="C"),+T128,"")</f>
        <v/>
      </c>
      <c r="S128" s="96" t="str">
        <f t="shared" si="18"/>
        <v/>
      </c>
      <c r="T128" s="116">
        <f>H128*[0]!FMainPool1Fee+I128*[0]!FMainPool2Fee+J128*[0]!FMainPool3Fee+K128*[0]!FMainPool4Fee+B128*[0]!FMainEntryFee</f>
        <v>0</v>
      </c>
      <c r="U128" s="117"/>
      <c r="V128" s="118"/>
      <c r="W128" s="66"/>
      <c r="X128" s="97"/>
      <c r="Y128" s="97"/>
      <c r="Z128" s="98"/>
    </row>
    <row r="129" spans="1:26" ht="18">
      <c r="A129" s="88">
        <f t="shared" si="16"/>
        <v>118</v>
      </c>
      <c r="B129" s="128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127"/>
      <c r="I129" s="128"/>
      <c r="J129" s="128"/>
      <c r="K129" s="128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6">
        <f>H129*[0]!FMainPool1Fee+I129*[0]!FMainPool2Fee+J129*[0]!FMainPool3Fee+K129*[0]!FMainPool4Fee+B129*[0]!FMainEntryFee</f>
        <v>0</v>
      </c>
      <c r="U129" s="117"/>
      <c r="V129" s="118"/>
      <c r="W129" s="66"/>
      <c r="X129" s="97"/>
      <c r="Y129" s="97"/>
      <c r="Z129" s="98"/>
    </row>
    <row r="130" spans="1:26" ht="18">
      <c r="A130" s="88">
        <f t="shared" si="16"/>
        <v>119</v>
      </c>
      <c r="B130" s="128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127"/>
      <c r="I130" s="128"/>
      <c r="J130" s="128"/>
      <c r="K130" s="128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6">
        <f>H130*[0]!FMainPool1Fee+I130*[0]!FMainPool2Fee+J130*[0]!FMainPool3Fee+K130*[0]!FMainPool4Fee+B130*[0]!FMainEntryFee</f>
        <v>0</v>
      </c>
      <c r="U130" s="117"/>
      <c r="V130" s="118"/>
      <c r="W130" s="66"/>
      <c r="X130" s="97"/>
      <c r="Y130" s="97"/>
      <c r="Z130" s="98"/>
    </row>
    <row r="131" spans="1:26" ht="18">
      <c r="A131" s="88">
        <f t="shared" si="16"/>
        <v>120</v>
      </c>
      <c r="B131" s="128"/>
      <c r="C131" s="90" t="s">
        <v>241</v>
      </c>
      <c r="D131" s="90" t="s">
        <v>19</v>
      </c>
      <c r="E131" s="91" t="s">
        <v>242</v>
      </c>
      <c r="F131" s="105" t="s">
        <v>482</v>
      </c>
      <c r="G131" s="103" t="s">
        <v>474</v>
      </c>
      <c r="H131" s="127"/>
      <c r="I131" s="128"/>
      <c r="J131" s="128"/>
      <c r="K131" s="128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6">
        <f>H131*[0]!FMainPool1Fee+I131*[0]!FMainPool2Fee+J131*[0]!FMainPool3Fee+K131*[0]!FMainPool4Fee+B131*[0]!FMainEntryFee</f>
        <v>0</v>
      </c>
      <c r="U131" s="117"/>
      <c r="V131" s="118"/>
      <c r="W131" s="66"/>
      <c r="X131" s="97"/>
      <c r="Y131" s="97"/>
      <c r="Z131" s="98"/>
    </row>
    <row r="132" spans="1:26" ht="18">
      <c r="A132" s="88">
        <f t="shared" si="16"/>
        <v>121</v>
      </c>
      <c r="B132" s="128"/>
      <c r="C132" s="90" t="s">
        <v>102</v>
      </c>
      <c r="D132" s="90" t="s">
        <v>103</v>
      </c>
      <c r="E132" s="91" t="s">
        <v>207</v>
      </c>
      <c r="F132" s="122"/>
      <c r="G132" s="103" t="s">
        <v>377</v>
      </c>
      <c r="H132" s="127"/>
      <c r="I132" s="128"/>
      <c r="J132" s="128"/>
      <c r="K132" s="128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6">
        <f>H132*[0]!FMainPool1Fee+I132*[0]!FMainPool2Fee+J132*[0]!FMainPool3Fee+K132*[0]!FMainPool4Fee+B132*[0]!FMainEntryFee</f>
        <v>0</v>
      </c>
      <c r="U132" s="117"/>
      <c r="V132" s="118"/>
      <c r="W132" s="66"/>
      <c r="X132" s="97"/>
      <c r="Y132" s="97"/>
      <c r="Z132" s="98"/>
    </row>
    <row r="133" spans="1:26" ht="18">
      <c r="A133" s="88">
        <f t="shared" si="16"/>
        <v>122</v>
      </c>
      <c r="B133" s="128"/>
      <c r="C133" s="90" t="s">
        <v>322</v>
      </c>
      <c r="D133" s="120" t="s">
        <v>9</v>
      </c>
      <c r="E133" s="91" t="s">
        <v>323</v>
      </c>
      <c r="F133" s="92"/>
      <c r="G133" s="103" t="s">
        <v>352</v>
      </c>
      <c r="H133" s="127"/>
      <c r="I133" s="128"/>
      <c r="J133" s="128"/>
      <c r="K133" s="128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6">
        <f>H133*[0]!FMainPool1Fee+I133*[0]!FMainPool2Fee+J133*[0]!FMainPool3Fee+K133*[0]!FMainPool4Fee+B133*[0]!FMainEntryFee</f>
        <v>0</v>
      </c>
      <c r="U133" s="117"/>
      <c r="V133" s="118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128"/>
      <c r="C134" s="90" t="s">
        <v>420</v>
      </c>
      <c r="D134" s="120" t="s">
        <v>22</v>
      </c>
      <c r="E134" s="91" t="s">
        <v>445</v>
      </c>
      <c r="F134" s="105" t="s">
        <v>685</v>
      </c>
      <c r="G134" s="93" t="s">
        <v>483</v>
      </c>
      <c r="H134" s="127"/>
      <c r="I134" s="128"/>
      <c r="J134" s="128"/>
      <c r="K134" s="128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6">
        <f>H134*[0]!FMainPool1Fee+I134*[0]!FMainPool2Fee+J134*[0]!FMainPool3Fee+K134*[0]!FMainPool4Fee+B134*[0]!FMainEntryFee</f>
        <v>0</v>
      </c>
      <c r="U134" s="117"/>
      <c r="V134" s="118"/>
      <c r="W134" s="66"/>
      <c r="X134" s="97"/>
      <c r="Y134" s="97"/>
      <c r="Z134" s="98"/>
    </row>
    <row r="135" spans="1:26" ht="18">
      <c r="A135" s="88">
        <f t="shared" si="20"/>
        <v>124</v>
      </c>
      <c r="B135" s="128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127"/>
      <c r="I135" s="128"/>
      <c r="J135" s="128"/>
      <c r="K135" s="128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6">
        <f>H135*[0]!FMainPool1Fee+I135*[0]!FMainPool2Fee+J135*[0]!FMainPool3Fee+K135*[0]!FMainPool4Fee+B135*[0]!FMainEntryFee</f>
        <v>0</v>
      </c>
      <c r="U135" s="117"/>
      <c r="V135" s="118"/>
      <c r="W135" s="66"/>
      <c r="X135" s="97"/>
      <c r="Y135" s="97"/>
      <c r="Z135" s="98"/>
    </row>
    <row r="136" spans="1:26" ht="18">
      <c r="A136" s="88">
        <f t="shared" si="20"/>
        <v>125</v>
      </c>
      <c r="B136" s="128"/>
      <c r="C136" s="101" t="s">
        <v>27</v>
      </c>
      <c r="D136" s="101" t="s">
        <v>28</v>
      </c>
      <c r="E136" s="102" t="s">
        <v>173</v>
      </c>
      <c r="F136" s="104"/>
      <c r="G136" s="103" t="s">
        <v>275</v>
      </c>
      <c r="H136" s="127"/>
      <c r="I136" s="128"/>
      <c r="J136" s="128"/>
      <c r="K136" s="128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6">
        <f>H136*[0]!FMainPool1Fee+I136*[0]!FMainPool2Fee+J136*[0]!FMainPool3Fee+K136*[0]!FMainPool4Fee+B136*[0]!FMainEntryFee</f>
        <v>0</v>
      </c>
      <c r="U136" s="117"/>
      <c r="V136" s="118"/>
      <c r="W136" s="66"/>
      <c r="X136" s="97"/>
      <c r="Y136" s="97"/>
      <c r="Z136" s="98"/>
    </row>
    <row r="137" spans="1:26" ht="18">
      <c r="A137" s="88">
        <f t="shared" si="20"/>
        <v>126</v>
      </c>
      <c r="B137" s="128"/>
      <c r="C137" s="101" t="s">
        <v>41</v>
      </c>
      <c r="D137" s="101" t="s">
        <v>42</v>
      </c>
      <c r="E137" s="102" t="s">
        <v>181</v>
      </c>
      <c r="F137" s="104"/>
      <c r="G137" s="103"/>
      <c r="H137" s="127"/>
      <c r="I137" s="128"/>
      <c r="J137" s="128"/>
      <c r="K137" s="128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6">
        <f>H137*[0]!FMainPool1Fee+I137*[0]!FMainPool2Fee+J137*[0]!FMainPool3Fee+K137*[0]!FMainPool4Fee+B137*[0]!FMainEntryFee</f>
        <v>0</v>
      </c>
      <c r="U137" s="117"/>
      <c r="V137" s="118"/>
      <c r="W137" s="66"/>
      <c r="X137" s="97"/>
      <c r="Y137" s="97"/>
      <c r="Z137" s="98"/>
    </row>
    <row r="138" spans="1:26" ht="18">
      <c r="A138" s="88">
        <f t="shared" si="20"/>
        <v>127</v>
      </c>
      <c r="B138" s="128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127"/>
      <c r="I138" s="128"/>
      <c r="J138" s="128"/>
      <c r="K138" s="128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6">
        <f>H138*[0]!FMainPool1Fee+I138*[0]!FMainPool2Fee+J138*[0]!FMainPool3Fee+K138*[0]!FMainPool4Fee+B138*[0]!FMainEntryFee</f>
        <v>0</v>
      </c>
      <c r="U138" s="117"/>
      <c r="V138" s="118"/>
      <c r="W138" s="66"/>
      <c r="X138" s="97"/>
      <c r="Y138" s="97"/>
      <c r="Z138" s="98" t="s">
        <v>746</v>
      </c>
    </row>
    <row r="139" spans="1:26" ht="18">
      <c r="A139" s="88">
        <f t="shared" si="20"/>
        <v>128</v>
      </c>
      <c r="B139" s="128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127"/>
      <c r="I139" s="128"/>
      <c r="J139" s="128"/>
      <c r="K139" s="128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6">
        <f>H139*[0]!FMainPool1Fee+I139*[0]!FMainPool2Fee+J139*[0]!FMainPool3Fee+K139*[0]!FMainPool4Fee+B139*[0]!FMainEntryFee</f>
        <v>0</v>
      </c>
      <c r="U139" s="117"/>
      <c r="V139" s="118"/>
      <c r="W139" s="66">
        <v>1</v>
      </c>
      <c r="X139" s="97"/>
      <c r="Y139" s="97"/>
      <c r="Z139" s="98" t="s">
        <v>763</v>
      </c>
    </row>
    <row r="140" spans="1:26" ht="18">
      <c r="A140" s="88">
        <f t="shared" si="20"/>
        <v>129</v>
      </c>
      <c r="B140" s="128"/>
      <c r="C140" s="99" t="s">
        <v>585</v>
      </c>
      <c r="D140" s="99" t="s">
        <v>277</v>
      </c>
      <c r="E140" s="66" t="s">
        <v>586</v>
      </c>
      <c r="F140" s="105"/>
      <c r="G140" s="103" t="s">
        <v>128</v>
      </c>
      <c r="H140" s="127"/>
      <c r="I140" s="128"/>
      <c r="J140" s="128"/>
      <c r="K140" s="128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6">
        <f>H140*[0]!FMainPool1Fee+I140*[0]!FMainPool2Fee+J140*[0]!FMainPool3Fee+K140*[0]!FMainPool4Fee+B140*[0]!FMainEntryFee</f>
        <v>0</v>
      </c>
      <c r="U140" s="117"/>
      <c r="V140" s="118"/>
      <c r="W140" s="66"/>
      <c r="X140" s="97"/>
      <c r="Y140" s="97"/>
      <c r="Z140" s="98"/>
    </row>
    <row r="141" spans="1:26" ht="18">
      <c r="A141" s="88">
        <f t="shared" si="20"/>
        <v>130</v>
      </c>
      <c r="B141" s="128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127"/>
      <c r="I141" s="128"/>
      <c r="J141" s="128"/>
      <c r="K141" s="128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6">
        <f>H141*[0]!FMainPool1Fee+I141*[0]!FMainPool2Fee+J141*[0]!FMainPool3Fee+K141*[0]!FMainPool4Fee+B141*[0]!FMainEntryFee</f>
        <v>0</v>
      </c>
      <c r="U141" s="117"/>
      <c r="V141" s="118"/>
      <c r="W141" s="66"/>
      <c r="X141" s="97"/>
      <c r="Y141" s="97"/>
      <c r="Z141" s="98" t="s">
        <v>749</v>
      </c>
    </row>
    <row r="142" spans="1:26" ht="18">
      <c r="A142" s="88">
        <f t="shared" si="20"/>
        <v>131</v>
      </c>
      <c r="B142" s="128"/>
      <c r="C142" s="101" t="s">
        <v>35</v>
      </c>
      <c r="D142" s="101" t="s">
        <v>36</v>
      </c>
      <c r="E142" s="102" t="s">
        <v>196</v>
      </c>
      <c r="F142" s="104"/>
      <c r="G142" s="103" t="s">
        <v>228</v>
      </c>
      <c r="H142" s="127"/>
      <c r="I142" s="128"/>
      <c r="J142" s="128"/>
      <c r="K142" s="128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6">
        <f>H142*[0]!FMainPool1Fee+I142*[0]!FMainPool2Fee+J142*[0]!FMainPool3Fee+K142*[0]!FMainPool4Fee+B142*[0]!FMainEntryFee</f>
        <v>0</v>
      </c>
      <c r="U142" s="117"/>
      <c r="V142" s="118"/>
      <c r="W142" s="66"/>
      <c r="X142" s="97"/>
      <c r="Y142" s="97">
        <v>1</v>
      </c>
      <c r="Z142" s="98" t="s">
        <v>807</v>
      </c>
    </row>
    <row r="143" spans="1:26" ht="18">
      <c r="A143" s="88">
        <f t="shared" si="20"/>
        <v>132</v>
      </c>
      <c r="B143" s="128"/>
      <c r="C143" s="90" t="s">
        <v>121</v>
      </c>
      <c r="D143" s="90" t="s">
        <v>122</v>
      </c>
      <c r="E143" s="91" t="s">
        <v>161</v>
      </c>
      <c r="F143" s="92"/>
      <c r="G143" s="103"/>
      <c r="H143" s="127"/>
      <c r="I143" s="128"/>
      <c r="J143" s="128"/>
      <c r="K143" s="128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6">
        <f>H143*[0]!FMainPool1Fee+I143*[0]!FMainPool2Fee+J143*[0]!FMainPool3Fee+K143*[0]!FMainPool4Fee+B143*[0]!FMainEntryFee</f>
        <v>0</v>
      </c>
      <c r="U143" s="117"/>
      <c r="V143" s="118"/>
      <c r="W143" s="66"/>
      <c r="X143" s="97"/>
      <c r="Y143" s="97"/>
      <c r="Z143" s="98"/>
    </row>
    <row r="144" spans="1:26" ht="18">
      <c r="A144" s="88">
        <f t="shared" si="20"/>
        <v>133</v>
      </c>
      <c r="B144" s="128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127"/>
      <c r="I144" s="128"/>
      <c r="J144" s="128"/>
      <c r="K144" s="128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6">
        <f>H144*[0]!FMainPool1Fee+I144*[0]!FMainPool2Fee+J144*[0]!FMainPool3Fee+K144*[0]!FMainPool4Fee+B144*[0]!FMainEntryFee</f>
        <v>0</v>
      </c>
      <c r="U144" s="117"/>
      <c r="V144" s="118"/>
      <c r="W144" s="66"/>
      <c r="X144" s="97"/>
      <c r="Y144" s="97"/>
      <c r="Z144" s="98"/>
    </row>
    <row r="145" spans="1:26" ht="18">
      <c r="A145" s="88">
        <f t="shared" si="20"/>
        <v>134</v>
      </c>
      <c r="B145" s="128"/>
      <c r="C145" s="101" t="s">
        <v>21</v>
      </c>
      <c r="D145" s="101" t="s">
        <v>22</v>
      </c>
      <c r="E145" s="102" t="s">
        <v>224</v>
      </c>
      <c r="F145" s="123"/>
      <c r="G145" s="103" t="s">
        <v>90</v>
      </c>
      <c r="H145" s="127"/>
      <c r="I145" s="128"/>
      <c r="J145" s="128"/>
      <c r="K145" s="128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6">
        <f>H145*[0]!FMainPool1Fee+I145*[0]!FMainPool2Fee+J145*[0]!FMainPool3Fee+K145*[0]!FMainPool4Fee+B145*[0]!FMainEntryFee</f>
        <v>0</v>
      </c>
      <c r="U145" s="117"/>
      <c r="V145" s="118"/>
      <c r="W145" s="66"/>
      <c r="X145" s="97"/>
      <c r="Y145" s="97"/>
      <c r="Z145" s="98"/>
    </row>
    <row r="146" spans="1:26" ht="18">
      <c r="A146" s="88">
        <f t="shared" si="20"/>
        <v>135</v>
      </c>
      <c r="B146" s="128"/>
      <c r="C146" s="90" t="s">
        <v>134</v>
      </c>
      <c r="D146" s="90" t="s">
        <v>135</v>
      </c>
      <c r="E146" s="91" t="s">
        <v>175</v>
      </c>
      <c r="F146" s="92"/>
      <c r="G146" s="103"/>
      <c r="H146" s="127"/>
      <c r="I146" s="128"/>
      <c r="J146" s="128"/>
      <c r="K146" s="128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6">
        <f>H146*[0]!FMainPool1Fee+I146*[0]!FMainPool2Fee+J146*[0]!FMainPool3Fee+K146*[0]!FMainPool4Fee+B146*[0]!FMainEntryFee</f>
        <v>0</v>
      </c>
      <c r="U146" s="117"/>
      <c r="V146" s="118"/>
      <c r="W146" s="66">
        <v>1</v>
      </c>
      <c r="X146" s="97"/>
      <c r="Y146" s="97"/>
      <c r="Z146" s="98"/>
    </row>
    <row r="147" spans="1:26" ht="18">
      <c r="A147" s="88">
        <f t="shared" si="20"/>
        <v>136</v>
      </c>
      <c r="B147" s="128"/>
      <c r="C147" s="99" t="s">
        <v>591</v>
      </c>
      <c r="D147" s="99" t="s">
        <v>47</v>
      </c>
      <c r="E147" s="66" t="s">
        <v>592</v>
      </c>
      <c r="F147" s="105">
        <v>5104930824</v>
      </c>
      <c r="G147" s="109" t="s">
        <v>601</v>
      </c>
      <c r="H147" s="127"/>
      <c r="I147" s="128"/>
      <c r="J147" s="128"/>
      <c r="K147" s="128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6">
        <f>H147*[0]!FMainPool1Fee+I147*[0]!FMainPool2Fee+J147*[0]!FMainPool3Fee+K147*[0]!FMainPool4Fee+B147*[0]!FMainEntryFee</f>
        <v>0</v>
      </c>
      <c r="U147" s="117"/>
      <c r="V147" s="118"/>
      <c r="W147" s="66"/>
      <c r="X147" s="97"/>
      <c r="Y147" s="97"/>
      <c r="Z147" s="98"/>
    </row>
    <row r="148" spans="1:26" ht="18">
      <c r="A148" s="88">
        <f t="shared" si="20"/>
        <v>137</v>
      </c>
      <c r="B148" s="128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127"/>
      <c r="I148" s="128"/>
      <c r="J148" s="128"/>
      <c r="K148" s="128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6">
        <f>H148*[0]!FMainPool1Fee+I148*[0]!FMainPool2Fee+J148*[0]!FMainPool3Fee+K148*[0]!FMainPool4Fee+B148*[0]!FMainEntryFee</f>
        <v>0</v>
      </c>
      <c r="U148" s="117"/>
      <c r="V148" s="118"/>
      <c r="W148" s="66"/>
      <c r="X148" s="97"/>
      <c r="Y148" s="97"/>
      <c r="Z148" s="98"/>
    </row>
    <row r="149" spans="1:26" ht="18">
      <c r="A149" s="88">
        <f t="shared" si="20"/>
        <v>138</v>
      </c>
      <c r="B149" s="128"/>
      <c r="C149" s="101" t="s">
        <v>18</v>
      </c>
      <c r="D149" s="101" t="s">
        <v>19</v>
      </c>
      <c r="E149" s="102" t="s">
        <v>211</v>
      </c>
      <c r="F149" s="104"/>
      <c r="G149" s="103" t="s">
        <v>379</v>
      </c>
      <c r="H149" s="127"/>
      <c r="I149" s="128"/>
      <c r="J149" s="128"/>
      <c r="K149" s="128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6">
        <f>H149*[0]!FMainPool1Fee+I149*[0]!FMainPool2Fee+J149*[0]!FMainPool3Fee+K149*[0]!FMainPool4Fee+B149*[0]!FMainEntryFee</f>
        <v>0</v>
      </c>
      <c r="U149" s="117"/>
      <c r="V149" s="118"/>
      <c r="W149" s="66"/>
      <c r="X149" s="97"/>
      <c r="Y149" s="97"/>
      <c r="Z149" s="98"/>
    </row>
    <row r="150" spans="1:26" ht="18">
      <c r="A150" s="88">
        <f t="shared" si="20"/>
        <v>139</v>
      </c>
      <c r="B150" s="128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127"/>
      <c r="I150" s="128"/>
      <c r="J150" s="128"/>
      <c r="K150" s="128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6">
        <f>H150*[0]!FMainPool1Fee+I150*[0]!FMainPool2Fee+J150*[0]!FMainPool3Fee+K150*[0]!FMainPool4Fee+B150*[0]!FMainEntryFee</f>
        <v>0</v>
      </c>
      <c r="U150" s="117"/>
      <c r="V150" s="118"/>
      <c r="W150" s="66"/>
      <c r="X150" s="97"/>
      <c r="Y150" s="97"/>
      <c r="Z150" s="98"/>
    </row>
    <row r="151" spans="1:26" ht="18">
      <c r="A151" s="88">
        <f t="shared" si="20"/>
        <v>140</v>
      </c>
      <c r="B151" s="128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127"/>
      <c r="I151" s="128"/>
      <c r="J151" s="128"/>
      <c r="K151" s="128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6">
        <f>H151*[0]!FMainPool1Fee+I151*[0]!FMainPool2Fee+J151*[0]!FMainPool3Fee+K151*[0]!FMainPool4Fee+B151*[0]!FMainEntryFee</f>
        <v>0</v>
      </c>
      <c r="U151" s="117"/>
      <c r="V151" s="118"/>
      <c r="W151" s="66"/>
      <c r="X151" s="97"/>
      <c r="Y151" s="97"/>
      <c r="Z151" s="98"/>
    </row>
    <row r="152" spans="1:26" ht="18">
      <c r="A152" s="88">
        <f t="shared" si="20"/>
        <v>141</v>
      </c>
      <c r="B152" s="128"/>
      <c r="C152" s="90" t="s">
        <v>453</v>
      </c>
      <c r="D152" s="90" t="s">
        <v>93</v>
      </c>
      <c r="E152" s="91" t="s">
        <v>454</v>
      </c>
      <c r="F152" s="105" t="s">
        <v>487</v>
      </c>
      <c r="G152" s="93" t="s">
        <v>488</v>
      </c>
      <c r="H152" s="127"/>
      <c r="I152" s="128"/>
      <c r="J152" s="128"/>
      <c r="K152" s="128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6">
        <f>H152*[0]!FMainPool1Fee+I152*[0]!FMainPool2Fee+J152*[0]!FMainPool3Fee+K152*[0]!FMainPool4Fee+B152*[0]!FMainEntryFee</f>
        <v>0</v>
      </c>
      <c r="U152" s="117"/>
      <c r="V152" s="118"/>
      <c r="W152" s="66"/>
      <c r="X152" s="97"/>
      <c r="Y152" s="97"/>
      <c r="Z152" s="98"/>
    </row>
    <row r="153" spans="1:26" ht="18">
      <c r="A153" s="88">
        <f t="shared" si="20"/>
        <v>142</v>
      </c>
      <c r="B153" s="128"/>
      <c r="C153" s="90" t="s">
        <v>455</v>
      </c>
      <c r="D153" s="90" t="s">
        <v>93</v>
      </c>
      <c r="E153" s="91" t="s">
        <v>456</v>
      </c>
      <c r="F153" s="105" t="s">
        <v>487</v>
      </c>
      <c r="G153" s="93" t="s">
        <v>489</v>
      </c>
      <c r="H153" s="127"/>
      <c r="I153" s="128"/>
      <c r="J153" s="128"/>
      <c r="K153" s="128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6">
        <f>H153*[0]!FMainPool1Fee+I153*[0]!FMainPool2Fee+J153*[0]!FMainPool3Fee+K153*[0]!FMainPool4Fee+B153*[0]!FMainEntryFee</f>
        <v>0</v>
      </c>
      <c r="U153" s="117"/>
      <c r="V153" s="118"/>
      <c r="W153" s="66"/>
      <c r="X153" s="97"/>
      <c r="Y153" s="97"/>
      <c r="Z153" s="98"/>
    </row>
    <row r="154" spans="1:26" ht="18">
      <c r="A154" s="88">
        <f t="shared" si="20"/>
        <v>143</v>
      </c>
      <c r="B154" s="128"/>
      <c r="C154" s="90" t="s">
        <v>669</v>
      </c>
      <c r="D154" s="90" t="s">
        <v>5</v>
      </c>
      <c r="E154" s="91" t="s">
        <v>670</v>
      </c>
      <c r="F154" s="105">
        <v>7072279891</v>
      </c>
      <c r="G154" s="93" t="s">
        <v>671</v>
      </c>
      <c r="H154" s="127"/>
      <c r="I154" s="128"/>
      <c r="J154" s="128"/>
      <c r="K154" s="128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6">
        <f>H154*[0]!FMainPool1Fee+I154*[0]!FMainPool2Fee+J154*[0]!FMainPool3Fee+K154*[0]!FMainPool4Fee+B154*[0]!FMainEntryFee</f>
        <v>0</v>
      </c>
      <c r="U154" s="117"/>
      <c r="V154" s="118"/>
      <c r="W154" s="66"/>
      <c r="X154" s="97"/>
      <c r="Y154" s="97"/>
      <c r="Z154" s="98"/>
    </row>
    <row r="155" spans="1:26" ht="18">
      <c r="A155" s="88">
        <f t="shared" si="20"/>
        <v>144</v>
      </c>
      <c r="B155" s="128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127"/>
      <c r="I155" s="128"/>
      <c r="J155" s="128"/>
      <c r="K155" s="128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6">
        <f>H155*[0]!FMainPool1Fee+I155*[0]!FMainPool2Fee+J155*[0]!FMainPool3Fee+K155*[0]!FMainPool4Fee+B155*[0]!FMainEntryFee</f>
        <v>0</v>
      </c>
      <c r="U155" s="117"/>
      <c r="V155" s="118"/>
      <c r="W155" s="66"/>
      <c r="X155" s="97"/>
      <c r="Y155" s="97"/>
      <c r="Z155" s="98"/>
    </row>
    <row r="156" spans="1:26" ht="18">
      <c r="A156" s="88">
        <f t="shared" si="20"/>
        <v>145</v>
      </c>
      <c r="B156" s="128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127"/>
      <c r="I156" s="128"/>
      <c r="J156" s="128"/>
      <c r="K156" s="128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6">
        <f>H156*[0]!FMainPool1Fee+I156*[0]!FMainPool2Fee+J156*[0]!FMainPool3Fee+K156*[0]!FMainPool4Fee+B156*[0]!FMainEntryFee</f>
        <v>0</v>
      </c>
      <c r="U156" s="117"/>
      <c r="V156" s="118"/>
      <c r="W156" s="66"/>
      <c r="X156" s="97"/>
      <c r="Y156" s="97"/>
      <c r="Z156" s="98"/>
    </row>
    <row r="157" spans="1:26" ht="18">
      <c r="A157" s="88">
        <f t="shared" si="20"/>
        <v>146</v>
      </c>
      <c r="B157" s="128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127"/>
      <c r="I157" s="128"/>
      <c r="J157" s="128"/>
      <c r="K157" s="128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si="18"/>
        <v/>
      </c>
      <c r="T157" s="116">
        <f>H157*[0]!FMainPool1Fee+I157*[0]!FMainPool2Fee+J157*[0]!FMainPool3Fee+K157*[0]!FMainPool4Fee+B157*[0]!FMainEntryFee</f>
        <v>0</v>
      </c>
      <c r="U157" s="117"/>
      <c r="V157" s="118"/>
      <c r="W157" s="66"/>
      <c r="X157" s="97"/>
      <c r="Y157" s="97"/>
      <c r="Z157" s="98"/>
    </row>
    <row r="158" spans="1:26" ht="18">
      <c r="A158" s="88">
        <f t="shared" si="20"/>
        <v>147</v>
      </c>
      <c r="B158" s="128"/>
      <c r="C158" s="101" t="s">
        <v>640</v>
      </c>
      <c r="D158" s="101" t="s">
        <v>251</v>
      </c>
      <c r="E158" s="102" t="s">
        <v>641</v>
      </c>
      <c r="F158" s="123">
        <v>9168330331</v>
      </c>
      <c r="G158" s="93" t="s">
        <v>642</v>
      </c>
      <c r="H158" s="127"/>
      <c r="I158" s="128"/>
      <c r="J158" s="128"/>
      <c r="K158" s="128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ref="S158:S189" si="22">IF(OR(P158="$",N158=1),+T158,"")</f>
        <v/>
      </c>
      <c r="T158" s="116">
        <f>H158*[0]!FMainPool1Fee+I158*[0]!FMainPool2Fee+J158*[0]!FMainPool3Fee+K158*[0]!FMainPool4Fee+B158*[0]!FMainEntryFee</f>
        <v>0</v>
      </c>
      <c r="U158" s="117"/>
      <c r="V158" s="118"/>
      <c r="W158" s="66"/>
      <c r="X158" s="97"/>
      <c r="Y158" s="97"/>
      <c r="Z158" s="98"/>
    </row>
    <row r="159" spans="1:26" ht="18">
      <c r="A159" s="88">
        <f t="shared" si="20"/>
        <v>148</v>
      </c>
      <c r="B159" s="128"/>
      <c r="C159" s="99" t="s">
        <v>682</v>
      </c>
      <c r="D159" s="99" t="s">
        <v>256</v>
      </c>
      <c r="E159" s="66" t="s">
        <v>683</v>
      </c>
      <c r="F159" s="105">
        <v>9254081849</v>
      </c>
      <c r="G159" s="109" t="s">
        <v>684</v>
      </c>
      <c r="H159" s="127"/>
      <c r="I159" s="128"/>
      <c r="J159" s="128"/>
      <c r="K159" s="128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si="19"/>
        <v/>
      </c>
      <c r="S159" s="96" t="str">
        <f t="shared" si="22"/>
        <v/>
      </c>
      <c r="T159" s="116">
        <f>H159*[0]!FMainPool1Fee+I159*[0]!FMainPool2Fee+J159*[0]!FMainPool3Fee+K159*[0]!FMainPool4Fee+B159*[0]!FMainEntryFee</f>
        <v>0</v>
      </c>
      <c r="U159" s="117"/>
      <c r="V159" s="118"/>
      <c r="W159" s="66"/>
      <c r="X159" s="97"/>
      <c r="Y159" s="97"/>
      <c r="Z159" s="98"/>
    </row>
    <row r="160" spans="1:26" ht="18">
      <c r="A160" s="88">
        <f t="shared" si="20"/>
        <v>149</v>
      </c>
      <c r="B160" s="128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127"/>
      <c r="I160" s="128"/>
      <c r="J160" s="128"/>
      <c r="K160" s="128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ref="R160:R191" si="23">IF(OR(P160="c",P160="C"),+T160,"")</f>
        <v/>
      </c>
      <c r="S160" s="96" t="str">
        <f t="shared" si="22"/>
        <v/>
      </c>
      <c r="T160" s="116">
        <f>H160*[0]!FMainPool1Fee+I160*[0]!FMainPool2Fee+J160*[0]!FMainPool3Fee+K160*[0]!FMainPool4Fee+B160*[0]!FMainEntryFee</f>
        <v>0</v>
      </c>
      <c r="U160" s="117"/>
      <c r="V160" s="118"/>
      <c r="W160" s="66"/>
      <c r="X160" s="97"/>
      <c r="Y160" s="97"/>
      <c r="Z160" s="98"/>
    </row>
    <row r="161" spans="1:26" ht="18">
      <c r="A161" s="88">
        <f t="shared" si="20"/>
        <v>150</v>
      </c>
      <c r="B161" s="128"/>
      <c r="C161" s="90" t="s">
        <v>366</v>
      </c>
      <c r="D161" s="90" t="s">
        <v>367</v>
      </c>
      <c r="E161" s="91"/>
      <c r="F161" s="92"/>
      <c r="G161" s="103" t="s">
        <v>368</v>
      </c>
      <c r="H161" s="127"/>
      <c r="I161" s="128"/>
      <c r="J161" s="128"/>
      <c r="K161" s="128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6">
        <f>H161*[0]!FMainPool1Fee+I161*[0]!FMainPool2Fee+J161*[0]!FMainPool3Fee+K161*[0]!FMainPool4Fee+B161*[0]!FMainEntryFee</f>
        <v>0</v>
      </c>
      <c r="U161" s="117"/>
      <c r="V161" s="118"/>
      <c r="W161" s="66">
        <v>1</v>
      </c>
      <c r="X161" s="97"/>
      <c r="Y161" s="97"/>
      <c r="Z161" s="98" t="s">
        <v>774</v>
      </c>
    </row>
    <row r="162" spans="1:26" ht="18">
      <c r="A162" s="88">
        <f t="shared" si="20"/>
        <v>151</v>
      </c>
      <c r="B162" s="128"/>
      <c r="C162" s="90" t="s">
        <v>154</v>
      </c>
      <c r="D162" s="90" t="s">
        <v>108</v>
      </c>
      <c r="E162" s="91" t="s">
        <v>195</v>
      </c>
      <c r="F162" s="92"/>
      <c r="G162" s="126" t="s">
        <v>381</v>
      </c>
      <c r="H162" s="127"/>
      <c r="I162" s="128"/>
      <c r="J162" s="128"/>
      <c r="K162" s="128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6">
        <f>H162*[0]!FMainPool1Fee+I162*[0]!FMainPool2Fee+J162*[0]!FMainPool3Fee+K162*[0]!FMainPool4Fee+B162*[0]!FMainEntryFee</f>
        <v>0</v>
      </c>
      <c r="U162" s="117"/>
      <c r="V162" s="118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128"/>
      <c r="C163" s="99" t="s">
        <v>597</v>
      </c>
      <c r="D163" s="99" t="s">
        <v>598</v>
      </c>
      <c r="E163" s="66" t="s">
        <v>584</v>
      </c>
      <c r="F163" s="105"/>
      <c r="G163" s="100" t="s">
        <v>599</v>
      </c>
      <c r="H163" s="127"/>
      <c r="I163" s="128"/>
      <c r="J163" s="128"/>
      <c r="K163" s="128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6">
        <f>H163*[0]!FMainPool1Fee+I163*[0]!FMainPool2Fee+J163*[0]!FMainPool3Fee+K163*[0]!FMainPool4Fee+B163*[0]!FMainEntryFee</f>
        <v>0</v>
      </c>
      <c r="U163" s="117"/>
      <c r="V163" s="118"/>
      <c r="W163" s="66"/>
      <c r="X163" s="97"/>
      <c r="Y163" s="97"/>
      <c r="Z163" s="98"/>
    </row>
    <row r="164" spans="1:26" ht="18">
      <c r="A164" s="88">
        <f t="shared" si="24"/>
        <v>153</v>
      </c>
      <c r="B164" s="128"/>
      <c r="C164" s="90" t="s">
        <v>364</v>
      </c>
      <c r="D164" s="90" t="s">
        <v>93</v>
      </c>
      <c r="E164" s="91"/>
      <c r="F164" s="92"/>
      <c r="G164" s="103" t="s">
        <v>365</v>
      </c>
      <c r="H164" s="127"/>
      <c r="I164" s="128"/>
      <c r="J164" s="128"/>
      <c r="K164" s="128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6">
        <f>H164*[0]!FMainPool1Fee+I164*[0]!FMainPool2Fee+J164*[0]!FMainPool3Fee+K164*[0]!FMainPool4Fee+B164*[0]!FMainEntryFee</f>
        <v>0</v>
      </c>
      <c r="U164" s="117"/>
      <c r="V164" s="118"/>
      <c r="W164" s="66"/>
      <c r="X164" s="97"/>
      <c r="Y164" s="97"/>
      <c r="Z164" s="98"/>
    </row>
    <row r="165" spans="1:26" ht="18">
      <c r="A165" s="88">
        <f t="shared" si="24"/>
        <v>154</v>
      </c>
      <c r="B165" s="128"/>
      <c r="C165" s="101" t="s">
        <v>717</v>
      </c>
      <c r="D165" s="101" t="s">
        <v>718</v>
      </c>
      <c r="E165" s="102" t="s">
        <v>719</v>
      </c>
      <c r="F165" s="104">
        <v>6507733006</v>
      </c>
      <c r="G165" s="111" t="s">
        <v>720</v>
      </c>
      <c r="H165" s="127"/>
      <c r="I165" s="128"/>
      <c r="J165" s="128"/>
      <c r="K165" s="128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6">
        <f>H165*[0]!FMainPool1Fee+I165*[0]!FMainPool2Fee+J165*[0]!FMainPool3Fee+K165*[0]!FMainPool4Fee+B165*[0]!FMainEntryFee</f>
        <v>0</v>
      </c>
      <c r="U165" s="117"/>
      <c r="V165" s="118"/>
      <c r="W165" s="66"/>
      <c r="X165" s="97"/>
      <c r="Y165" s="97"/>
      <c r="Z165" s="98"/>
    </row>
    <row r="166" spans="1:26" ht="18">
      <c r="A166" s="88">
        <f t="shared" si="24"/>
        <v>155</v>
      </c>
      <c r="B166" s="128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127"/>
      <c r="I166" s="128"/>
      <c r="J166" s="128"/>
      <c r="K166" s="128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6">
        <f>H166*[0]!FMainPool1Fee+I166*[0]!FMainPool2Fee+J166*[0]!FMainPool3Fee+K166*[0]!FMainPool4Fee+B166*[0]!FMainEntryFee</f>
        <v>0</v>
      </c>
      <c r="U166" s="117"/>
      <c r="V166" s="118"/>
      <c r="W166" s="66"/>
      <c r="X166" s="97">
        <v>1</v>
      </c>
      <c r="Y166" s="97"/>
      <c r="Z166" s="98"/>
    </row>
    <row r="167" spans="1:26" ht="18">
      <c r="A167" s="88">
        <f t="shared" si="24"/>
        <v>156</v>
      </c>
      <c r="B167" s="128"/>
      <c r="C167" s="101" t="s">
        <v>137</v>
      </c>
      <c r="D167" s="101" t="s">
        <v>12</v>
      </c>
      <c r="E167" s="102" t="s">
        <v>176</v>
      </c>
      <c r="F167" s="104"/>
      <c r="G167" s="126" t="s">
        <v>136</v>
      </c>
      <c r="H167" s="127"/>
      <c r="I167" s="128"/>
      <c r="J167" s="128"/>
      <c r="K167" s="128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6">
        <f>H167*[0]!FMainPool1Fee+I167*[0]!FMainPool2Fee+J167*[0]!FMainPool3Fee+K167*[0]!FMainPool4Fee+B167*[0]!FMainEntryFee</f>
        <v>0</v>
      </c>
      <c r="U167" s="117"/>
      <c r="V167" s="118"/>
      <c r="W167" s="66"/>
      <c r="X167" s="97"/>
      <c r="Y167" s="97"/>
      <c r="Z167" s="98"/>
    </row>
    <row r="168" spans="1:26" ht="18">
      <c r="A168" s="88">
        <f t="shared" si="24"/>
        <v>157</v>
      </c>
      <c r="B168" s="128"/>
      <c r="C168" s="90" t="s">
        <v>330</v>
      </c>
      <c r="D168" s="90" t="s">
        <v>331</v>
      </c>
      <c r="E168" s="91" t="s">
        <v>332</v>
      </c>
      <c r="F168" s="92"/>
      <c r="G168" s="103"/>
      <c r="H168" s="127"/>
      <c r="I168" s="128"/>
      <c r="J168" s="128"/>
      <c r="K168" s="128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6">
        <f>H168*[0]!FMainPool1Fee+I168*[0]!FMainPool2Fee+J168*[0]!FMainPool3Fee+K168*[0]!FMainPool4Fee+B168*[0]!FMainEntryFee</f>
        <v>0</v>
      </c>
      <c r="U168" s="117"/>
      <c r="V168" s="118"/>
      <c r="W168" s="66"/>
      <c r="X168" s="97"/>
      <c r="Y168" s="97"/>
      <c r="Z168" s="98"/>
    </row>
    <row r="169" spans="1:26" ht="18">
      <c r="A169" s="88">
        <f t="shared" si="24"/>
        <v>158</v>
      </c>
      <c r="B169" s="128"/>
      <c r="C169" s="101" t="s">
        <v>16</v>
      </c>
      <c r="D169" s="101" t="s">
        <v>15</v>
      </c>
      <c r="E169" s="102" t="s">
        <v>212</v>
      </c>
      <c r="F169" s="104"/>
      <c r="G169" s="103" t="s">
        <v>356</v>
      </c>
      <c r="H169" s="127"/>
      <c r="I169" s="128"/>
      <c r="J169" s="128"/>
      <c r="K169" s="128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6">
        <f>H169*[0]!FMainPool1Fee+I169*[0]!FMainPool2Fee+J169*[0]!FMainPool3Fee+K169*[0]!FMainPool4Fee+B169*[0]!FMainEntryFee</f>
        <v>0</v>
      </c>
      <c r="U169" s="117"/>
      <c r="V169" s="118"/>
      <c r="W169" s="66"/>
      <c r="X169" s="97"/>
      <c r="Y169" s="97"/>
      <c r="Z169" s="98"/>
    </row>
    <row r="170" spans="1:26" ht="18">
      <c r="A170" s="88">
        <f t="shared" si="24"/>
        <v>159</v>
      </c>
      <c r="B170" s="128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127"/>
      <c r="I170" s="128"/>
      <c r="J170" s="128"/>
      <c r="K170" s="128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6">
        <f>H170*[0]!FMainPool1Fee+I170*[0]!FMainPool2Fee+J170*[0]!FMainPool3Fee+K170*[0]!FMainPool4Fee+B170*[0]!FMainEntryFee</f>
        <v>0</v>
      </c>
      <c r="U170" s="117"/>
      <c r="V170" s="118"/>
      <c r="W170" s="66"/>
      <c r="X170" s="97"/>
      <c r="Y170" s="97"/>
      <c r="Z170" s="98"/>
    </row>
    <row r="171" spans="1:26" ht="18">
      <c r="A171" s="88">
        <f t="shared" si="24"/>
        <v>160</v>
      </c>
      <c r="B171" s="128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127"/>
      <c r="I171" s="128"/>
      <c r="J171" s="128"/>
      <c r="K171" s="128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6">
        <f>H171*[0]!FMainPool1Fee+I171*[0]!FMainPool2Fee+J171*[0]!FMainPool3Fee+K171*[0]!FMainPool4Fee+B171*[0]!FMainEntryFee</f>
        <v>0</v>
      </c>
      <c r="U171" s="117"/>
      <c r="V171" s="118"/>
      <c r="W171" s="66"/>
      <c r="X171" s="97"/>
      <c r="Y171" s="97"/>
      <c r="Z171" s="98"/>
    </row>
    <row r="172" spans="1:26" ht="18">
      <c r="A172" s="88">
        <f t="shared" si="24"/>
        <v>161</v>
      </c>
      <c r="B172" s="128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127"/>
      <c r="I172" s="128"/>
      <c r="J172" s="128"/>
      <c r="K172" s="128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6">
        <f>H172*[0]!FMainPool1Fee+I172*[0]!FMainPool2Fee+J172*[0]!FMainPool3Fee+K172*[0]!FMainPool4Fee+B172*[0]!FMainEntryFee</f>
        <v>0</v>
      </c>
      <c r="U172" s="117"/>
      <c r="V172" s="118"/>
      <c r="W172" s="66"/>
      <c r="X172" s="97">
        <v>1</v>
      </c>
      <c r="Y172" s="97"/>
      <c r="Z172" s="98" t="s">
        <v>752</v>
      </c>
    </row>
    <row r="173" spans="1:26" ht="18">
      <c r="A173" s="88">
        <f t="shared" si="24"/>
        <v>162</v>
      </c>
      <c r="B173" s="128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127"/>
      <c r="I173" s="128"/>
      <c r="J173" s="128"/>
      <c r="K173" s="128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6">
        <f>H173*[0]!FMainPool1Fee+I173*[0]!FMainPool2Fee+J173*[0]!FMainPool3Fee+K173*[0]!FMainPool4Fee+B173*[0]!FMainEntryFee</f>
        <v>0</v>
      </c>
      <c r="U173" s="117"/>
      <c r="V173" s="118"/>
      <c r="W173" s="66"/>
      <c r="X173" s="97"/>
      <c r="Y173" s="97">
        <v>1</v>
      </c>
      <c r="Z173" s="98" t="s">
        <v>751</v>
      </c>
    </row>
    <row r="174" spans="1:26" ht="18">
      <c r="A174" s="88">
        <f t="shared" si="24"/>
        <v>163</v>
      </c>
      <c r="B174" s="128"/>
      <c r="C174" s="90" t="s">
        <v>652</v>
      </c>
      <c r="D174" s="90" t="s">
        <v>42</v>
      </c>
      <c r="E174" s="91" t="s">
        <v>653</v>
      </c>
      <c r="F174" s="105">
        <v>4086670073</v>
      </c>
      <c r="G174" s="109" t="s">
        <v>654</v>
      </c>
      <c r="H174" s="127"/>
      <c r="I174" s="128"/>
      <c r="J174" s="128"/>
      <c r="K174" s="128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6">
        <f>H174*[0]!FMainPool1Fee+I174*[0]!FMainPool2Fee+J174*[0]!FMainPool3Fee+K174*[0]!FMainPool4Fee+B174*[0]!FMainEntryFee</f>
        <v>0</v>
      </c>
      <c r="U174" s="117"/>
      <c r="V174" s="118"/>
      <c r="W174" s="66"/>
      <c r="X174" s="97"/>
      <c r="Y174" s="97"/>
      <c r="Z174" s="98"/>
    </row>
    <row r="175" spans="1:26" ht="18">
      <c r="A175" s="88">
        <f t="shared" si="24"/>
        <v>164</v>
      </c>
      <c r="B175" s="128"/>
      <c r="C175" s="90" t="s">
        <v>737</v>
      </c>
      <c r="D175" s="90" t="s">
        <v>47</v>
      </c>
      <c r="E175" s="91" t="s">
        <v>712</v>
      </c>
      <c r="F175" s="105">
        <v>4086660276</v>
      </c>
      <c r="G175" s="109" t="s">
        <v>713</v>
      </c>
      <c r="H175" s="127"/>
      <c r="I175" s="128"/>
      <c r="J175" s="128"/>
      <c r="K175" s="128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6">
        <f>H175*[0]!FMainPool1Fee+I175*[0]!FMainPool2Fee+J175*[0]!FMainPool3Fee+K175*[0]!FMainPool4Fee+B175*[0]!FMainEntryFee</f>
        <v>0</v>
      </c>
      <c r="U175" s="117"/>
      <c r="V175" s="118"/>
      <c r="W175" s="66"/>
      <c r="X175" s="97"/>
      <c r="Y175" s="97"/>
      <c r="Z175" s="98"/>
    </row>
    <row r="176" spans="1:26" ht="18">
      <c r="A176" s="88">
        <f t="shared" si="24"/>
        <v>165</v>
      </c>
      <c r="B176" s="128"/>
      <c r="C176" s="101" t="s">
        <v>50</v>
      </c>
      <c r="D176" s="101" t="s">
        <v>51</v>
      </c>
      <c r="E176" s="102" t="s">
        <v>226</v>
      </c>
      <c r="F176" s="104">
        <v>9167697400</v>
      </c>
      <c r="G176" s="103" t="s">
        <v>229</v>
      </c>
      <c r="H176" s="127"/>
      <c r="I176" s="128"/>
      <c r="J176" s="128"/>
      <c r="K176" s="128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6">
        <f>H176*[0]!FMainPool1Fee+I176*[0]!FMainPool2Fee+J176*[0]!FMainPool3Fee+K176*[0]!FMainPool4Fee+B176*[0]!FMainEntryFee</f>
        <v>0</v>
      </c>
      <c r="U176" s="117"/>
      <c r="V176" s="118"/>
      <c r="W176" s="66"/>
      <c r="X176" s="97"/>
      <c r="Y176" s="97"/>
      <c r="Z176" s="98"/>
    </row>
    <row r="177" spans="1:26" ht="18">
      <c r="A177" s="88">
        <f t="shared" si="24"/>
        <v>166</v>
      </c>
      <c r="B177" s="128"/>
      <c r="C177" s="101" t="s">
        <v>114</v>
      </c>
      <c r="D177" s="101" t="s">
        <v>45</v>
      </c>
      <c r="E177" s="102" t="s">
        <v>214</v>
      </c>
      <c r="F177" s="104"/>
      <c r="G177" s="103" t="s">
        <v>382</v>
      </c>
      <c r="H177" s="127"/>
      <c r="I177" s="128"/>
      <c r="J177" s="128"/>
      <c r="K177" s="128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6">
        <f>H177*[0]!FMainPool1Fee+I177*[0]!FMainPool2Fee+J177*[0]!FMainPool3Fee+K177*[0]!FMainPool4Fee+B177*[0]!FMainEntryFee</f>
        <v>0</v>
      </c>
      <c r="U177" s="117"/>
      <c r="V177" s="118"/>
      <c r="W177" s="66"/>
      <c r="X177" s="97"/>
      <c r="Y177" s="97"/>
      <c r="Z177" s="98"/>
    </row>
    <row r="178" spans="1:26" ht="18">
      <c r="A178" s="88">
        <f t="shared" si="24"/>
        <v>167</v>
      </c>
      <c r="B178" s="128"/>
      <c r="C178" s="101" t="s">
        <v>693</v>
      </c>
      <c r="D178" s="101" t="s">
        <v>694</v>
      </c>
      <c r="E178" s="102" t="s">
        <v>695</v>
      </c>
      <c r="F178" s="104">
        <v>4073616554</v>
      </c>
      <c r="G178" s="99" t="s">
        <v>696</v>
      </c>
      <c r="H178" s="127"/>
      <c r="I178" s="128"/>
      <c r="J178" s="128"/>
      <c r="K178" s="128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6">
        <f>H178*[0]!FMainPool1Fee+I178*[0]!FMainPool2Fee+J178*[0]!FMainPool3Fee+K178*[0]!FMainPool4Fee+B178*[0]!FMainEntryFee</f>
        <v>0</v>
      </c>
      <c r="U178" s="117"/>
      <c r="V178" s="118"/>
      <c r="W178" s="66"/>
      <c r="X178" s="97"/>
      <c r="Y178" s="97"/>
      <c r="Z178" s="98"/>
    </row>
    <row r="179" spans="1:26" ht="18">
      <c r="A179" s="88">
        <f t="shared" si="24"/>
        <v>168</v>
      </c>
      <c r="B179" s="128"/>
      <c r="C179" s="101" t="s">
        <v>78</v>
      </c>
      <c r="D179" s="101" t="s">
        <v>79</v>
      </c>
      <c r="E179" s="102" t="s">
        <v>215</v>
      </c>
      <c r="F179" s="104"/>
      <c r="G179" s="103" t="s">
        <v>383</v>
      </c>
      <c r="H179" s="127"/>
      <c r="I179" s="128"/>
      <c r="J179" s="128"/>
      <c r="K179" s="128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6">
        <f>H179*[0]!FMainPool1Fee+I179*[0]!FMainPool2Fee+J179*[0]!FMainPool3Fee+K179*[0]!FMainPool4Fee+B179*[0]!FMainEntryFee</f>
        <v>0</v>
      </c>
      <c r="U179" s="117"/>
      <c r="V179" s="118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128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127"/>
      <c r="I180" s="128"/>
      <c r="J180" s="128"/>
      <c r="K180" s="128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6">
        <f>H180*[0]!FMainPool1Fee+I180*[0]!FMainPool2Fee+J180*[0]!FMainPool3Fee+K180*[0]!FMainPool4Fee+B180*[0]!FMainEntryFee</f>
        <v>0</v>
      </c>
      <c r="U180" s="117"/>
      <c r="V180" s="118"/>
      <c r="W180" s="66"/>
      <c r="X180" s="97">
        <v>1</v>
      </c>
      <c r="Y180" s="97"/>
      <c r="Z180" s="98" t="s">
        <v>742</v>
      </c>
    </row>
    <row r="181" spans="1:26" ht="18">
      <c r="A181" s="88">
        <f t="shared" si="24"/>
        <v>170</v>
      </c>
      <c r="B181" s="128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127"/>
      <c r="I181" s="128"/>
      <c r="J181" s="128"/>
      <c r="K181" s="128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6">
        <f>H181*[0]!FMainPool1Fee+I181*[0]!FMainPool2Fee+J181*[0]!FMainPool3Fee+K181*[0]!FMainPool4Fee+B181*[0]!FMainEntryFee</f>
        <v>0</v>
      </c>
      <c r="U181" s="117"/>
      <c r="V181" s="118">
        <v>1</v>
      </c>
      <c r="W181" s="66"/>
      <c r="X181" s="97"/>
      <c r="Y181" s="97"/>
      <c r="Z181" s="98" t="s">
        <v>767</v>
      </c>
    </row>
    <row r="182" spans="1:26" ht="18">
      <c r="A182" s="88">
        <f t="shared" si="24"/>
        <v>171</v>
      </c>
      <c r="B182" s="128"/>
      <c r="C182" s="99" t="s">
        <v>603</v>
      </c>
      <c r="D182" s="99" t="s">
        <v>73</v>
      </c>
      <c r="E182" s="66" t="s">
        <v>604</v>
      </c>
      <c r="F182" s="105"/>
      <c r="G182" s="93" t="s">
        <v>605</v>
      </c>
      <c r="H182" s="127"/>
      <c r="I182" s="128"/>
      <c r="J182" s="128"/>
      <c r="K182" s="128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6">
        <f>H182*[0]!FMainPool1Fee+I182*[0]!FMainPool2Fee+J182*[0]!FMainPool3Fee+K182*[0]!FMainPool4Fee+B182*[0]!FMainEntryFee</f>
        <v>0</v>
      </c>
      <c r="U182" s="117"/>
      <c r="V182" s="118"/>
      <c r="W182" s="66"/>
      <c r="X182" s="97"/>
      <c r="Y182" s="97"/>
      <c r="Z182" s="98"/>
    </row>
    <row r="183" spans="1:26" ht="18">
      <c r="A183" s="88">
        <f t="shared" si="24"/>
        <v>172</v>
      </c>
      <c r="B183" s="128"/>
      <c r="C183" s="90" t="s">
        <v>92</v>
      </c>
      <c r="D183" s="90" t="s">
        <v>93</v>
      </c>
      <c r="E183" s="91"/>
      <c r="F183" s="92"/>
      <c r="G183" s="103" t="s">
        <v>94</v>
      </c>
      <c r="H183" s="127"/>
      <c r="I183" s="128"/>
      <c r="J183" s="128"/>
      <c r="K183" s="128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6">
        <f>H183*[0]!FMainPool1Fee+I183*[0]!FMainPool2Fee+J183*[0]!FMainPool3Fee+K183*[0]!FMainPool4Fee+B183*[0]!FMainEntryFee</f>
        <v>0</v>
      </c>
      <c r="U183" s="117"/>
      <c r="V183" s="118"/>
      <c r="W183" s="66"/>
      <c r="X183" s="97">
        <v>1</v>
      </c>
      <c r="Y183" s="97"/>
      <c r="Z183" s="98" t="s">
        <v>748</v>
      </c>
    </row>
    <row r="184" spans="1:26" ht="18">
      <c r="A184" s="88">
        <f t="shared" si="24"/>
        <v>173</v>
      </c>
      <c r="B184" s="128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127"/>
      <c r="I184" s="128"/>
      <c r="J184" s="128"/>
      <c r="K184" s="128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6">
        <f>H184*[0]!FMainPool1Fee+I184*[0]!FMainPool2Fee+J184*[0]!FMainPool3Fee+K184*[0]!FMainPool4Fee+B184*[0]!FMainEntryFee</f>
        <v>0</v>
      </c>
      <c r="U184" s="117"/>
      <c r="V184" s="118"/>
      <c r="W184" s="66"/>
      <c r="X184" s="97"/>
      <c r="Y184" s="97">
        <v>1</v>
      </c>
      <c r="Z184" s="98"/>
    </row>
    <row r="185" spans="1:26" ht="18">
      <c r="A185" s="88">
        <f t="shared" si="24"/>
        <v>174</v>
      </c>
      <c r="B185" s="128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127"/>
      <c r="I185" s="128"/>
      <c r="J185" s="128"/>
      <c r="K185" s="128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6">
        <f>H185*[0]!FMainPool1Fee+I185*[0]!FMainPool2Fee+J185*[0]!FMainPool3Fee+K185*[0]!FMainPool4Fee+B185*[0]!FMainEntryFee</f>
        <v>0</v>
      </c>
      <c r="U185" s="117"/>
      <c r="V185" s="118"/>
      <c r="W185" s="66"/>
      <c r="X185" s="97"/>
      <c r="Y185" s="97"/>
      <c r="Z185" s="98"/>
    </row>
    <row r="186" spans="1:26" ht="18">
      <c r="A186" s="88">
        <f t="shared" si="24"/>
        <v>175</v>
      </c>
      <c r="B186" s="128"/>
      <c r="C186" s="99" t="s">
        <v>606</v>
      </c>
      <c r="D186" s="99" t="s">
        <v>5</v>
      </c>
      <c r="E186" s="66" t="s">
        <v>607</v>
      </c>
      <c r="F186" s="105">
        <v>7752876408</v>
      </c>
      <c r="G186" s="99"/>
      <c r="H186" s="127"/>
      <c r="I186" s="128"/>
      <c r="J186" s="128"/>
      <c r="K186" s="128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6">
        <f>H186*[0]!FMainPool1Fee+I186*[0]!FMainPool2Fee+J186*[0]!FMainPool3Fee+K186*[0]!FMainPool4Fee+B186*[0]!FMainEntryFee</f>
        <v>0</v>
      </c>
      <c r="U186" s="117"/>
      <c r="V186" s="118"/>
      <c r="W186" s="66"/>
      <c r="X186" s="97"/>
      <c r="Y186" s="97"/>
      <c r="Z186" s="98"/>
    </row>
    <row r="187" spans="1:26" ht="18">
      <c r="A187" s="88">
        <f t="shared" si="24"/>
        <v>176</v>
      </c>
      <c r="B187" s="128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127"/>
      <c r="I187" s="128"/>
      <c r="J187" s="128"/>
      <c r="K187" s="128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6">
        <f>H187*[0]!FMainPool1Fee+I187*[0]!FMainPool2Fee+J187*[0]!FMainPool3Fee+K187*[0]!FMainPool4Fee+B187*[0]!FMainEntryFee</f>
        <v>0</v>
      </c>
      <c r="U187" s="117"/>
      <c r="V187" s="118"/>
      <c r="W187" s="66"/>
      <c r="X187" s="97"/>
      <c r="Y187" s="97"/>
      <c r="Z187" s="98"/>
    </row>
    <row r="188" spans="1:26" ht="18">
      <c r="A188" s="88">
        <f t="shared" si="24"/>
        <v>177</v>
      </c>
      <c r="B188" s="128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127"/>
      <c r="I188" s="128"/>
      <c r="J188" s="128"/>
      <c r="K188" s="128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6">
        <f>H188*[0]!FMainPool1Fee+I188*[0]!FMainPool2Fee+J188*[0]!FMainPool3Fee+K188*[0]!FMainPool4Fee+B188*[0]!FMainEntryFee</f>
        <v>0</v>
      </c>
      <c r="U188" s="117"/>
      <c r="V188" s="118"/>
      <c r="W188" s="66"/>
      <c r="X188" s="97"/>
      <c r="Y188" s="97"/>
      <c r="Z188" s="98"/>
    </row>
    <row r="189" spans="1:26" ht="18">
      <c r="A189" s="88">
        <f t="shared" si="24"/>
        <v>178</v>
      </c>
      <c r="B189" s="128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127"/>
      <c r="I189" s="128"/>
      <c r="J189" s="128"/>
      <c r="K189" s="128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si="22"/>
        <v/>
      </c>
      <c r="T189" s="116">
        <f>H189*[0]!FMainPool1Fee+I189*[0]!FMainPool2Fee+J189*[0]!FMainPool3Fee+K189*[0]!FMainPool4Fee+B189*[0]!FMainEntryFee</f>
        <v>0</v>
      </c>
      <c r="U189" s="117"/>
      <c r="V189" s="118"/>
      <c r="W189" s="66"/>
      <c r="X189" s="97">
        <v>1</v>
      </c>
      <c r="Y189" s="97"/>
      <c r="Z189" s="98" t="s">
        <v>762</v>
      </c>
    </row>
    <row r="190" spans="1:26" ht="18">
      <c r="A190" s="88">
        <f t="shared" si="24"/>
        <v>179</v>
      </c>
      <c r="B190" s="128"/>
      <c r="C190" s="90" t="s">
        <v>643</v>
      </c>
      <c r="D190" s="90" t="s">
        <v>5</v>
      </c>
      <c r="E190" s="91"/>
      <c r="F190" s="105">
        <v>7074804517</v>
      </c>
      <c r="G190" s="93" t="s">
        <v>644</v>
      </c>
      <c r="H190" s="127"/>
      <c r="I190" s="128"/>
      <c r="J190" s="128"/>
      <c r="K190" s="128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ref="S190:S221" si="26">IF(OR(P190="$",N190=1),+T190,"")</f>
        <v/>
      </c>
      <c r="T190" s="116">
        <f>H190*[0]!FMainPool1Fee+I190*[0]!FMainPool2Fee+J190*[0]!FMainPool3Fee+K190*[0]!FMainPool4Fee+B190*[0]!FMainEntryFee</f>
        <v>0</v>
      </c>
      <c r="U190" s="117"/>
      <c r="V190" s="118"/>
      <c r="W190" s="66"/>
      <c r="X190" s="97"/>
      <c r="Y190" s="97"/>
      <c r="Z190" s="98"/>
    </row>
    <row r="191" spans="1:26" ht="18">
      <c r="A191" s="88">
        <f t="shared" si="24"/>
        <v>180</v>
      </c>
      <c r="B191" s="128"/>
      <c r="C191" s="101" t="s">
        <v>68</v>
      </c>
      <c r="D191" s="101" t="s">
        <v>26</v>
      </c>
      <c r="E191" s="102" t="s">
        <v>225</v>
      </c>
      <c r="F191" s="104"/>
      <c r="G191" s="103" t="s">
        <v>149</v>
      </c>
      <c r="H191" s="127"/>
      <c r="I191" s="128"/>
      <c r="J191" s="128"/>
      <c r="K191" s="128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si="23"/>
        <v/>
      </c>
      <c r="S191" s="96" t="str">
        <f t="shared" si="26"/>
        <v/>
      </c>
      <c r="T191" s="116">
        <f>H191*[0]!FMainPool1Fee+I191*[0]!FMainPool2Fee+J191*[0]!FMainPool3Fee+K191*[0]!FMainPool4Fee+B191*[0]!FMainEntryFee</f>
        <v>0</v>
      </c>
      <c r="U191" s="117"/>
      <c r="V191" s="118"/>
      <c r="W191" s="66"/>
      <c r="X191" s="97"/>
      <c r="Y191" s="97"/>
      <c r="Z191" s="98" t="s">
        <v>768</v>
      </c>
    </row>
    <row r="192" spans="1:26" ht="18">
      <c r="A192" s="88">
        <f t="shared" si="24"/>
        <v>181</v>
      </c>
      <c r="B192" s="128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127"/>
      <c r="I192" s="128"/>
      <c r="J192" s="128"/>
      <c r="K192" s="128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ref="R192:R216" si="27">IF(OR(P192="c",P192="C"),+T192,"")</f>
        <v/>
      </c>
      <c r="S192" s="96" t="str">
        <f t="shared" si="26"/>
        <v/>
      </c>
      <c r="T192" s="116">
        <f>H192*[0]!FMainPool1Fee+I192*[0]!FMainPool2Fee+J192*[0]!FMainPool3Fee+K192*[0]!FMainPool4Fee+B192*[0]!FMainEntryFee</f>
        <v>0</v>
      </c>
      <c r="U192" s="117"/>
      <c r="V192" s="118"/>
      <c r="W192" s="66"/>
      <c r="X192" s="97">
        <v>1</v>
      </c>
      <c r="Y192" s="97"/>
      <c r="Z192" s="98" t="s">
        <v>768</v>
      </c>
    </row>
    <row r="193" spans="1:26" ht="18">
      <c r="A193" s="88">
        <f t="shared" si="24"/>
        <v>182</v>
      </c>
      <c r="B193" s="128"/>
      <c r="C193" s="90" t="s">
        <v>334</v>
      </c>
      <c r="D193" s="90" t="s">
        <v>93</v>
      </c>
      <c r="E193" s="91"/>
      <c r="F193" s="92"/>
      <c r="G193" s="103" t="s">
        <v>333</v>
      </c>
      <c r="H193" s="127"/>
      <c r="I193" s="128"/>
      <c r="J193" s="128"/>
      <c r="K193" s="128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6">
        <f>H193*[0]!FMainPool1Fee+I193*[0]!FMainPool2Fee+J193*[0]!FMainPool3Fee+K193*[0]!FMainPool4Fee+B193*[0]!FMainEntryFee</f>
        <v>0</v>
      </c>
      <c r="U193" s="117"/>
      <c r="V193" s="118"/>
      <c r="W193" s="66"/>
      <c r="X193" s="97">
        <v>1</v>
      </c>
      <c r="Y193" s="97"/>
      <c r="Z193" s="98"/>
    </row>
    <row r="194" spans="1:26" ht="18">
      <c r="A194" s="88">
        <f t="shared" si="24"/>
        <v>183</v>
      </c>
      <c r="B194" s="128"/>
      <c r="C194" s="99" t="s">
        <v>608</v>
      </c>
      <c r="D194" s="99" t="s">
        <v>10</v>
      </c>
      <c r="E194" s="66" t="s">
        <v>584</v>
      </c>
      <c r="F194" s="105"/>
      <c r="G194" s="93" t="s">
        <v>609</v>
      </c>
      <c r="H194" s="127"/>
      <c r="I194" s="128"/>
      <c r="J194" s="128"/>
      <c r="K194" s="128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6">
        <f>H194*[0]!FMainPool1Fee+I194*[0]!FMainPool2Fee+J194*[0]!FMainPool3Fee+K194*[0]!FMainPool4Fee+B194*[0]!FMainEntryFee</f>
        <v>0</v>
      </c>
      <c r="U194" s="117"/>
      <c r="V194" s="118"/>
      <c r="W194" s="66"/>
      <c r="X194" s="97">
        <v>1</v>
      </c>
      <c r="Y194" s="97"/>
      <c r="Z194" s="98" t="s">
        <v>806</v>
      </c>
    </row>
    <row r="195" spans="1:26" ht="18">
      <c r="A195" s="88">
        <f t="shared" si="24"/>
        <v>184</v>
      </c>
      <c r="B195" s="128"/>
      <c r="C195" s="101" t="s">
        <v>52</v>
      </c>
      <c r="D195" s="101" t="s">
        <v>15</v>
      </c>
      <c r="E195" s="102" t="s">
        <v>217</v>
      </c>
      <c r="F195" s="104"/>
      <c r="G195" s="103" t="s">
        <v>386</v>
      </c>
      <c r="H195" s="127"/>
      <c r="I195" s="128"/>
      <c r="J195" s="128"/>
      <c r="K195" s="128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6">
        <f>H195*[0]!FMainPool1Fee+I195*[0]!FMainPool2Fee+J195*[0]!FMainPool3Fee+K195*[0]!FMainPool4Fee+B195*[0]!FMainEntryFee</f>
        <v>0</v>
      </c>
      <c r="U195" s="117"/>
      <c r="V195" s="118"/>
      <c r="W195" s="66"/>
      <c r="X195" s="97"/>
      <c r="Y195" s="97"/>
      <c r="Z195" s="98"/>
    </row>
    <row r="196" spans="1:26" ht="18">
      <c r="A196" s="88">
        <f t="shared" si="24"/>
        <v>185</v>
      </c>
      <c r="B196" s="128"/>
      <c r="C196" s="101" t="s">
        <v>74</v>
      </c>
      <c r="D196" s="101" t="s">
        <v>75</v>
      </c>
      <c r="E196" s="102" t="s">
        <v>163</v>
      </c>
      <c r="F196" s="104"/>
      <c r="G196" s="103" t="s">
        <v>361</v>
      </c>
      <c r="H196" s="127"/>
      <c r="I196" s="128"/>
      <c r="J196" s="128"/>
      <c r="K196" s="128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6">
        <f>H196*[0]!FMainPool1Fee+I196*[0]!FMainPool2Fee+J196*[0]!FMainPool3Fee+K196*[0]!FMainPool4Fee+B196*[0]!FMainEntryFee</f>
        <v>0</v>
      </c>
      <c r="U196" s="117"/>
      <c r="V196" s="118"/>
      <c r="W196" s="66"/>
      <c r="X196" s="97"/>
      <c r="Y196" s="97"/>
      <c r="Z196" s="98"/>
    </row>
    <row r="197" spans="1:26" ht="18">
      <c r="A197" s="88">
        <f t="shared" si="24"/>
        <v>186</v>
      </c>
      <c r="B197" s="128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127"/>
      <c r="I197" s="128"/>
      <c r="J197" s="128"/>
      <c r="K197" s="128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6">
        <f>H197*[0]!FMainPool1Fee+I197*[0]!FMainPool2Fee+J197*[0]!FMainPool3Fee+K197*[0]!FMainPool4Fee+B197*[0]!FMainEntryFee</f>
        <v>0</v>
      </c>
      <c r="U197" s="117"/>
      <c r="V197" s="118"/>
      <c r="W197" s="66"/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128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127"/>
      <c r="I198" s="128"/>
      <c r="J198" s="128"/>
      <c r="K198" s="128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6">
        <f>H198*[0]!FMainPool1Fee+I198*[0]!FMainPool2Fee+J198*[0]!FMainPool3Fee+K198*[0]!FMainPool4Fee+B198*[0]!FMainEntryFee</f>
        <v>0</v>
      </c>
      <c r="U198" s="117"/>
      <c r="V198" s="118"/>
      <c r="W198" s="66">
        <v>1</v>
      </c>
      <c r="X198" s="97"/>
      <c r="Y198" s="97"/>
      <c r="Z198" s="98"/>
    </row>
    <row r="199" spans="1:26" ht="18">
      <c r="A199" s="88">
        <f t="shared" si="28"/>
        <v>188</v>
      </c>
      <c r="B199" s="128"/>
      <c r="C199" s="90" t="s">
        <v>431</v>
      </c>
      <c r="D199" s="90" t="s">
        <v>19</v>
      </c>
      <c r="E199" s="91" t="s">
        <v>432</v>
      </c>
      <c r="F199" s="105" t="s">
        <v>505</v>
      </c>
      <c r="G199" s="99" t="s">
        <v>506</v>
      </c>
      <c r="H199" s="127"/>
      <c r="I199" s="128"/>
      <c r="J199" s="128"/>
      <c r="K199" s="128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6">
        <f>H199*[0]!FMainPool1Fee+I199*[0]!FMainPool2Fee+J199*[0]!FMainPool3Fee+K199*[0]!FMainPool4Fee+B199*[0]!FMainEntryFee</f>
        <v>0</v>
      </c>
      <c r="U199" s="117"/>
      <c r="V199" s="118"/>
      <c r="W199" s="66"/>
      <c r="X199" s="97"/>
      <c r="Y199" s="97"/>
      <c r="Z199" s="98"/>
    </row>
    <row r="200" spans="1:26" ht="18">
      <c r="A200" s="88">
        <f t="shared" si="28"/>
        <v>189</v>
      </c>
      <c r="B200" s="128"/>
      <c r="C200" s="90" t="s">
        <v>243</v>
      </c>
      <c r="D200" s="90" t="s">
        <v>57</v>
      </c>
      <c r="E200" s="91" t="s">
        <v>291</v>
      </c>
      <c r="F200" s="92"/>
      <c r="G200" s="103"/>
      <c r="H200" s="127"/>
      <c r="I200" s="128"/>
      <c r="J200" s="128"/>
      <c r="K200" s="128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6">
        <f>H200*[0]!FMainPool1Fee+I200*[0]!FMainPool2Fee+J200*[0]!FMainPool3Fee+K200*[0]!FMainPool4Fee+B200*[0]!FMainEntryFee</f>
        <v>0</v>
      </c>
      <c r="U200" s="117"/>
      <c r="V200" s="118"/>
      <c r="W200" s="66"/>
      <c r="X200" s="97"/>
      <c r="Y200" s="97"/>
      <c r="Z200" s="98"/>
    </row>
    <row r="201" spans="1:26" ht="18">
      <c r="A201" s="88">
        <f t="shared" si="28"/>
        <v>190</v>
      </c>
      <c r="B201" s="128"/>
      <c r="C201" s="90" t="s">
        <v>285</v>
      </c>
      <c r="D201" s="90" t="s">
        <v>286</v>
      </c>
      <c r="E201" s="91" t="s">
        <v>287</v>
      </c>
      <c r="F201" s="92"/>
      <c r="G201" s="103"/>
      <c r="H201" s="127"/>
      <c r="I201" s="128"/>
      <c r="J201" s="128"/>
      <c r="K201" s="128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6">
        <f>H201*[0]!FMainPool1Fee+I201*[0]!FMainPool2Fee+J201*[0]!FMainPool3Fee+K201*[0]!FMainPool4Fee+B201*[0]!FMainEntryFee</f>
        <v>0</v>
      </c>
      <c r="U201" s="117"/>
      <c r="V201" s="118"/>
      <c r="W201" s="66"/>
      <c r="X201" s="97"/>
      <c r="Y201" s="97"/>
      <c r="Z201" s="98"/>
    </row>
    <row r="202" spans="1:26" ht="18">
      <c r="A202" s="88">
        <f t="shared" si="28"/>
        <v>191</v>
      </c>
      <c r="B202" s="128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127"/>
      <c r="I202" s="128"/>
      <c r="J202" s="128"/>
      <c r="K202" s="128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6">
        <f>H202*[0]!FMainPool1Fee+I202*[0]!FMainPool2Fee+J202*[0]!FMainPool3Fee+K202*[0]!FMainPool4Fee+B202*[0]!FMainEntryFee</f>
        <v>0</v>
      </c>
      <c r="U202" s="117"/>
      <c r="V202" s="118"/>
      <c r="W202" s="66"/>
      <c r="X202" s="97"/>
      <c r="Y202" s="97"/>
      <c r="Z202" s="98"/>
    </row>
    <row r="203" spans="1:26" ht="18">
      <c r="A203" s="88">
        <f t="shared" si="28"/>
        <v>192</v>
      </c>
      <c r="B203" s="128"/>
      <c r="C203" s="90" t="s">
        <v>433</v>
      </c>
      <c r="D203" s="90" t="s">
        <v>447</v>
      </c>
      <c r="E203" s="91" t="s">
        <v>434</v>
      </c>
      <c r="F203" s="92">
        <v>7075087889</v>
      </c>
      <c r="G203" s="111" t="s">
        <v>711</v>
      </c>
      <c r="H203" s="127"/>
      <c r="I203" s="128"/>
      <c r="J203" s="128"/>
      <c r="K203" s="128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6">
        <f>H203*[0]!FMainPool1Fee+I203*[0]!FMainPool2Fee+J203*[0]!FMainPool3Fee+K203*[0]!FMainPool4Fee+B203*[0]!FMainEntryFee</f>
        <v>0</v>
      </c>
      <c r="U203" s="117"/>
      <c r="V203" s="118"/>
      <c r="W203" s="66"/>
      <c r="X203" s="97"/>
      <c r="Y203" s="97"/>
      <c r="Z203" s="98"/>
    </row>
    <row r="204" spans="1:26" ht="18">
      <c r="A204" s="88">
        <f t="shared" si="28"/>
        <v>193</v>
      </c>
      <c r="B204" s="128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127"/>
      <c r="I204" s="128"/>
      <c r="J204" s="128"/>
      <c r="K204" s="128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6">
        <f>H204*[0]!FMainPool1Fee+I204*[0]!FMainPool2Fee+J204*[0]!FMainPool3Fee+K204*[0]!FMainPool4Fee+B204*[0]!FMainEntryFee</f>
        <v>0</v>
      </c>
      <c r="U204" s="117"/>
      <c r="V204" s="118"/>
      <c r="W204" s="66"/>
      <c r="X204" s="97"/>
      <c r="Y204" s="97"/>
      <c r="Z204" s="98"/>
    </row>
    <row r="205" spans="1:26" ht="18">
      <c r="A205" s="88">
        <f t="shared" si="28"/>
        <v>194</v>
      </c>
      <c r="B205" s="128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127"/>
      <c r="I205" s="128"/>
      <c r="J205" s="128"/>
      <c r="K205" s="128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6">
        <f>H205*[0]!FMainPool1Fee+I205*[0]!FMainPool2Fee+J205*[0]!FMainPool3Fee+K205*[0]!FMainPool4Fee+B205*[0]!FMainEntryFee</f>
        <v>0</v>
      </c>
      <c r="U205" s="117"/>
      <c r="V205" s="118"/>
      <c r="W205" s="66"/>
      <c r="X205" s="97"/>
      <c r="Y205" s="97"/>
      <c r="Z205" s="98"/>
    </row>
    <row r="206" spans="1:26" ht="18">
      <c r="A206" s="88">
        <f t="shared" si="28"/>
        <v>195</v>
      </c>
      <c r="B206" s="128"/>
      <c r="C206" s="101" t="s">
        <v>20</v>
      </c>
      <c r="D206" s="101" t="s">
        <v>19</v>
      </c>
      <c r="E206" s="102" t="s">
        <v>220</v>
      </c>
      <c r="F206" s="104"/>
      <c r="G206" s="103"/>
      <c r="H206" s="127"/>
      <c r="I206" s="128"/>
      <c r="J206" s="128"/>
      <c r="K206" s="128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6">
        <f>H206*[0]!FMainPool1Fee+I206*[0]!FMainPool2Fee+J206*[0]!FMainPool3Fee+K206*[0]!FMainPool4Fee+B206*[0]!FMainEntryFee</f>
        <v>0</v>
      </c>
      <c r="U206" s="117"/>
      <c r="V206" s="118"/>
      <c r="W206" s="66"/>
      <c r="X206" s="97"/>
      <c r="Y206" s="97"/>
      <c r="Z206" s="98"/>
    </row>
    <row r="207" spans="1:26" ht="18">
      <c r="A207" s="88">
        <f t="shared" si="28"/>
        <v>196</v>
      </c>
      <c r="B207" s="128"/>
      <c r="C207" s="101" t="s">
        <v>677</v>
      </c>
      <c r="D207" s="101" t="s">
        <v>450</v>
      </c>
      <c r="E207" s="102" t="s">
        <v>678</v>
      </c>
      <c r="F207" s="104"/>
      <c r="G207" s="103"/>
      <c r="H207" s="127"/>
      <c r="I207" s="128"/>
      <c r="J207" s="128"/>
      <c r="K207" s="128"/>
      <c r="L207" s="89"/>
      <c r="M207" s="89"/>
      <c r="N207" s="89"/>
      <c r="O207" s="95">
        <f t="shared" ref="O207:O238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6">
        <f>H207*[0]!FMainPool1Fee+I207*[0]!FMainPool2Fee+J207*[0]!FMainPool3Fee+K207*[0]!FMainPool4Fee+B207*[0]!FMainEntryFee</f>
        <v>0</v>
      </c>
      <c r="U207" s="117"/>
      <c r="V207" s="118"/>
      <c r="W207" s="66"/>
      <c r="X207" s="97"/>
      <c r="Y207" s="97"/>
      <c r="Z207" s="98"/>
    </row>
    <row r="208" spans="1:26" ht="18">
      <c r="A208" s="88">
        <f t="shared" si="28"/>
        <v>197</v>
      </c>
      <c r="B208" s="128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127"/>
      <c r="I208" s="128"/>
      <c r="J208" s="128"/>
      <c r="K208" s="128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6">
        <f>H208*[0]!FMainPool1Fee+I208*[0]!FMainPool2Fee+J208*[0]!FMainPool3Fee+K208*[0]!FMainPool4Fee+B208*[0]!FMainEntryFee</f>
        <v>0</v>
      </c>
      <c r="U208" s="117"/>
      <c r="V208" s="118"/>
      <c r="W208" s="66"/>
      <c r="X208" s="97"/>
      <c r="Y208" s="97"/>
      <c r="Z208" s="98"/>
    </row>
    <row r="209" spans="1:26" ht="18">
      <c r="A209" s="88">
        <f t="shared" si="28"/>
        <v>198</v>
      </c>
      <c r="B209" s="128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127"/>
      <c r="I209" s="128"/>
      <c r="J209" s="128"/>
      <c r="K209" s="128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6">
        <f>H209*[0]!FMainPool1Fee+I209*[0]!FMainPool2Fee+J209*[0]!FMainPool3Fee+K209*[0]!FMainPool4Fee+B209*[0]!FMainEntryFee</f>
        <v>0</v>
      </c>
      <c r="U209" s="117"/>
      <c r="V209" s="118"/>
      <c r="W209" s="66"/>
      <c r="X209" s="97"/>
      <c r="Y209" s="97"/>
      <c r="Z209" s="98"/>
    </row>
    <row r="210" spans="1:26" ht="18">
      <c r="A210" s="88">
        <f t="shared" si="28"/>
        <v>199</v>
      </c>
      <c r="B210" s="128"/>
      <c r="C210" s="90" t="s">
        <v>699</v>
      </c>
      <c r="D210" s="90" t="s">
        <v>700</v>
      </c>
      <c r="E210" s="91" t="s">
        <v>701</v>
      </c>
      <c r="F210" s="92">
        <v>4178488838</v>
      </c>
      <c r="G210" s="111" t="s">
        <v>702</v>
      </c>
      <c r="H210" s="127"/>
      <c r="I210" s="128"/>
      <c r="J210" s="128"/>
      <c r="K210" s="128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6">
        <f>H210*[0]!FMainPool1Fee+I210*[0]!FMainPool2Fee+J210*[0]!FMainPool3Fee+K210*[0]!FMainPool4Fee+B210*[0]!FMainEntryFee</f>
        <v>0</v>
      </c>
      <c r="U210" s="117"/>
      <c r="V210" s="118"/>
      <c r="W210" s="66"/>
      <c r="X210" s="97"/>
      <c r="Y210" s="97"/>
      <c r="Z210" s="98"/>
    </row>
    <row r="211" spans="1:26" ht="18">
      <c r="A211" s="88">
        <f t="shared" si="28"/>
        <v>200</v>
      </c>
      <c r="B211" s="128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127"/>
      <c r="I211" s="128"/>
      <c r="J211" s="128"/>
      <c r="K211" s="128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6">
        <f>H211*[0]!FMainPool1Fee+I211*[0]!FMainPool2Fee+J211*[0]!FMainPool3Fee+K211*[0]!FMainPool4Fee+B211*[0]!FMainEntryFee</f>
        <v>0</v>
      </c>
      <c r="U211" s="117"/>
      <c r="V211" s="118"/>
      <c r="W211" s="66"/>
      <c r="X211" s="97"/>
      <c r="Y211" s="97"/>
      <c r="Z211" s="98"/>
    </row>
    <row r="212" spans="1:26" ht="18">
      <c r="A212" s="88">
        <f t="shared" si="28"/>
        <v>201</v>
      </c>
      <c r="B212" s="128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127"/>
      <c r="I212" s="128"/>
      <c r="J212" s="128"/>
      <c r="K212" s="128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6">
        <f>H212*[0]!FMainPool1Fee+I212*[0]!FMainPool2Fee+J212*[0]!FMainPool3Fee+K212*[0]!FMainPool4Fee+B212*[0]!FMainEntryFee</f>
        <v>0</v>
      </c>
      <c r="U212" s="117"/>
      <c r="V212" s="118"/>
      <c r="W212" s="66"/>
      <c r="X212" s="97"/>
      <c r="Y212" s="97"/>
      <c r="Z212" s="98"/>
    </row>
    <row r="213" spans="1:26" ht="18">
      <c r="A213" s="88">
        <f t="shared" si="28"/>
        <v>202</v>
      </c>
      <c r="B213" s="128"/>
      <c r="C213" s="90" t="s">
        <v>310</v>
      </c>
      <c r="D213" s="90" t="s">
        <v>308</v>
      </c>
      <c r="E213" s="91" t="s">
        <v>311</v>
      </c>
      <c r="F213" s="92"/>
      <c r="G213" s="103"/>
      <c r="H213" s="127"/>
      <c r="I213" s="128"/>
      <c r="J213" s="128"/>
      <c r="K213" s="128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6">
        <f>H213*[0]!FMainPool1Fee+I213*[0]!FMainPool2Fee+J213*[0]!FMainPool3Fee+K213*[0]!FMainPool4Fee+B213*[0]!FMainEntryFee</f>
        <v>0</v>
      </c>
      <c r="U213" s="117"/>
      <c r="V213" s="118"/>
      <c r="W213" s="66"/>
      <c r="X213" s="97"/>
      <c r="Y213" s="97"/>
      <c r="Z213" s="98"/>
    </row>
    <row r="214" spans="1:26" ht="18">
      <c r="A214" s="88">
        <f t="shared" si="28"/>
        <v>203</v>
      </c>
      <c r="B214" s="128"/>
      <c r="C214" s="90" t="s">
        <v>307</v>
      </c>
      <c r="D214" s="90" t="s">
        <v>308</v>
      </c>
      <c r="E214" s="91" t="s">
        <v>309</v>
      </c>
      <c r="F214" s="105" t="s">
        <v>510</v>
      </c>
      <c r="G214" s="103" t="s">
        <v>390</v>
      </c>
      <c r="H214" s="127"/>
      <c r="I214" s="128"/>
      <c r="J214" s="128"/>
      <c r="K214" s="128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6">
        <f>H214*[0]!FMainPool1Fee+I214*[0]!FMainPool2Fee+J214*[0]!FMainPool3Fee+K214*[0]!FMainPool4Fee+B214*[0]!FMainEntryFee</f>
        <v>0</v>
      </c>
      <c r="U214" s="117"/>
      <c r="V214" s="118"/>
      <c r="W214" s="66"/>
      <c r="X214" s="97"/>
      <c r="Y214" s="97"/>
      <c r="Z214" s="98"/>
    </row>
    <row r="215" spans="1:26" ht="18">
      <c r="A215" s="88">
        <f t="shared" si="28"/>
        <v>204</v>
      </c>
      <c r="B215" s="128"/>
      <c r="C215" s="99" t="s">
        <v>610</v>
      </c>
      <c r="D215" s="99" t="s">
        <v>611</v>
      </c>
      <c r="E215" s="66" t="s">
        <v>612</v>
      </c>
      <c r="F215" s="105"/>
      <c r="G215" s="99"/>
      <c r="H215" s="127"/>
      <c r="I215" s="128"/>
      <c r="J215" s="128"/>
      <c r="K215" s="128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6">
        <f>H215*[0]!FMainPool1Fee+I215*[0]!FMainPool2Fee+J215*[0]!FMainPool3Fee+K215*[0]!FMainPool4Fee+B215*[0]!FMainEntryFee</f>
        <v>0</v>
      </c>
      <c r="U215" s="117"/>
      <c r="V215" s="118"/>
      <c r="W215" s="66"/>
      <c r="X215" s="97"/>
      <c r="Y215" s="97"/>
      <c r="Z215" s="98"/>
    </row>
    <row r="216" spans="1:26" ht="18">
      <c r="A216" s="88">
        <f t="shared" si="28"/>
        <v>205</v>
      </c>
      <c r="B216" s="128"/>
      <c r="C216" s="99" t="s">
        <v>613</v>
      </c>
      <c r="D216" s="99" t="s">
        <v>47</v>
      </c>
      <c r="E216" s="66" t="s">
        <v>614</v>
      </c>
      <c r="F216" s="105">
        <v>5103661378</v>
      </c>
      <c r="G216" s="93" t="s">
        <v>615</v>
      </c>
      <c r="H216" s="127"/>
      <c r="I216" s="128"/>
      <c r="J216" s="128"/>
      <c r="K216" s="128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6">
        <f>H216*[0]!FMainPool1Fee+I216*[0]!FMainPool2Fee+J216*[0]!FMainPool3Fee+K216*[0]!FMainPool4Fee+B216*[0]!FMainEntryFee</f>
        <v>0</v>
      </c>
      <c r="U216" s="117"/>
      <c r="V216" s="118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6">
        <f>H217*[0]!FMainPool1Fee+I217*[0]!FMainPool2Fee+J217*[0]!FMainPool3Fee+K217*[0]!FMainPool4Fee+B217*[0]!FMainEntryFee</f>
        <v>0</v>
      </c>
      <c r="U217" s="117"/>
      <c r="V217" s="118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6">
        <f>H218*[0]!FMainPool1Fee+I218*[0]!FMainPool2Fee+J218*[0]!FMainPool3Fee+K218*[0]!FMainPool4Fee+B218*[0]!FMainEntryFee</f>
        <v>0</v>
      </c>
      <c r="U218" s="117"/>
      <c r="V218" s="118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6">
        <f>H219*[0]!FMainPool1Fee+I219*[0]!FMainPool2Fee+J219*[0]!FMainPool3Fee+K219*[0]!FMainPool4Fee+B219*[0]!FMainEntryFee</f>
        <v>0</v>
      </c>
      <c r="U219" s="117"/>
      <c r="V219" s="118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6">
        <f>H220*[0]!FMainPool1Fee+I220*[0]!FMainPool2Fee+J220*[0]!FMainPool3Fee+K220*[0]!FMainPool4Fee+B220*[0]!FMainEntryFee</f>
        <v>0</v>
      </c>
      <c r="U220" s="117"/>
      <c r="V220" s="118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6">
        <f>H221*[0]!FMainPool1Fee+I221*[0]!FMainPool2Fee+J221*[0]!FMainPool3Fee+K221*[0]!FMainPool4Fee+B221*[0]!FMainEntryFee</f>
        <v>0</v>
      </c>
      <c r="U221" s="117"/>
      <c r="V221" s="118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6">
        <f>H222*[0]!FMainPool1Fee+I222*[0]!FMainPool2Fee+J222*[0]!FMainPool3Fee+K222*[0]!FMainPool4Fee+B222*[0]!FMainEntryFee</f>
        <v>0</v>
      </c>
      <c r="U222" s="117"/>
      <c r="V222" s="118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6">
        <f>H223*[0]!FMainPool1Fee+I223*[0]!FMainPool2Fee+J223*[0]!FMainPool3Fee+K223*[0]!FMainPool4Fee+B223*[0]!FMainEntryFee</f>
        <v>0</v>
      </c>
      <c r="U223" s="117"/>
      <c r="V223" s="118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6">
        <f>H224*[0]!FMainPool1Fee+I224*[0]!FMainPool2Fee+J224*[0]!FMainPool3Fee+K224*[0]!FMainPool4Fee+B224*[0]!FMainEntryFee</f>
        <v>0</v>
      </c>
      <c r="U224" s="117"/>
      <c r="V224" s="118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6">
        <f>H225*[0]!FMainPool1Fee+I225*[0]!FMainPool2Fee+J225*[0]!FMainPool3Fee+K225*[0]!FMainPool4Fee+B225*[0]!FMainEntryFee</f>
        <v>0</v>
      </c>
      <c r="U225" s="117"/>
      <c r="V225" s="118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6">
        <f>H226*[0]!FMainPool1Fee+I226*[0]!FMainPool2Fee+J226*[0]!FMainPool3Fee+K226*[0]!FMainPool4Fee+B226*[0]!FMainEntryFee</f>
        <v>0</v>
      </c>
      <c r="U226" s="117"/>
      <c r="V226" s="118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3" r:id="rId2" xr:uid="{00000000-0004-0000-0200-000001000000}"/>
    <hyperlink ref="G72" r:id="rId3" xr:uid="{00000000-0004-0000-0200-000002000000}"/>
    <hyperlink ref="G21" r:id="rId4" xr:uid="{00000000-0004-0000-0200-000003000000}"/>
    <hyperlink ref="G79" r:id="rId5" xr:uid="{00000000-0004-0000-0200-000004000000}"/>
    <hyperlink ref="G33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9" r:id="rId10" xr:uid="{00000000-0004-0000-0200-000009000000}"/>
    <hyperlink ref="G134" r:id="rId11" xr:uid="{00000000-0004-0000-0200-00000A000000}"/>
    <hyperlink ref="G44" r:id="rId12" xr:uid="{00000000-0004-0000-0200-00000B000000}"/>
    <hyperlink ref="G45" r:id="rId13" xr:uid="{00000000-0004-0000-0200-00000C000000}"/>
    <hyperlink ref="G46" r:id="rId14" xr:uid="{00000000-0004-0000-0200-00000D000000}"/>
    <hyperlink ref="G56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5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2" r:id="rId25" xr:uid="{00000000-0004-0000-0200-000018000000}"/>
    <hyperlink ref="G49" r:id="rId26" xr:uid="{00000000-0004-0000-0200-000019000000}"/>
    <hyperlink ref="G123" r:id="rId27" xr:uid="{00000000-0004-0000-0200-00001A000000}"/>
    <hyperlink ref="G163" r:id="rId28" xr:uid="{00000000-0004-0000-0200-00001B000000}"/>
    <hyperlink ref="G53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8" r:id="rId39" xr:uid="{00000000-0004-0000-0200-000026000000}"/>
    <hyperlink ref="G174" r:id="rId40" xr:uid="{00000000-0004-0000-0200-000027000000}"/>
    <hyperlink ref="G43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8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90" r:id="rId58" xr:uid="{00000000-0004-0000-0200-000039000000}"/>
    <hyperlink ref="G29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1" r:id="rId66" xr:uid="{B9920269-7CD4-A14B-87D7-8D6D6DD4896E}"/>
    <hyperlink ref="G61" r:id="rId67" xr:uid="{09A0786F-0DED-AC43-BA97-77563ABBC618}"/>
    <hyperlink ref="G14" r:id="rId68" xr:uid="{C258E794-A2D7-8B4B-A9E6-8B4FBA555A4F}"/>
    <hyperlink ref="G15" r:id="rId69" xr:uid="{C0206411-D0F5-D841-8203-CFB77FF60C48}"/>
    <hyperlink ref="G68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1" name="SortPool1">
              <controlPr defaultSize="0" print="0" autoFill="0" autoPict="0" macro="[0]!Button46_Click">
                <anchor moveWithCells="1" sizeWithCells="1">
                  <from>
                    <xdr:col>7</xdr:col>
                    <xdr:colOff>19050</xdr:colOff>
                    <xdr:row>7</xdr:row>
                    <xdr:rowOff>114300</xdr:rowOff>
                  </from>
                  <to>
                    <xdr:col>8</xdr:col>
                    <xdr:colOff>19050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2" name="SortPool2">
              <controlPr defaultSize="0" print="0" autoFill="0" autoPict="0" macro="[0]!SortPool2_Click">
                <anchor moveWithCells="1" sizeWithCells="1">
                  <from>
                    <xdr:col>8</xdr:col>
                    <xdr:colOff>66675</xdr:colOff>
                    <xdr:row>7</xdr:row>
                    <xdr:rowOff>114300</xdr:rowOff>
                  </from>
                  <to>
                    <xdr:col>9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3" name="SortPool3">
              <controlPr defaultSize="0" print="0" autoFill="0" autoPict="0" macro="[0]!SortPool3_Click">
                <anchor moveWithCells="1" siz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9</xdr:col>
                    <xdr:colOff>561975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4" name="SortPool4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7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2026-04-20T02:42:01Z</dcterms:modified>
</cp:coreProperties>
</file>