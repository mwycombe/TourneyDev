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YB PrelimReg\"/>
    </mc:Choice>
  </mc:AlternateContent>
  <xr:revisionPtr revIDLastSave="0" documentId="13_ncr:1_{DD925338-1270-46DD-90FF-2FB0C050196E}" xr6:coauthVersionLast="47" xr6:coauthVersionMax="47" xr10:uidLastSave="{00000000-0000-0000-0000-000000000000}"/>
  <bookViews>
    <workbookView xWindow="-27795" yWindow="315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O74" i="1" s="1"/>
  <c r="S18" i="1"/>
  <c r="T18" i="1"/>
  <c r="O18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69" i="1"/>
  <c r="S69" i="1"/>
  <c r="S22" i="1"/>
  <c r="T22" i="1"/>
  <c r="O22" i="1" s="1"/>
  <c r="R89" i="1"/>
  <c r="S89" i="1"/>
  <c r="T89" i="1"/>
  <c r="O89" i="1" s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O157" i="1" s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81" i="1"/>
  <c r="O82" i="1"/>
  <c r="O37" i="1" l="1"/>
  <c r="O38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<sst xmlns="http://schemas.openxmlformats.org/spreadsheetml/2006/main" count="1024" uniqueCount="773">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</sst>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Fill="1" applyBorder="1" applyAlignment="1" applyProtection="1"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1" fillId="0" borderId="1" xfId="1" applyBorder="1" applyAlignment="1" applyProtection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 x14ac:dyDescent="0.3"/>
    <row r="7" spans="1:8" ht="16.5" thickBot="1" x14ac:dyDescent="0.3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2" t="s">
        <v>574</v>
      </c>
      <c r="D2" s="133"/>
      <c r="E2" s="133"/>
      <c r="F2" s="133"/>
      <c r="G2" s="134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 x14ac:dyDescent="0.25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 x14ac:dyDescent="0.25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5" t="s">
        <v>575</v>
      </c>
      <c r="D15" s="135"/>
      <c r="E15" s="135"/>
      <c r="F15" s="135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H11" sqref="H11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21" t="str">
        <f>Tourney!$C$3</f>
        <v>Napa Wine Country Open</v>
      </c>
      <c r="L2" s="121"/>
      <c r="M2" s="121"/>
      <c r="N2" s="121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21" t="str">
        <f>Tourney!$C$5</f>
        <v>The Moose Lodge</v>
      </c>
      <c r="L3" s="121"/>
      <c r="M3" s="121"/>
      <c r="N3" s="121"/>
    </row>
    <row r="4" spans="1:25" ht="16.5" customHeight="1" x14ac:dyDescent="0.25">
      <c r="A4" s="10"/>
      <c r="H4" s="12" t="s">
        <v>567</v>
      </c>
      <c r="I4" s="12"/>
      <c r="K4" s="121" t="str">
        <f>Tourney!$C$7</f>
        <v>Napa, Ca, 94558</v>
      </c>
      <c r="L4" s="121"/>
      <c r="M4" s="121"/>
      <c r="N4" s="121"/>
    </row>
    <row r="5" spans="1:25" ht="16.5" customHeight="1" x14ac:dyDescent="0.25">
      <c r="A5" s="10"/>
      <c r="H5" s="12" t="s">
        <v>559</v>
      </c>
      <c r="I5" s="12"/>
      <c r="K5" s="122">
        <f>Tourney!$C$9</f>
        <v>46130</v>
      </c>
      <c r="L5" s="122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43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90</v>
      </c>
      <c r="S13" s="89" t="str">
        <f t="shared" si="4"/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6" t="s">
        <v>695</v>
      </c>
      <c r="H14" s="8"/>
      <c r="I14" s="9"/>
      <c r="J14" s="9">
        <v>1</v>
      </c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90</v>
      </c>
      <c r="S14" s="89" t="str">
        <f t="shared" si="4"/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7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80</v>
      </c>
      <c r="S15" s="89" t="str">
        <f t="shared" si="4"/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88">
        <f t="shared" si="2"/>
        <v>0</v>
      </c>
      <c r="P16" s="9" t="s">
        <v>721</v>
      </c>
      <c r="Q16" s="9">
        <v>1723</v>
      </c>
      <c r="R16" s="89">
        <f t="shared" si="3"/>
        <v>160</v>
      </c>
      <c r="S16" s="89" t="str">
        <f t="shared" si="4"/>
        <v/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>
        <v>1</v>
      </c>
      <c r="I17" s="9">
        <v>1</v>
      </c>
      <c r="J17" s="9">
        <v>1</v>
      </c>
      <c r="K17" s="9">
        <v>1</v>
      </c>
      <c r="L17" s="9">
        <v>1</v>
      </c>
      <c r="M17" s="9"/>
      <c r="N17" s="9"/>
      <c r="O17" s="88">
        <f t="shared" si="2"/>
        <v>0</v>
      </c>
      <c r="P17" s="9" t="s">
        <v>721</v>
      </c>
      <c r="Q17" s="9">
        <v>1587</v>
      </c>
      <c r="R17" s="89">
        <f t="shared" si="3"/>
        <v>160</v>
      </c>
      <c r="S17" s="89" t="str">
        <f t="shared" si="4"/>
        <v/>
      </c>
      <c r="T17" s="90">
        <f>H17*[0]!FMainPool1Fee+I17*[0]!FMainPool2Fee+J17*[0]!FMainPool3Fee+K17*[0]!FMainPool4Fee+B17*[0]!FMainEntryFee</f>
        <v>160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>
        <v>1</v>
      </c>
      <c r="I18" s="9">
        <v>1</v>
      </c>
      <c r="J18" s="9">
        <v>1</v>
      </c>
      <c r="K18" s="9">
        <v>1</v>
      </c>
      <c r="L18" s="9"/>
      <c r="M18" s="9"/>
      <c r="N18" s="9"/>
      <c r="O18" s="88">
        <f t="shared" si="2"/>
        <v>0</v>
      </c>
      <c r="P18" s="9" t="s">
        <v>721</v>
      </c>
      <c r="Q18" s="9">
        <v>1826</v>
      </c>
      <c r="R18" s="89">
        <f t="shared" si="3"/>
        <v>160</v>
      </c>
      <c r="S18" s="89" t="str">
        <f t="shared" si="4"/>
        <v/>
      </c>
      <c r="T18" s="90">
        <f>H18*[0]!FMainPool1Fee+I18*[0]!FMainPool2Fee+J18*[0]!FMainPool3Fee+K18*[0]!FMainPool4Fee+B18*[0]!FMainEntryFee</f>
        <v>160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 t="shared" si="2"/>
        <v>0</v>
      </c>
      <c r="P19" s="9" t="s">
        <v>724</v>
      </c>
      <c r="Q19" s="9" t="s">
        <v>684</v>
      </c>
      <c r="R19" s="89" t="str">
        <f t="shared" si="3"/>
        <v/>
      </c>
      <c r="S19" s="89">
        <f t="shared" si="4"/>
        <v>70</v>
      </c>
      <c r="T19" s="90">
        <f>H19*[0]!FMainPool1Fee+I19*[0]!FMainPool2Fee+J19*[0]!FMainPool3Fee+K19*[0]!FMainPool4Fee+B19*[0]!FMainEntryFee</f>
        <v>70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743</v>
      </c>
      <c r="D20" s="6" t="s">
        <v>744</v>
      </c>
      <c r="E20" s="7" t="s">
        <v>745</v>
      </c>
      <c r="F20" s="86">
        <v>9257272271</v>
      </c>
      <c r="G20" s="120" t="s">
        <v>746</v>
      </c>
      <c r="H20" s="8">
        <v>1</v>
      </c>
      <c r="I20" s="9"/>
      <c r="J20" s="9"/>
      <c r="K20" s="9"/>
      <c r="L20" s="9"/>
      <c r="M20" s="9"/>
      <c r="N20" s="9"/>
      <c r="O20" s="88">
        <f t="shared" si="2"/>
        <v>0</v>
      </c>
      <c r="P20" s="9" t="s">
        <v>724</v>
      </c>
      <c r="Q20" s="9" t="s">
        <v>704</v>
      </c>
      <c r="R20" s="89" t="str">
        <f t="shared" si="3"/>
        <v/>
      </c>
      <c r="S20" s="89">
        <f t="shared" si="4"/>
        <v>80</v>
      </c>
      <c r="T20" s="90">
        <f>H20*[0]!FMainPool1Fee+I20*[0]!FMainPool2Fee+J20*[0]!FMainPool3Fee+K20*[0]!FMainPool4Fee+B20*[0]!FMainEntryFee</f>
        <v>80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6" t="s">
        <v>764</v>
      </c>
      <c r="D21" s="6" t="s">
        <v>15</v>
      </c>
      <c r="E21" s="7" t="s">
        <v>765</v>
      </c>
      <c r="F21" s="104">
        <v>7078430341</v>
      </c>
      <c r="G21" s="120" t="s">
        <v>766</v>
      </c>
      <c r="H21" s="8">
        <v>1</v>
      </c>
      <c r="I21" s="9"/>
      <c r="J21" s="9"/>
      <c r="K21" s="9"/>
      <c r="L21" s="9"/>
      <c r="M21" s="9"/>
      <c r="N21" s="9"/>
      <c r="O21" s="88">
        <f t="shared" si="2"/>
        <v>0</v>
      </c>
      <c r="P21" s="9" t="s">
        <v>724</v>
      </c>
      <c r="Q21" s="9" t="s">
        <v>684</v>
      </c>
      <c r="R21" s="89" t="str">
        <f t="shared" si="3"/>
        <v/>
      </c>
      <c r="S21" s="89">
        <f t="shared" si="4"/>
        <v>80</v>
      </c>
      <c r="T21" s="90">
        <f>H21*[0]!FMainPool1Fee+I21*[0]!FMainPool2Fee+J21*[0]!FMainPool3Fee+K21*[0]!FMainPool4Fee+B21*[0]!FMainEntryFee</f>
        <v>80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88">
        <f t="shared" si="2"/>
        <v>0</v>
      </c>
      <c r="P22" s="9" t="s">
        <v>721</v>
      </c>
      <c r="Q22" s="9">
        <v>3536</v>
      </c>
      <c r="R22" s="89">
        <f t="shared" si="3"/>
        <v>160</v>
      </c>
      <c r="S22" s="89" t="str">
        <f t="shared" si="4"/>
        <v/>
      </c>
      <c r="T22" s="90">
        <f>H22*[0]!FMainPool1Fee+I22*[0]!FMainPool2Fee+J22*[0]!FMainPool3Fee+K22*[0]!FMainPool4Fee+B22*[0]!FMainEntryFee</f>
        <v>160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>
        <v>1</v>
      </c>
      <c r="I23" s="9"/>
      <c r="J23" s="9"/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206</v>
      </c>
      <c r="R23" s="89">
        <f t="shared" si="3"/>
        <v>80</v>
      </c>
      <c r="S23" s="89" t="str">
        <f t="shared" si="4"/>
        <v/>
      </c>
      <c r="T23" s="90">
        <f>H23*[0]!FMainPool1Fee+I23*[0]!FMainPool2Fee+J23*[0]!FMainPool3Fee+K23*[0]!FMainPool4Fee+B23*[0]!FMainEntryFee</f>
        <v>80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1094</v>
      </c>
      <c r="R24" s="89">
        <f t="shared" si="3"/>
        <v>70</v>
      </c>
      <c r="S24" s="89" t="str">
        <f t="shared" si="4"/>
        <v/>
      </c>
      <c r="T24" s="90">
        <f>H24*[0]!FMainPool1Fee+I24*[0]!FMainPool2Fee+J24*[0]!FMainPool3Fee+K24*[0]!FMainPool4Fee+B24*[0]!FMainEntryFee</f>
        <v>70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>
        <v>1</v>
      </c>
      <c r="I25" s="9">
        <v>1</v>
      </c>
      <c r="J25" s="9"/>
      <c r="K25" s="9"/>
      <c r="L25" s="9"/>
      <c r="M25" s="9"/>
      <c r="N25" s="9"/>
      <c r="O25" s="88">
        <f t="shared" si="2"/>
        <v>0</v>
      </c>
      <c r="P25" s="9" t="s">
        <v>724</v>
      </c>
      <c r="Q25" s="9" t="s">
        <v>553</v>
      </c>
      <c r="R25" s="89" t="str">
        <f t="shared" si="3"/>
        <v/>
      </c>
      <c r="S25" s="89">
        <f t="shared" si="4"/>
        <v>90</v>
      </c>
      <c r="T25" s="90">
        <f>H25*[0]!FMainPool1Fee+I25*[0]!FMainPool2Fee+J25*[0]!FMainPool3Fee+K25*[0]!FMainPool4Fee+B25*[0]!FMainEntryFee</f>
        <v>90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>
        <v>1</v>
      </c>
      <c r="C26" s="101" t="s">
        <v>599</v>
      </c>
      <c r="D26" s="101" t="s">
        <v>304</v>
      </c>
      <c r="E26" s="95" t="s">
        <v>600</v>
      </c>
      <c r="F26" s="117">
        <v>2793335535</v>
      </c>
      <c r="G26" s="101"/>
      <c r="H26" s="8">
        <v>1</v>
      </c>
      <c r="I26" s="9">
        <v>1</v>
      </c>
      <c r="J26" s="9">
        <v>1</v>
      </c>
      <c r="K26" s="9"/>
      <c r="L26" s="9"/>
      <c r="M26" s="9"/>
      <c r="N26" s="9"/>
      <c r="O26" s="88">
        <f t="shared" si="2"/>
        <v>0</v>
      </c>
      <c r="P26" s="9" t="s">
        <v>721</v>
      </c>
      <c r="Q26" s="9">
        <v>1360</v>
      </c>
      <c r="R26" s="89">
        <f t="shared" si="3"/>
        <v>110</v>
      </c>
      <c r="S26" s="89" t="str">
        <f t="shared" si="4"/>
        <v/>
      </c>
      <c r="T26" s="90">
        <f>H26*[0]!FMainPool1Fee+I26*[0]!FMainPool2Fee+J26*[0]!FMainPool3Fee+K26*[0]!FMainPool4Fee+B26*[0]!FMainEntryFee</f>
        <v>110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>
        <v>1</v>
      </c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>
        <v>1</v>
      </c>
      <c r="I27" s="9"/>
      <c r="J27" s="9">
        <v>1</v>
      </c>
      <c r="K27" s="9"/>
      <c r="L27" s="9"/>
      <c r="M27" s="9"/>
      <c r="N27" s="9">
        <v>1</v>
      </c>
      <c r="O27" s="88">
        <f t="shared" si="2"/>
        <v>100</v>
      </c>
      <c r="P27" s="9" t="s">
        <v>724</v>
      </c>
      <c r="Q27" s="9"/>
      <c r="R27" s="89" t="str">
        <f t="shared" si="3"/>
        <v/>
      </c>
      <c r="S27" s="89">
        <f t="shared" si="4"/>
        <v>100</v>
      </c>
      <c r="T27" s="90">
        <f>H27*[0]!FMainPool1Fee+I27*[0]!FMainPool2Fee+J27*[0]!FMainPool3Fee+K27*[0]!FMainPool4Fee+B27*[0]!FMainEntryFee</f>
        <v>100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>
        <v>1</v>
      </c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>
        <v>1</v>
      </c>
      <c r="I28" s="9">
        <v>1</v>
      </c>
      <c r="J28" s="9">
        <v>1</v>
      </c>
      <c r="K28" s="9">
        <v>1</v>
      </c>
      <c r="L28" s="9">
        <v>1</v>
      </c>
      <c r="M28" s="9"/>
      <c r="N28" s="9">
        <v>1</v>
      </c>
      <c r="O28" s="88">
        <f t="shared" si="2"/>
        <v>160</v>
      </c>
      <c r="P28" s="9"/>
      <c r="Q28" s="9"/>
      <c r="R28" s="89" t="str">
        <f t="shared" si="3"/>
        <v/>
      </c>
      <c r="S28" s="89">
        <f t="shared" si="4"/>
        <v>160</v>
      </c>
      <c r="T28" s="90">
        <f>H28*[0]!FMainPool1Fee+I28*[0]!FMainPool2Fee+J28*[0]!FMainPool3Fee+K28*[0]!FMainPool4Fee+B28*[0]!FMainEntryFee</f>
        <v>160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>
        <v>1</v>
      </c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>
        <v>1</v>
      </c>
      <c r="I29" s="9">
        <v>1</v>
      </c>
      <c r="J29" s="9">
        <v>1</v>
      </c>
      <c r="K29" s="9">
        <v>1</v>
      </c>
      <c r="L29" s="9">
        <v>1</v>
      </c>
      <c r="M29" s="9"/>
      <c r="N29" s="9"/>
      <c r="O29" s="88">
        <f t="shared" si="2"/>
        <v>0</v>
      </c>
      <c r="P29" s="9" t="s">
        <v>724</v>
      </c>
      <c r="Q29" s="9"/>
      <c r="R29" s="89" t="str">
        <f t="shared" si="3"/>
        <v/>
      </c>
      <c r="S29" s="89">
        <f t="shared" si="4"/>
        <v>160</v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>
        <v>1</v>
      </c>
      <c r="I30" s="9"/>
      <c r="J30" s="9"/>
      <c r="K30" s="9"/>
      <c r="L30" s="9"/>
      <c r="M30" s="9"/>
      <c r="N30" s="9"/>
      <c r="O30" s="88">
        <f t="shared" si="2"/>
        <v>0</v>
      </c>
      <c r="P30" s="9" t="s">
        <v>724</v>
      </c>
      <c r="Q30" s="9" t="s">
        <v>684</v>
      </c>
      <c r="R30" s="89" t="str">
        <f t="shared" si="3"/>
        <v/>
      </c>
      <c r="S30" s="89">
        <f t="shared" si="4"/>
        <v>80</v>
      </c>
      <c r="T30" s="90">
        <f>H30*[0]!FMainPool1Fee+I30*[0]!FMainPool2Fee+J30*[0]!FMainPool3Fee+K30*[0]!FMainPool4Fee+B30*[0]!FMainEntryFee</f>
        <v>80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>
        <v>1</v>
      </c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>
        <v>1</v>
      </c>
      <c r="O31" s="88">
        <f t="shared" si="2"/>
        <v>160</v>
      </c>
      <c r="P31" s="9"/>
      <c r="Q31" s="9"/>
      <c r="R31" s="89" t="str">
        <f t="shared" si="3"/>
        <v/>
      </c>
      <c r="S31" s="89">
        <f t="shared" si="4"/>
        <v>160</v>
      </c>
      <c r="T31" s="90">
        <f>H31*[0]!FMainPool1Fee+I31*[0]!FMainPool2Fee+J31*[0]!FMainPool3Fee+K31*[0]!FMainPool4Fee+B31*[0]!FMainEntryFee</f>
        <v>160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>
        <v>1</v>
      </c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88">
        <f t="shared" si="2"/>
        <v>0</v>
      </c>
      <c r="P32" s="9" t="s">
        <v>724</v>
      </c>
      <c r="Q32" s="9" t="s">
        <v>704</v>
      </c>
      <c r="R32" s="89" t="str">
        <f t="shared" si="3"/>
        <v/>
      </c>
      <c r="S32" s="89">
        <f t="shared" si="4"/>
        <v>110</v>
      </c>
      <c r="T32" s="90">
        <f>H32*[0]!FMainPool1Fee+I32*[0]!FMainPool2Fee+J32*[0]!FMainPool3Fee+K32*[0]!FMainPool4Fee+B32*[0]!FMainEntryFee</f>
        <v>110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107</v>
      </c>
      <c r="D33" s="6" t="s">
        <v>332</v>
      </c>
      <c r="E33" s="7" t="s">
        <v>492</v>
      </c>
      <c r="F33" s="104">
        <v>7074223729</v>
      </c>
      <c r="G33" s="107" t="s">
        <v>148</v>
      </c>
      <c r="H33" s="8">
        <v>1</v>
      </c>
      <c r="I33" s="9"/>
      <c r="J33" s="9"/>
      <c r="K33" s="9"/>
      <c r="L33" s="9"/>
      <c r="M33" s="9"/>
      <c r="N33" s="9"/>
      <c r="O33" s="88">
        <f t="shared" si="2"/>
        <v>0</v>
      </c>
      <c r="P33" s="9" t="s">
        <v>721</v>
      </c>
      <c r="Q33" s="9">
        <v>2575</v>
      </c>
      <c r="R33" s="89">
        <f t="shared" si="3"/>
        <v>80</v>
      </c>
      <c r="S33" s="89" t="str">
        <f t="shared" si="4"/>
        <v/>
      </c>
      <c r="T33" s="90">
        <f>H33*[0]!FMainPool1Fee+I33*[0]!FMainPool2Fee+J33*[0]!FMainPool3Fee+K33*[0]!FMainPool4Fee+B33*[0]!FMainEntryFee</f>
        <v>80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>
        <v>1</v>
      </c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>
        <v>1</v>
      </c>
      <c r="I34" s="9">
        <v>1</v>
      </c>
      <c r="J34" s="9">
        <v>1</v>
      </c>
      <c r="K34" s="9"/>
      <c r="L34" s="9"/>
      <c r="M34" s="9"/>
      <c r="N34" s="9"/>
      <c r="O34" s="88">
        <f t="shared" si="2"/>
        <v>0</v>
      </c>
      <c r="P34" s="9" t="s">
        <v>721</v>
      </c>
      <c r="Q34" s="9">
        <v>7333</v>
      </c>
      <c r="R34" s="89">
        <f t="shared" si="3"/>
        <v>110</v>
      </c>
      <c r="S34" s="89" t="str">
        <f t="shared" si="4"/>
        <v/>
      </c>
      <c r="T34" s="90">
        <f>H34*[0]!FMainPool1Fee+I34*[0]!FMainPool2Fee+J34*[0]!FMainPool3Fee+K34*[0]!FMainPool4Fee+B34*[0]!FMainEntryFee</f>
        <v>110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>
        <v>1</v>
      </c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>
        <v>1</v>
      </c>
      <c r="I35" s="9"/>
      <c r="J35" s="9"/>
      <c r="K35" s="9"/>
      <c r="L35" s="9"/>
      <c r="M35" s="9"/>
      <c r="N35" s="9"/>
      <c r="O35" s="88">
        <f t="shared" si="2"/>
        <v>0</v>
      </c>
      <c r="P35" s="9" t="s">
        <v>721</v>
      </c>
      <c r="Q35" s="9">
        <v>648</v>
      </c>
      <c r="R35" s="89">
        <f t="shared" si="3"/>
        <v>80</v>
      </c>
      <c r="S35" s="89" t="str">
        <f t="shared" si="4"/>
        <v/>
      </c>
      <c r="T35" s="90">
        <f>H35*[0]!FMainPool1Fee+I35*[0]!FMainPool2Fee+J35*[0]!FMainPool3Fee+K35*[0]!FMainPool4Fee+B35*[0]!FMainEntryFee</f>
        <v>80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>
        <v>1</v>
      </c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>
        <v>1</v>
      </c>
      <c r="I36" s="9">
        <v>1</v>
      </c>
      <c r="J36" s="9">
        <v>1</v>
      </c>
      <c r="K36" s="9">
        <v>1</v>
      </c>
      <c r="L36" s="9"/>
      <c r="M36" s="9"/>
      <c r="N36" s="9">
        <v>1</v>
      </c>
      <c r="O36" s="88">
        <f t="shared" si="2"/>
        <v>160</v>
      </c>
      <c r="P36" s="9"/>
      <c r="Q36" s="9"/>
      <c r="R36" s="89" t="str">
        <f t="shared" si="3"/>
        <v/>
      </c>
      <c r="S36" s="89">
        <f t="shared" si="4"/>
        <v>160</v>
      </c>
      <c r="T36" s="90">
        <f>H36*[0]!FMainPool1Fee+I36*[0]!FMainPool2Fee+J36*[0]!FMainPool3Fee+K36*[0]!FMainPool4Fee+B36*[0]!FMainEntryFee</f>
        <v>160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>
        <v>1</v>
      </c>
      <c r="M37" s="9"/>
      <c r="N37" s="9"/>
      <c r="O37" s="88">
        <f t="shared" si="2"/>
        <v>0</v>
      </c>
      <c r="P37" s="9" t="s">
        <v>724</v>
      </c>
      <c r="Q37" s="9"/>
      <c r="R37" s="89" t="str">
        <f t="shared" si="3"/>
        <v/>
      </c>
      <c r="S37" s="89">
        <f t="shared" si="4"/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>
        <v>1</v>
      </c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>
        <v>1</v>
      </c>
      <c r="N38" s="9">
        <v>1</v>
      </c>
      <c r="O38" s="88">
        <f t="shared" si="2"/>
        <v>70</v>
      </c>
      <c r="P38" s="9"/>
      <c r="Q38" s="9"/>
      <c r="R38" s="89" t="str">
        <f t="shared" si="3"/>
        <v/>
      </c>
      <c r="S38" s="89">
        <f t="shared" si="4"/>
        <v>70</v>
      </c>
      <c r="T38" s="90">
        <f>H38*[0]!FMainPool1Fee+I38*[0]!FMainPool2Fee+J38*[0]!FMainPool3Fee+K38*[0]!FMainPool4Fee+B38*[0]!FMainEntryFee</f>
        <v>70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1" t="s">
        <v>266</v>
      </c>
      <c r="D39" s="94" t="s">
        <v>268</v>
      </c>
      <c r="E39" s="2" t="s">
        <v>267</v>
      </c>
      <c r="F39" s="86"/>
      <c r="G39" s="107" t="s">
        <v>326</v>
      </c>
      <c r="H39" s="8">
        <v>1</v>
      </c>
      <c r="I39" s="9"/>
      <c r="J39" s="9"/>
      <c r="K39" s="9"/>
      <c r="L39" s="9">
        <v>1</v>
      </c>
      <c r="M39" s="9"/>
      <c r="N39" s="9">
        <v>1</v>
      </c>
      <c r="O39" s="88">
        <f t="shared" si="2"/>
        <v>80</v>
      </c>
      <c r="P39" s="9"/>
      <c r="Q39" s="9"/>
      <c r="R39" s="89" t="str">
        <f t="shared" si="3"/>
        <v/>
      </c>
      <c r="S39" s="89">
        <f t="shared" si="4"/>
        <v>80</v>
      </c>
      <c r="T39" s="90">
        <f>H39*[0]!FMainPool1Fee+I39*[0]!FMainPool2Fee+J39*[0]!FMainPool3Fee+K39*[0]!FMainPool4Fee+B39*[0]!FMainEntryFee</f>
        <v>80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>
        <v>1</v>
      </c>
      <c r="I40" s="9"/>
      <c r="J40" s="9">
        <v>1</v>
      </c>
      <c r="K40" s="9"/>
      <c r="L40" s="9"/>
      <c r="M40" s="9"/>
      <c r="N40" s="9">
        <v>1</v>
      </c>
      <c r="O40" s="88">
        <f t="shared" si="2"/>
        <v>100</v>
      </c>
      <c r="P40" s="9"/>
      <c r="Q40" s="9"/>
      <c r="R40" s="89" t="str">
        <f t="shared" si="3"/>
        <v/>
      </c>
      <c r="S40" s="89">
        <f t="shared" si="4"/>
        <v>100</v>
      </c>
      <c r="T40" s="90">
        <f>H40*[0]!FMainPool1Fee+I40*[0]!FMainPool2Fee+J40*[0]!FMainPool3Fee+K40*[0]!FMainPool4Fee+B40*[0]!FMainEntryFee</f>
        <v>100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>
        <v>1</v>
      </c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 t="s">
        <v>721</v>
      </c>
      <c r="Q41" s="9">
        <v>1800</v>
      </c>
      <c r="R41" s="89">
        <f t="shared" si="3"/>
        <v>70</v>
      </c>
      <c r="S41" s="89" t="str">
        <f t="shared" si="4"/>
        <v/>
      </c>
      <c r="T41" s="90">
        <f>H41*[0]!FMainPool1Fee+I41*[0]!FMainPool2Fee+J41*[0]!FMainPool3Fee+K41*[0]!FMainPool4Fee+B41*[0]!FMainEntryFee</f>
        <v>70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>
        <v>1</v>
      </c>
      <c r="I42" s="9">
        <v>1</v>
      </c>
      <c r="J42" s="9">
        <v>1</v>
      </c>
      <c r="K42" s="9">
        <v>1</v>
      </c>
      <c r="L42" s="9"/>
      <c r="M42" s="9"/>
      <c r="N42" s="9"/>
      <c r="O42" s="88">
        <f t="shared" si="2"/>
        <v>0</v>
      </c>
      <c r="P42" s="9" t="s">
        <v>724</v>
      </c>
      <c r="Q42" s="9" t="s">
        <v>741</v>
      </c>
      <c r="R42" s="89" t="str">
        <f t="shared" si="3"/>
        <v/>
      </c>
      <c r="S42" s="89">
        <f t="shared" si="4"/>
        <v>160</v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>
        <v>1</v>
      </c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>
        <v>1</v>
      </c>
      <c r="I43" s="9">
        <v>1</v>
      </c>
      <c r="J43" s="9">
        <v>1</v>
      </c>
      <c r="K43" s="9">
        <v>1</v>
      </c>
      <c r="L43" s="9"/>
      <c r="M43" s="9"/>
      <c r="N43" s="9"/>
      <c r="O43" s="88">
        <f t="shared" si="2"/>
        <v>0</v>
      </c>
      <c r="P43" s="9" t="s">
        <v>721</v>
      </c>
      <c r="Q43" s="9">
        <v>1587</v>
      </c>
      <c r="R43" s="89">
        <f t="shared" si="3"/>
        <v>160</v>
      </c>
      <c r="S43" s="89" t="str">
        <f t="shared" si="4"/>
        <v/>
      </c>
      <c r="T43" s="90">
        <f>H43*[0]!FMainPool1Fee+I43*[0]!FMainPool2Fee+J43*[0]!FMainPool3Fee+K43*[0]!FMainPool4Fee+B43*[0]!FMainEntryFee</f>
        <v>160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>
        <v>1</v>
      </c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>
        <v>1</v>
      </c>
      <c r="I44" s="9"/>
      <c r="J44" s="9"/>
      <c r="K44" s="9"/>
      <c r="L44" s="9"/>
      <c r="M44" s="9"/>
      <c r="N44" s="9"/>
      <c r="O44" s="88">
        <f t="shared" ref="O44:O68" si="5">T44*N44</f>
        <v>0</v>
      </c>
      <c r="P44" s="9" t="s">
        <v>724</v>
      </c>
      <c r="Q44" s="9" t="s">
        <v>684</v>
      </c>
      <c r="R44" s="89" t="str">
        <f t="shared" ref="R44:R75" si="6">IF(OR(P44="c",P44="C"),+T44,"")</f>
        <v/>
      </c>
      <c r="S44" s="89">
        <f t="shared" ref="S44:S75" si="7">IF(OR(P44="$",N44=1),+T44,"")</f>
        <v>80</v>
      </c>
      <c r="T44" s="90">
        <f>H44*[0]!FMainPool1Fee+I44*[0]!FMainPool2Fee+J44*[0]!FMainPool3Fee+K44*[0]!FMainPool4Fee+B44*[0]!FMainEntryFee</f>
        <v>80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>
        <v>1</v>
      </c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>
        <v>1</v>
      </c>
      <c r="I45" s="9">
        <v>1</v>
      </c>
      <c r="J45" s="9">
        <v>1</v>
      </c>
      <c r="K45" s="9">
        <v>1</v>
      </c>
      <c r="L45" s="9"/>
      <c r="M45" s="9"/>
      <c r="N45" s="9"/>
      <c r="O45" s="88">
        <f t="shared" si="5"/>
        <v>0</v>
      </c>
      <c r="P45" s="9" t="s">
        <v>721</v>
      </c>
      <c r="Q45" s="9">
        <v>2553</v>
      </c>
      <c r="R45" s="89">
        <f t="shared" si="6"/>
        <v>160</v>
      </c>
      <c r="S45" s="89" t="str">
        <f t="shared" si="7"/>
        <v/>
      </c>
      <c r="T45" s="90">
        <f>H45*[0]!FMainPool1Fee+I45*[0]!FMainPool2Fee+J45*[0]!FMainPool3Fee+K45*[0]!FMainPool4Fee+B45*[0]!FMainEntryFee</f>
        <v>160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>
        <v>1</v>
      </c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133</v>
      </c>
      <c r="R46" s="89">
        <f t="shared" si="6"/>
        <v>80</v>
      </c>
      <c r="S46" s="89" t="str">
        <f t="shared" si="7"/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>
        <v>1</v>
      </c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>
        <v>1</v>
      </c>
      <c r="I47" s="9">
        <v>1</v>
      </c>
      <c r="J47" s="9">
        <v>1</v>
      </c>
      <c r="K47" s="9"/>
      <c r="L47" s="9">
        <v>1</v>
      </c>
      <c r="M47" s="9"/>
      <c r="N47" s="9">
        <v>1</v>
      </c>
      <c r="O47" s="88">
        <f t="shared" si="5"/>
        <v>110</v>
      </c>
      <c r="P47" s="9"/>
      <c r="Q47" s="9"/>
      <c r="R47" s="89" t="str">
        <f t="shared" si="6"/>
        <v/>
      </c>
      <c r="S47" s="89">
        <f t="shared" si="7"/>
        <v>110</v>
      </c>
      <c r="T47" s="90">
        <f>H47*[0]!FMainPool1Fee+I47*[0]!FMainPool2Fee+J47*[0]!FMainPool3Fee+K47*[0]!FMainPool4Fee+B47*[0]!FMainEntryFee</f>
        <v>110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>
        <v>1</v>
      </c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>
        <v>1</v>
      </c>
      <c r="I48" s="9"/>
      <c r="J48" s="9">
        <v>1</v>
      </c>
      <c r="K48" s="9"/>
      <c r="L48" s="9"/>
      <c r="M48" s="9">
        <v>1</v>
      </c>
      <c r="N48" s="9">
        <v>1</v>
      </c>
      <c r="O48" s="88">
        <f t="shared" si="5"/>
        <v>100</v>
      </c>
      <c r="P48" s="9"/>
      <c r="Q48" s="9"/>
      <c r="R48" s="89" t="str">
        <f t="shared" si="6"/>
        <v/>
      </c>
      <c r="S48" s="89">
        <f t="shared" si="7"/>
        <v>100</v>
      </c>
      <c r="T48" s="90">
        <f>H48*[0]!FMainPool1Fee+I48*[0]!FMainPool2Fee+J48*[0]!FMainPool3Fee+K48*[0]!FMainPool4Fee+B48*[0]!FMainEntryFee</f>
        <v>100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>
        <v>1</v>
      </c>
      <c r="I49" s="9">
        <v>1</v>
      </c>
      <c r="J49" s="9">
        <v>1</v>
      </c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5361</v>
      </c>
      <c r="R49" s="89">
        <f t="shared" si="6"/>
        <v>110</v>
      </c>
      <c r="S49" s="89" t="str">
        <f t="shared" si="7"/>
        <v/>
      </c>
      <c r="T49" s="90">
        <f>H49*[0]!FMainPool1Fee+I49*[0]!FMainPool2Fee+J49*[0]!FMainPool3Fee+K49*[0]!FMainPool4Fee+B49*[0]!FMainEntryFee</f>
        <v>110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>
        <v>1</v>
      </c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>
        <v>1</v>
      </c>
      <c r="N50" s="9"/>
      <c r="O50" s="88">
        <f t="shared" si="5"/>
        <v>0</v>
      </c>
      <c r="P50" s="9" t="s">
        <v>721</v>
      </c>
      <c r="Q50" s="9">
        <v>5007</v>
      </c>
      <c r="R50" s="89">
        <f t="shared" si="6"/>
        <v>70</v>
      </c>
      <c r="S50" s="89" t="str">
        <f t="shared" si="7"/>
        <v/>
      </c>
      <c r="T50" s="90">
        <f>H50*[0]!FMainPool1Fee+I50*[0]!FMainPool2Fee+J50*[0]!FMainPool3Fee+K50*[0]!FMainPool4Fee+B50*[0]!FMainEntryFee</f>
        <v>70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>
        <v>1</v>
      </c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>
        <v>1</v>
      </c>
      <c r="I51" s="9">
        <v>1</v>
      </c>
      <c r="J51" s="9">
        <v>1</v>
      </c>
      <c r="K51" s="9">
        <v>1</v>
      </c>
      <c r="L51" s="9">
        <v>1</v>
      </c>
      <c r="M51" s="9"/>
      <c r="N51" s="9"/>
      <c r="O51" s="88">
        <f t="shared" si="5"/>
        <v>0</v>
      </c>
      <c r="P51" s="9" t="s">
        <v>721</v>
      </c>
      <c r="Q51" s="9">
        <v>5008</v>
      </c>
      <c r="R51" s="89">
        <f t="shared" si="6"/>
        <v>160</v>
      </c>
      <c r="S51" s="89" t="str">
        <f t="shared" si="7"/>
        <v/>
      </c>
      <c r="T51" s="90">
        <f>H51*[0]!FMainPool1Fee+I51*[0]!FMainPool2Fee+J51*[0]!FMainPool3Fee+K51*[0]!FMainPool4Fee+B51*[0]!FMainEntryFee</f>
        <v>160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>
        <v>1</v>
      </c>
      <c r="I52" s="9"/>
      <c r="J52" s="9"/>
      <c r="K52" s="9"/>
      <c r="L52" s="9"/>
      <c r="M52" s="9"/>
      <c r="N52" s="9"/>
      <c r="O52" s="88">
        <f t="shared" si="5"/>
        <v>0</v>
      </c>
      <c r="P52" s="9" t="s">
        <v>721</v>
      </c>
      <c r="Q52" s="9">
        <v>375</v>
      </c>
      <c r="R52" s="89">
        <f t="shared" si="6"/>
        <v>80</v>
      </c>
      <c r="S52" s="89" t="str">
        <f t="shared" si="7"/>
        <v/>
      </c>
      <c r="T52" s="90">
        <f>H52*[0]!FMainPool1Fee+I52*[0]!FMainPool2Fee+J52*[0]!FMainPool3Fee+K52*[0]!FMainPool4Fee+B52*[0]!FMainEntryFee</f>
        <v>80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>
        <v>1</v>
      </c>
      <c r="I53" s="9"/>
      <c r="J53" s="9">
        <v>1</v>
      </c>
      <c r="K53" s="9"/>
      <c r="L53" s="9"/>
      <c r="M53" s="9"/>
      <c r="N53" s="9"/>
      <c r="O53" s="88">
        <f t="shared" si="5"/>
        <v>0</v>
      </c>
      <c r="P53" s="9" t="s">
        <v>721</v>
      </c>
      <c r="Q53" s="9">
        <v>1399</v>
      </c>
      <c r="R53" s="89">
        <f t="shared" si="6"/>
        <v>100</v>
      </c>
      <c r="S53" s="89" t="str">
        <f t="shared" si="7"/>
        <v/>
      </c>
      <c r="T53" s="90">
        <f>H53*[0]!FMainPool1Fee+I53*[0]!FMainPool2Fee+J53*[0]!FMainPool3Fee+K53*[0]!FMainPool4Fee+B53*[0]!FMainEntryFee</f>
        <v>100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>
        <v>1</v>
      </c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>
        <v>1</v>
      </c>
      <c r="I54" s="9">
        <v>1</v>
      </c>
      <c r="J54" s="9">
        <v>1</v>
      </c>
      <c r="K54" s="9">
        <v>1</v>
      </c>
      <c r="L54" s="9"/>
      <c r="M54" s="9"/>
      <c r="N54" s="9"/>
      <c r="O54" s="88">
        <f t="shared" si="5"/>
        <v>0</v>
      </c>
      <c r="P54" s="9" t="s">
        <v>721</v>
      </c>
      <c r="Q54" s="9">
        <v>1399</v>
      </c>
      <c r="R54" s="89">
        <f t="shared" si="6"/>
        <v>160</v>
      </c>
      <c r="S54" s="89" t="str">
        <f t="shared" si="7"/>
        <v/>
      </c>
      <c r="T54" s="90">
        <f>H54*[0]!FMainPool1Fee+I54*[0]!FMainPool2Fee+J54*[0]!FMainPool3Fee+K54*[0]!FMainPool4Fee+B54*[0]!FMainEntryFee</f>
        <v>160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6" t="s">
        <v>247</v>
      </c>
      <c r="D55" s="6" t="s">
        <v>248</v>
      </c>
      <c r="E55" s="7" t="s">
        <v>249</v>
      </c>
      <c r="F55" s="118">
        <v>5302194729</v>
      </c>
      <c r="G55" s="87" t="s">
        <v>519</v>
      </c>
      <c r="H55" s="8">
        <v>1</v>
      </c>
      <c r="I55" s="9">
        <v>1</v>
      </c>
      <c r="J55" s="9">
        <v>1</v>
      </c>
      <c r="K55" s="9">
        <v>1</v>
      </c>
      <c r="L55" s="9">
        <v>1</v>
      </c>
      <c r="M55" s="9"/>
      <c r="N55" s="9"/>
      <c r="O55" s="88">
        <f t="shared" si="5"/>
        <v>0</v>
      </c>
      <c r="P55" s="9" t="s">
        <v>721</v>
      </c>
      <c r="Q55" s="9">
        <v>616</v>
      </c>
      <c r="R55" s="89">
        <f t="shared" si="6"/>
        <v>160</v>
      </c>
      <c r="S55" s="89" t="str">
        <f t="shared" si="7"/>
        <v/>
      </c>
      <c r="T55" s="90">
        <f>H55*[0]!FMainPool1Fee+I55*[0]!FMainPool2Fee+J55*[0]!FMainPool3Fee+K55*[0]!FMainPool4Fee+B55*[0]!FMainEntryFee</f>
        <v>160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88">
        <f t="shared" si="5"/>
        <v>0</v>
      </c>
      <c r="P56" s="9" t="s">
        <v>721</v>
      </c>
      <c r="Q56" s="9">
        <v>1886</v>
      </c>
      <c r="R56" s="89">
        <f t="shared" si="6"/>
        <v>160</v>
      </c>
      <c r="S56" s="89" t="str">
        <f t="shared" si="7"/>
        <v/>
      </c>
      <c r="T56" s="90">
        <f>H56*[0]!FMainPool1Fee+I56*[0]!FMainPool2Fee+J56*[0]!FMainPool3Fee+K56*[0]!FMainPool4Fee+B56*[0]!FMainEntryFee</f>
        <v>160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>
        <v>1</v>
      </c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>
        <v>1</v>
      </c>
      <c r="I57" s="9">
        <v>1</v>
      </c>
      <c r="J57" s="9">
        <v>1</v>
      </c>
      <c r="K57" s="9">
        <v>1</v>
      </c>
      <c r="L57" s="9">
        <v>1</v>
      </c>
      <c r="M57" s="9"/>
      <c r="N57" s="9"/>
      <c r="O57" s="88">
        <f t="shared" si="5"/>
        <v>0</v>
      </c>
      <c r="P57" s="9" t="s">
        <v>721</v>
      </c>
      <c r="Q57" s="9">
        <v>1886</v>
      </c>
      <c r="R57" s="89">
        <f t="shared" si="6"/>
        <v>160</v>
      </c>
      <c r="S57" s="89" t="str">
        <f t="shared" si="7"/>
        <v/>
      </c>
      <c r="T57" s="90">
        <f>H57*[0]!FMainPool1Fee+I57*[0]!FMainPool2Fee+J57*[0]!FMainPool3Fee+K57*[0]!FMainPool4Fee+B57*[0]!FMainEntryFee</f>
        <v>160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>
        <v>1</v>
      </c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>
        <v>1</v>
      </c>
      <c r="I58" s="9">
        <v>1</v>
      </c>
      <c r="J58" s="9">
        <v>1</v>
      </c>
      <c r="K58" s="9"/>
      <c r="L58" s="9"/>
      <c r="M58" s="9"/>
      <c r="N58" s="9">
        <v>1</v>
      </c>
      <c r="O58" s="88">
        <f t="shared" si="5"/>
        <v>110</v>
      </c>
      <c r="P58" s="9" t="s">
        <v>724</v>
      </c>
      <c r="Q58" s="9"/>
      <c r="R58" s="89" t="str">
        <f t="shared" si="6"/>
        <v/>
      </c>
      <c r="S58" s="89">
        <f t="shared" si="7"/>
        <v>110</v>
      </c>
      <c r="T58" s="90">
        <f>H58*[0]!FMainPool1Fee+I58*[0]!FMainPool2Fee+J58*[0]!FMainPool3Fee+K58*[0]!FMainPool4Fee+B58*[0]!FMainEntryFee</f>
        <v>110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>
        <v>1</v>
      </c>
      <c r="I59" s="9">
        <v>1</v>
      </c>
      <c r="J59" s="9">
        <v>1</v>
      </c>
      <c r="K59" s="9"/>
      <c r="L59" s="9"/>
      <c r="M59" s="9"/>
      <c r="N59" s="9"/>
      <c r="O59" s="88">
        <f t="shared" si="5"/>
        <v>0</v>
      </c>
      <c r="P59" s="9" t="s">
        <v>724</v>
      </c>
      <c r="Q59" s="9"/>
      <c r="R59" s="89" t="str">
        <f t="shared" si="6"/>
        <v/>
      </c>
      <c r="S59" s="89">
        <f t="shared" si="7"/>
        <v>110</v>
      </c>
      <c r="T59" s="90">
        <f>H59*[0]!FMainPool1Fee+I59*[0]!FMainPool2Fee+J59*[0]!FMainPool3Fee+K59*[0]!FMainPool4Fee+B59*[0]!FMainEntryFee</f>
        <v>110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>
        <v>1</v>
      </c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 t="s">
        <v>724</v>
      </c>
      <c r="Q60" s="9"/>
      <c r="R60" s="89" t="str">
        <f t="shared" si="6"/>
        <v/>
      </c>
      <c r="S60" s="89">
        <f t="shared" si="7"/>
        <v>70</v>
      </c>
      <c r="T60" s="90">
        <f>H60*[0]!FMainPool1Fee+I60*[0]!FMainPool2Fee+J60*[0]!FMainPool3Fee+K60*[0]!FMainPool4Fee+B60*[0]!FMainEntryFee</f>
        <v>70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>
        <v>1</v>
      </c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>
        <v>1</v>
      </c>
      <c r="I61" s="9">
        <v>1</v>
      </c>
      <c r="J61" s="9"/>
      <c r="K61" s="9"/>
      <c r="L61" s="9"/>
      <c r="M61" s="9"/>
      <c r="N61" s="9"/>
      <c r="O61" s="88">
        <f t="shared" si="5"/>
        <v>0</v>
      </c>
      <c r="P61" s="9" t="s">
        <v>724</v>
      </c>
      <c r="Q61" s="9"/>
      <c r="R61" s="89" t="str">
        <f t="shared" si="6"/>
        <v/>
      </c>
      <c r="S61" s="89">
        <f t="shared" si="7"/>
        <v>90</v>
      </c>
      <c r="T61" s="90">
        <f>H61*[0]!FMainPool1Fee+I61*[0]!FMainPool2Fee+J61*[0]!FMainPool3Fee+K61*[0]!FMainPool4Fee+B61*[0]!FMainEntryFee</f>
        <v>90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>
        <v>1</v>
      </c>
      <c r="C62" s="1" t="s">
        <v>38</v>
      </c>
      <c r="D62" s="1" t="s">
        <v>5</v>
      </c>
      <c r="E62" s="2" t="s">
        <v>198</v>
      </c>
      <c r="F62" s="119">
        <v>7072524331</v>
      </c>
      <c r="G62" s="94" t="s">
        <v>375</v>
      </c>
      <c r="H62" s="8">
        <v>1</v>
      </c>
      <c r="I62" s="9">
        <v>1</v>
      </c>
      <c r="J62" s="9">
        <v>1</v>
      </c>
      <c r="K62" s="9"/>
      <c r="L62" s="9"/>
      <c r="M62" s="9"/>
      <c r="N62" s="9"/>
      <c r="O62" s="88">
        <f t="shared" si="5"/>
        <v>0</v>
      </c>
      <c r="P62" s="9" t="s">
        <v>721</v>
      </c>
      <c r="Q62" s="9">
        <v>1149</v>
      </c>
      <c r="R62" s="89">
        <f t="shared" si="6"/>
        <v>110</v>
      </c>
      <c r="S62" s="89" t="str">
        <f t="shared" si="7"/>
        <v/>
      </c>
      <c r="T62" s="90">
        <f>H62*[0]!FMainPool1Fee+I62*[0]!FMainPool2Fee+J62*[0]!FMainPool3Fee+K62*[0]!FMainPool4Fee+B62*[0]!FMainEntryFee</f>
        <v>110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>
        <v>1</v>
      </c>
      <c r="I63" s="9"/>
      <c r="J63" s="9"/>
      <c r="K63" s="9"/>
      <c r="L63" s="9"/>
      <c r="M63" s="9">
        <v>1</v>
      </c>
      <c r="N63" s="9"/>
      <c r="O63" s="88">
        <f t="shared" si="5"/>
        <v>0</v>
      </c>
      <c r="P63" s="9" t="s">
        <v>721</v>
      </c>
      <c r="Q63" s="9">
        <v>1149</v>
      </c>
      <c r="R63" s="89">
        <f t="shared" si="6"/>
        <v>80</v>
      </c>
      <c r="S63" s="89" t="str">
        <f t="shared" si="7"/>
        <v/>
      </c>
      <c r="T63" s="90">
        <f>H63*[0]!FMainPool1Fee+I63*[0]!FMainPool2Fee+J63*[0]!FMainPool3Fee+K63*[0]!FMainPool4Fee+B63*[0]!FMainEntryFee</f>
        <v>80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>
        <v>1</v>
      </c>
      <c r="I64" s="9"/>
      <c r="J64" s="9"/>
      <c r="K64" s="9"/>
      <c r="L64" s="9"/>
      <c r="M64" s="9"/>
      <c r="N64" s="9"/>
      <c r="O64" s="88">
        <f t="shared" si="5"/>
        <v>0</v>
      </c>
      <c r="P64" s="9" t="s">
        <v>721</v>
      </c>
      <c r="Q64" s="9">
        <v>2487</v>
      </c>
      <c r="R64" s="89">
        <f t="shared" si="6"/>
        <v>80</v>
      </c>
      <c r="S64" s="89" t="str">
        <f t="shared" si="7"/>
        <v/>
      </c>
      <c r="T64" s="90">
        <f>H64*[0]!FMainPool1Fee+I64*[0]!FMainPool2Fee+J64*[0]!FMainPool3Fee+K64*[0]!FMainPool4Fee+B64*[0]!FMainEntryFee</f>
        <v>80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6" t="s">
        <v>451</v>
      </c>
      <c r="D65" s="6" t="s">
        <v>466</v>
      </c>
      <c r="E65" s="7" t="s">
        <v>452</v>
      </c>
      <c r="F65" s="118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 t="s">
        <v>721</v>
      </c>
      <c r="Q65" s="9">
        <v>8803</v>
      </c>
      <c r="R65" s="89">
        <f t="shared" si="6"/>
        <v>70</v>
      </c>
      <c r="S65" s="89" t="str">
        <f t="shared" si="7"/>
        <v/>
      </c>
      <c r="T65" s="90">
        <f>H65*[0]!FMainPool1Fee+I65*[0]!FMainPool2Fee+J65*[0]!FMainPool3Fee+K65*[0]!FMainPool4Fee+B65*[0]!FMainEntryFee</f>
        <v>70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>
        <v>1</v>
      </c>
      <c r="C66" s="6" t="s">
        <v>733</v>
      </c>
      <c r="D66" s="6" t="s">
        <v>734</v>
      </c>
      <c r="E66" s="7" t="s">
        <v>735</v>
      </c>
      <c r="F66" s="118">
        <v>4178488838</v>
      </c>
      <c r="G66" s="115" t="s">
        <v>736</v>
      </c>
      <c r="H66" s="8">
        <v>1</v>
      </c>
      <c r="I66" s="9">
        <v>1</v>
      </c>
      <c r="J66" s="9">
        <v>1</v>
      </c>
      <c r="K66" s="9">
        <v>1</v>
      </c>
      <c r="L66" s="9"/>
      <c r="M66" s="9"/>
      <c r="N66" s="9"/>
      <c r="O66" s="88">
        <f t="shared" si="5"/>
        <v>0</v>
      </c>
      <c r="P66" s="9" t="s">
        <v>721</v>
      </c>
      <c r="Q66" s="9">
        <v>7357</v>
      </c>
      <c r="R66" s="89">
        <f t="shared" si="6"/>
        <v>160</v>
      </c>
      <c r="S66" s="89" t="str">
        <f t="shared" si="7"/>
        <v/>
      </c>
      <c r="T66" s="90">
        <f>H66*[0]!FMainPool1Fee+I66*[0]!FMainPool2Fee+J66*[0]!FMainPool3Fee+K66*[0]!FMainPool4Fee+B66*[0]!FMainEntryFee</f>
        <v>160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>
        <v>1</v>
      </c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>
        <v>1</v>
      </c>
      <c r="I67" s="9"/>
      <c r="J67" s="9">
        <v>1</v>
      </c>
      <c r="K67" s="9"/>
      <c r="L67" s="9"/>
      <c r="M67" s="9"/>
      <c r="N67" s="9"/>
      <c r="O67" s="88">
        <f t="shared" si="5"/>
        <v>0</v>
      </c>
      <c r="P67" s="9" t="s">
        <v>721</v>
      </c>
      <c r="Q67" s="9">
        <v>4040</v>
      </c>
      <c r="R67" s="89">
        <f t="shared" si="6"/>
        <v>100</v>
      </c>
      <c r="S67" s="89" t="str">
        <f t="shared" si="7"/>
        <v/>
      </c>
      <c r="T67" s="90">
        <f>H67*[0]!FMainPool1Fee+I67*[0]!FMainPool2Fee+J67*[0]!FMainPool3Fee+K67*[0]!FMainPool4Fee+B67*[0]!FMainEntryFee</f>
        <v>100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>
        <v>1</v>
      </c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>
        <v>1</v>
      </c>
      <c r="I68" s="9">
        <v>1</v>
      </c>
      <c r="J68" s="9">
        <v>1</v>
      </c>
      <c r="K68" s="9"/>
      <c r="L68" s="9"/>
      <c r="M68" s="9"/>
      <c r="N68" s="9"/>
      <c r="O68" s="88">
        <f t="shared" si="5"/>
        <v>0</v>
      </c>
      <c r="P68" s="9" t="s">
        <v>721</v>
      </c>
      <c r="Q68" s="9">
        <v>9990</v>
      </c>
      <c r="R68" s="89">
        <f t="shared" si="6"/>
        <v>110</v>
      </c>
      <c r="S68" s="89" t="str">
        <f t="shared" si="7"/>
        <v/>
      </c>
      <c r="T68" s="90">
        <f>H68*[0]!FMainPool1Fee+I68*[0]!FMainPool2Fee+J68*[0]!FMainPool3Fee+K68*[0]!FMainPool4Fee+B68*[0]!FMainEntryFee</f>
        <v>110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 t="shared" si="6"/>
        <v/>
      </c>
      <c r="S69" s="89" t="str">
        <f t="shared" si="7"/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71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 t="shared" ref="O70:O101" si="8">T70*N70</f>
        <v>0</v>
      </c>
      <c r="P70" s="9"/>
      <c r="Q70" s="9"/>
      <c r="R70" s="89" t="str">
        <f t="shared" si="6"/>
        <v/>
      </c>
      <c r="S70" s="89" t="str">
        <f t="shared" si="7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 t="shared" si="8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 t="shared" si="8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 t="shared" si="8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 t="shared" si="8"/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18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 t="shared" si="8"/>
        <v>0</v>
      </c>
      <c r="P78" s="9"/>
      <c r="Q78" s="9"/>
      <c r="R78" s="89" t="str">
        <f t="shared" si="9"/>
        <v/>
      </c>
      <c r="S78" s="89" t="str">
        <f t="shared" si="10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 t="shared" si="8"/>
        <v>0</v>
      </c>
      <c r="P79" s="9"/>
      <c r="Q79" s="9"/>
      <c r="R79" s="89" t="str">
        <f t="shared" si="9"/>
        <v/>
      </c>
      <c r="S79" s="89" t="str">
        <f t="shared" si="10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 t="shared" si="8"/>
        <v>0</v>
      </c>
      <c r="P83" s="9"/>
      <c r="Q83" s="9"/>
      <c r="R83" s="89" t="str">
        <f t="shared" si="9"/>
        <v/>
      </c>
      <c r="S83" s="89" t="str">
        <f t="shared" si="10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 t="shared" si="8"/>
        <v>0</v>
      </c>
      <c r="P86" s="9"/>
      <c r="Q86" s="9"/>
      <c r="R86" s="89" t="str">
        <f t="shared" si="9"/>
        <v/>
      </c>
      <c r="S86" s="89" t="str">
        <f t="shared" si="10"/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6" t="s">
        <v>700</v>
      </c>
      <c r="D88" s="6" t="s">
        <v>46</v>
      </c>
      <c r="E88" s="7" t="s">
        <v>701</v>
      </c>
      <c r="F88" s="118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 t="shared" si="8"/>
        <v>0</v>
      </c>
      <c r="P89" s="9"/>
      <c r="Q89" s="9"/>
      <c r="R89" s="89" t="str">
        <f t="shared" si="9"/>
        <v/>
      </c>
      <c r="S89" s="89" t="str">
        <f t="shared" si="10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256</v>
      </c>
      <c r="D91" s="6" t="s">
        <v>41</v>
      </c>
      <c r="E91" s="7" t="s">
        <v>257</v>
      </c>
      <c r="F91" s="118"/>
      <c r="G91" s="87" t="s">
        <v>260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11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 t="shared" si="8"/>
        <v>0</v>
      </c>
      <c r="P93" s="9"/>
      <c r="Q93" s="9"/>
      <c r="R93" s="89" t="str">
        <f t="shared" si="9"/>
        <v/>
      </c>
      <c r="S93" s="89" t="str">
        <f t="shared" si="10"/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 t="shared" ref="O102:O133" si="12">T102*N102</f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 t="shared" si="12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 t="shared" si="12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 t="shared" si="12"/>
        <v>0</v>
      </c>
      <c r="P105" s="9"/>
      <c r="Q105" s="9"/>
      <c r="R105" s="89" t="str">
        <f t="shared" si="9"/>
        <v/>
      </c>
      <c r="S105" s="89" t="str">
        <f t="shared" si="10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 t="shared" si="12"/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143</v>
      </c>
      <c r="D107" s="6" t="s">
        <v>15</v>
      </c>
      <c r="E107" s="71" t="s">
        <v>165</v>
      </c>
      <c r="F107" s="118">
        <v>7078499317</v>
      </c>
      <c r="G107" s="107" t="s">
        <v>150</v>
      </c>
      <c r="H107" s="8"/>
      <c r="I107" s="9"/>
      <c r="J107" s="9"/>
      <c r="K107" s="9"/>
      <c r="L107" s="9"/>
      <c r="M107" s="9"/>
      <c r="N107" s="9"/>
      <c r="O107" s="88">
        <f t="shared" si="12"/>
        <v>0</v>
      </c>
      <c r="P107" s="9"/>
      <c r="Q107" s="9"/>
      <c r="R107" s="89" t="str">
        <f t="shared" si="9"/>
        <v/>
      </c>
      <c r="S107" s="89" t="str">
        <f t="shared" si="10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 t="shared" si="12"/>
        <v>0</v>
      </c>
      <c r="P113" s="9"/>
      <c r="Q113" s="9"/>
      <c r="R113" s="89" t="str">
        <f t="shared" si="13"/>
        <v/>
      </c>
      <c r="S113" s="89" t="str">
        <f t="shared" si="14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435</v>
      </c>
      <c r="D114" s="6" t="s">
        <v>489</v>
      </c>
      <c r="E114" s="7" t="s">
        <v>490</v>
      </c>
      <c r="F114" s="118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 t="shared" si="12"/>
        <v>0</v>
      </c>
      <c r="P114" s="9"/>
      <c r="Q114" s="9"/>
      <c r="R114" s="89" t="str">
        <f t="shared" si="13"/>
        <v/>
      </c>
      <c r="S114" s="89" t="str">
        <f t="shared" si="14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 t="shared" si="12"/>
        <v>0</v>
      </c>
      <c r="P115" s="9"/>
      <c r="Q115" s="9"/>
      <c r="R115" s="89" t="str">
        <f t="shared" si="13"/>
        <v/>
      </c>
      <c r="S115" s="89" t="str">
        <f t="shared" si="14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 t="shared" si="12"/>
        <v>0</v>
      </c>
      <c r="P117" s="9"/>
      <c r="Q117" s="9"/>
      <c r="R117" s="89" t="str">
        <f t="shared" si="13"/>
        <v/>
      </c>
      <c r="S117" s="89" t="str">
        <f t="shared" si="14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/>
      <c r="Q119" s="9"/>
      <c r="R119" s="89" t="str">
        <f t="shared" si="13"/>
        <v/>
      </c>
      <c r="S119" s="89" t="str">
        <f t="shared" si="14"/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311</v>
      </c>
      <c r="D126" s="6" t="s">
        <v>312</v>
      </c>
      <c r="E126" s="7" t="s">
        <v>313</v>
      </c>
      <c r="F126" s="118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79</v>
      </c>
      <c r="D127" s="72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427</v>
      </c>
      <c r="D128" s="43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 t="shared" si="12"/>
        <v>0</v>
      </c>
      <c r="P128" s="9"/>
      <c r="Q128" s="9"/>
      <c r="R128" s="89" t="str">
        <f t="shared" si="13"/>
        <v/>
      </c>
      <c r="S128" s="89" t="str">
        <f t="shared" si="14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 t="shared" si="12"/>
        <v>0</v>
      </c>
      <c r="P129" s="9"/>
      <c r="Q129" s="9"/>
      <c r="R129" s="89" t="str">
        <f t="shared" si="13"/>
        <v/>
      </c>
      <c r="S129" s="89" t="str">
        <f t="shared" si="14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 t="shared" si="12"/>
        <v>0</v>
      </c>
      <c r="P132" s="9"/>
      <c r="Q132" s="9"/>
      <c r="R132" s="89" t="str">
        <f t="shared" si="13"/>
        <v/>
      </c>
      <c r="S132" s="89" t="str">
        <f t="shared" si="14"/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 t="shared" si="12"/>
        <v>0</v>
      </c>
      <c r="P133" s="9"/>
      <c r="Q133" s="9"/>
      <c r="R133" s="89" t="str">
        <f t="shared" si="13"/>
        <v/>
      </c>
      <c r="S133" s="89" t="str">
        <f t="shared" si="14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 t="shared" ref="O134:O165" si="15">T134*N134</f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 t="shared" si="15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 t="shared" si="15"/>
        <v>0</v>
      </c>
      <c r="P136" s="9"/>
      <c r="Q136" s="9"/>
      <c r="R136" s="89" t="str">
        <f t="shared" si="13"/>
        <v/>
      </c>
      <c r="S136" s="89" t="str">
        <f t="shared" si="14"/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 t="shared" si="15"/>
        <v>0</v>
      </c>
      <c r="P137" s="9"/>
      <c r="Q137" s="9"/>
      <c r="R137" s="89" t="str">
        <f t="shared" si="13"/>
        <v/>
      </c>
      <c r="S137" s="89" t="str">
        <f t="shared" si="14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 t="shared" si="15"/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269</v>
      </c>
      <c r="D140" s="6" t="s">
        <v>270</v>
      </c>
      <c r="E140" s="7" t="s">
        <v>271</v>
      </c>
      <c r="F140" s="118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 t="shared" si="15"/>
        <v>0</v>
      </c>
      <c r="P141" s="9"/>
      <c r="Q141" s="9"/>
      <c r="R141" s="89" t="str">
        <f t="shared" si="16"/>
        <v/>
      </c>
      <c r="S141" s="89" t="str">
        <f t="shared" si="17"/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 t="shared" si="15"/>
        <v>0</v>
      </c>
      <c r="P145" s="9"/>
      <c r="Q145" s="9"/>
      <c r="R145" s="89" t="str">
        <f t="shared" si="16"/>
        <v/>
      </c>
      <c r="S145" s="89" t="str">
        <f t="shared" si="17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 t="shared" si="15"/>
        <v>0</v>
      </c>
      <c r="P146" s="9"/>
      <c r="Q146" s="9"/>
      <c r="R146" s="89" t="str">
        <f t="shared" si="16"/>
        <v/>
      </c>
      <c r="S146" s="89" t="str">
        <f t="shared" si="17"/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472</v>
      </c>
      <c r="D153" s="6" t="s">
        <v>96</v>
      </c>
      <c r="E153" s="7" t="s">
        <v>473</v>
      </c>
      <c r="F153" s="117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 t="shared" si="15"/>
        <v>0</v>
      </c>
      <c r="P157" s="9"/>
      <c r="Q157" s="9"/>
      <c r="R157" s="89" t="str">
        <f t="shared" si="16"/>
        <v/>
      </c>
      <c r="S157" s="89" t="str">
        <f t="shared" si="17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07" t="s">
        <v>417</v>
      </c>
      <c r="H160" s="8"/>
      <c r="I160" s="9"/>
      <c r="J160" s="9"/>
      <c r="K160" s="9"/>
      <c r="L160" s="9"/>
      <c r="M160" s="9"/>
      <c r="N160" s="9"/>
      <c r="O160" s="88">
        <f t="shared" si="15"/>
        <v>0</v>
      </c>
      <c r="P160" s="9"/>
      <c r="Q160" s="9"/>
      <c r="R160" s="89" t="str">
        <f t="shared" si="16"/>
        <v/>
      </c>
      <c r="S160" s="89" t="str">
        <f t="shared" si="17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 t="shared" si="15"/>
        <v>0</v>
      </c>
      <c r="P163" s="9"/>
      <c r="Q163" s="9"/>
      <c r="R163" s="89" t="str">
        <f t="shared" si="16"/>
        <v/>
      </c>
      <c r="S163" s="89" t="str">
        <f t="shared" si="17"/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/>
      <c r="C164" s="6" t="s">
        <v>380</v>
      </c>
      <c r="D164" s="6" t="s">
        <v>96</v>
      </c>
      <c r="E164" s="7"/>
      <c r="F164" s="86"/>
      <c r="G164" s="107" t="s">
        <v>381</v>
      </c>
      <c r="H164" s="8"/>
      <c r="I164" s="9"/>
      <c r="J164" s="9"/>
      <c r="K164" s="9"/>
      <c r="L164" s="9"/>
      <c r="M164" s="9"/>
      <c r="N164" s="9"/>
      <c r="O164" s="88">
        <f t="shared" si="15"/>
        <v>0</v>
      </c>
      <c r="P164" s="9"/>
      <c r="Q164" s="9"/>
      <c r="R164" s="89" t="str">
        <f t="shared" si="16"/>
        <v/>
      </c>
      <c r="S164" s="89" t="str">
        <f t="shared" si="17"/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 t="shared" ref="O166:O197" si="19">T166*N166</f>
        <v>0</v>
      </c>
      <c r="P166" s="9"/>
      <c r="Q166" s="9"/>
      <c r="R166" s="89" t="str">
        <f t="shared" si="16"/>
        <v/>
      </c>
      <c r="S166" s="89" t="str">
        <f t="shared" si="17"/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 t="shared" si="19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 t="shared" si="19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 t="shared" si="19"/>
        <v>0</v>
      </c>
      <c r="P169" s="9"/>
      <c r="Q169" s="9"/>
      <c r="R169" s="89" t="str">
        <f t="shared" si="16"/>
        <v/>
      </c>
      <c r="S169" s="89" t="str">
        <f t="shared" si="17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 t="shared" si="19"/>
        <v>0</v>
      </c>
      <c r="P170" s="9"/>
      <c r="Q170" s="9"/>
      <c r="R170" s="89" t="str">
        <f t="shared" si="16"/>
        <v/>
      </c>
      <c r="S170" s="89" t="str">
        <f t="shared" si="17"/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8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18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8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18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 t="shared" si="19"/>
        <v>0</v>
      </c>
      <c r="P178" s="9"/>
      <c r="Q178" s="9"/>
      <c r="R178" s="89" t="str">
        <f t="shared" si="20"/>
        <v/>
      </c>
      <c r="S178" s="89" t="str">
        <f t="shared" si="21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 t="shared" si="19"/>
        <v>0</v>
      </c>
      <c r="P179" s="9"/>
      <c r="Q179" s="9"/>
      <c r="R179" s="89" t="str">
        <f t="shared" si="20"/>
        <v/>
      </c>
      <c r="S179" s="89" t="str">
        <f t="shared" si="21"/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/>
      <c r="Q180" s="9"/>
      <c r="R180" s="89" t="str">
        <f t="shared" si="20"/>
        <v/>
      </c>
      <c r="S180" s="89" t="str">
        <f t="shared" si="21"/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18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18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 t="shared" si="19"/>
        <v>0</v>
      </c>
      <c r="P184" s="9"/>
      <c r="Q184" s="9"/>
      <c r="R184" s="89" t="str">
        <f t="shared" si="20"/>
        <v/>
      </c>
      <c r="S184" s="89" t="str">
        <f t="shared" si="21"/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18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18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 t="shared" si="19"/>
        <v>0</v>
      </c>
      <c r="P187" s="9"/>
      <c r="Q187" s="9"/>
      <c r="R187" s="89" t="str">
        <f t="shared" si="20"/>
        <v/>
      </c>
      <c r="S187" s="89" t="str">
        <f t="shared" si="21"/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 t="shared" si="19"/>
        <v>0</v>
      </c>
      <c r="P188" s="9"/>
      <c r="Q188" s="9"/>
      <c r="R188" s="89" t="str">
        <f t="shared" si="20"/>
        <v/>
      </c>
      <c r="S188" s="89" t="str">
        <f t="shared" si="21"/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 t="shared" si="19"/>
        <v>0</v>
      </c>
      <c r="P192" s="9"/>
      <c r="Q192" s="9"/>
      <c r="R192" s="89" t="str">
        <f t="shared" si="20"/>
        <v/>
      </c>
      <c r="S192" s="89" t="str">
        <f t="shared" si="21"/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/>
      <c r="Q197" s="9"/>
      <c r="R197" s="89" t="str">
        <f t="shared" si="20"/>
        <v/>
      </c>
      <c r="S197" s="89" t="str">
        <f t="shared" si="21"/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 t="shared" ref="O198:O210" si="22">T198*N198</f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 t="shared" si="22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 t="shared" si="22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 t="shared" si="22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 t="shared" si="22"/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 t="shared" si="22"/>
        <v>0</v>
      </c>
      <c r="P204" s="9"/>
      <c r="Q204" s="9"/>
      <c r="R204" s="89" t="str">
        <f t="shared" ref="R204:R210" si="23">IF(OR(P204="c",P204="C"),+T204,"")</f>
        <v/>
      </c>
      <c r="S204" s="89" t="str">
        <f t="shared" ref="S204:S210" si="24"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 t="shared" si="22"/>
        <v>0</v>
      </c>
      <c r="P205" s="9"/>
      <c r="Q205" s="9"/>
      <c r="R205" s="89" t="str">
        <f t="shared" si="23"/>
        <v/>
      </c>
      <c r="S205" s="89" t="str">
        <f t="shared" si="24"/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 t="shared" si="22"/>
        <v>0</v>
      </c>
      <c r="P210" s="9"/>
      <c r="Q210" s="9"/>
      <c r="R210" s="89" t="str">
        <f t="shared" si="23"/>
        <v/>
      </c>
      <c r="S210" s="89" t="str">
        <f t="shared" si="24"/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00000000-0004-0000-0200-000022000000}"/>
    <hyperlink ref="G46" r:id="rId36" xr:uid="{00000000-0004-0000-0200-000023000000}"/>
    <hyperlink ref="G60" r:id="rId37" xr:uid="{00000000-0004-0000-0200-000024000000}"/>
    <hyperlink ref="G84" r:id="rId38" xr:uid="{00000000-0004-0000-0200-000025000000}"/>
    <hyperlink ref="G53" r:id="rId39" xr:uid="{00000000-0004-0000-0200-000026000000}"/>
    <hyperlink ref="G176" r:id="rId40" xr:uid="{00000000-0004-0000-0200-000027000000}"/>
    <hyperlink ref="G128" r:id="rId41" xr:uid="{00000000-0004-0000-0200-000028000000}"/>
    <hyperlink ref="G118" r:id="rId42" xr:uid="{00000000-0004-0000-0200-000029000000}"/>
    <hyperlink ref="G119" r:id="rId43" xr:uid="{00000000-0004-0000-0200-00002A000000}"/>
    <hyperlink ref="G94" r:id="rId44" xr:uid="{00000000-0004-0000-0200-00002B000000}"/>
    <hyperlink ref="G14" r:id="rId45" xr:uid="{00000000-0004-0000-0200-00002C000000}"/>
    <hyperlink ref="G42" r:id="rId46" xr:uid="{00000000-0004-0000-0200-00002D000000}"/>
    <hyperlink ref="G78" r:id="rId47" xr:uid="{00000000-0004-0000-0200-00002E000000}"/>
    <hyperlink ref="G30" r:id="rId48" xr:uid="{00000000-0004-0000-0200-00002F000000}"/>
    <hyperlink ref="G110" r:id="rId49" xr:uid="{00000000-0004-0000-0200-000030000000}"/>
    <hyperlink ref="G159" r:id="rId50" xr:uid="{00000000-0004-0000-0200-000031000000}"/>
    <hyperlink ref="G66" r:id="rId51" xr:uid="{00000000-0004-0000-0200-000032000000}"/>
    <hyperlink ref="G19" r:id="rId52" xr:uid="{00000000-0004-0000-0200-000033000000}"/>
    <hyperlink ref="G20" r:id="rId53" xr:uid="{00000000-0004-0000-0200-000034000000}"/>
    <hyperlink ref="G65" r:id="rId54" xr:uid="{00000000-0004-0000-0200-000035000000}"/>
    <hyperlink ref="G52" r:id="rId55" xr:uid="{00000000-0004-0000-0200-000036000000}"/>
    <hyperlink ref="G12" r:id="rId56" xr:uid="{00000000-0004-0000-0200-000037000000}"/>
    <hyperlink ref="G50" r:id="rId57" xr:uid="{00000000-0004-0000-0200-000038000000}"/>
    <hyperlink ref="G21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2026-04-20T02:42:31Z</dcterms:modified>
</cp:coreProperties>
</file>