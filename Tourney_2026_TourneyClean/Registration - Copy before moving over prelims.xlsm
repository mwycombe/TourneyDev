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1E54A9A9-5AB9-491C-B4B6-30C553484A61}" xr6:coauthVersionLast="47" xr6:coauthVersionMax="47" xr10:uidLastSave="{00000000-0000-0000-0000-000000000000}"/>
  <bookViews>
    <workbookView xWindow="-27660" yWindow="480" windowWidth="27840" windowHeight="1443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3" i="1" l="1"/>
  <c r="R77" i="1"/>
  <c r="R76" i="1"/>
  <c r="S32" i="1"/>
  <c r="T201" i="1" l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R131" i="1"/>
  <c r="T130" i="1"/>
  <c r="O130" i="1" s="1"/>
  <c r="S130" i="1"/>
  <c r="T129" i="1"/>
  <c r="O129" i="1" s="1"/>
  <c r="S129" i="1"/>
  <c r="T128" i="1"/>
  <c r="O128" i="1" s="1"/>
  <c r="S128" i="1"/>
  <c r="T127" i="1"/>
  <c r="R127" i="1"/>
  <c r="T126" i="1"/>
  <c r="O126" i="1" s="1"/>
  <c r="S126" i="1"/>
  <c r="T125" i="1"/>
  <c r="O125" i="1" s="1"/>
  <c r="S125" i="1"/>
  <c r="T124" i="1"/>
  <c r="O124" i="1" s="1"/>
  <c r="S124" i="1"/>
  <c r="T123" i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T12" i="1"/>
  <c r="R12" i="1" s="1"/>
  <c r="S12" i="1"/>
  <c r="S123" i="1" l="1"/>
  <c r="O123" i="1"/>
  <c r="S94" i="1"/>
  <c r="O94" i="1"/>
  <c r="S127" i="1"/>
  <c r="O127" i="1"/>
  <c r="S131" i="1"/>
  <c r="O131" i="1"/>
  <c r="R63" i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<sst xmlns="http://schemas.openxmlformats.org/spreadsheetml/2006/main" count="1511" uniqueCount="751">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</sst>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165" fontId="5" fillId="0" borderId="7" xfId="0" applyNumberFormat="1" applyFont="1" applyBorder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3-15-Postmortem/EmptyTourneyApp/Tourney_2025_Version%20-%20Copy%20Empty%20Updated/Preliminary/24_4_20_ACC_reverted.xlsm" TargetMode="External"/><Relationship Id="rId1" Type="http://schemas.openxmlformats.org/officeDocument/2006/relationships/externalLinkPath" Target="/CribbageDev/TourneyDev/3-15-Postmortem/EmptyTourneyApp/Tourney_2025_Version%20-%20Copy%20Empty%20Updated/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/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/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/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25"/>
      <c r="D11" s="126"/>
      <c r="E11" s="125"/>
      <c r="F11" s="126"/>
      <c r="G11" s="125"/>
      <c r="H11" s="126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5"/>
      <c r="D13" s="126"/>
      <c r="E13" s="125"/>
      <c r="F13" s="126"/>
      <c r="G13" s="125"/>
      <c r="H13" s="126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5"/>
      <c r="D15" s="126"/>
      <c r="E15" s="125"/>
      <c r="F15" s="126"/>
      <c r="G15" s="125"/>
      <c r="H15" s="126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/>
      <c r="C4" s="130"/>
      <c r="D4" s="130"/>
      <c r="E4" s="130"/>
      <c r="F4" s="130"/>
    </row>
    <row r="5" spans="1:7" x14ac:dyDescent="0.25">
      <c r="A5" s="4" t="s">
        <v>616</v>
      </c>
      <c r="B5" s="131"/>
      <c r="C5" s="131"/>
      <c r="D5" s="131"/>
      <c r="E5" s="131"/>
      <c r="F5" s="131"/>
    </row>
    <row r="6" spans="1:7" x14ac:dyDescent="0.25">
      <c r="A6" s="4" t="s">
        <v>617</v>
      </c>
      <c r="B6" s="131"/>
      <c r="C6" s="131"/>
      <c r="D6" s="131"/>
      <c r="E6" s="131"/>
      <c r="F6" s="131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/>
      <c r="C4" s="130"/>
      <c r="D4" s="130"/>
      <c r="E4" s="130"/>
      <c r="F4" s="130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17"/>
      <c r="L2" s="117"/>
      <c r="M2" s="117"/>
      <c r="N2" s="117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17"/>
      <c r="L3" s="117"/>
      <c r="M3" s="117"/>
      <c r="N3" s="117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17"/>
      <c r="L4" s="117"/>
      <c r="M4" s="117"/>
      <c r="N4" s="117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18"/>
      <c r="L5" s="118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31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7" t="s">
        <v>448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7" t="s">
        <v>451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16"/>
      <c r="G20" s="103"/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08"/>
      <c r="G21" s="15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5" t="s">
        <v>27</v>
      </c>
      <c r="D22" s="5" t="s">
        <v>28</v>
      </c>
      <c r="E22" s="6" t="s">
        <v>703</v>
      </c>
      <c r="F22" s="59">
        <v>4087325550</v>
      </c>
      <c r="G22" s="12" t="s">
        <v>452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7" t="s">
        <v>454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61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68" t="s">
        <v>643</v>
      </c>
      <c r="D26" s="68" t="s">
        <v>173</v>
      </c>
      <c r="E26" s="92" t="s">
        <v>644</v>
      </c>
      <c r="F26" s="108">
        <v>5305666454</v>
      </c>
      <c r="G26" s="109" t="s">
        <v>704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110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08"/>
      <c r="G28" s="15"/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08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705</v>
      </c>
      <c r="D32" s="7" t="s">
        <v>67</v>
      </c>
      <c r="E32" s="8" t="s">
        <v>706</v>
      </c>
      <c r="F32" s="60">
        <v>7075994896</v>
      </c>
      <c r="G32" s="113" t="s">
        <v>707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 t="shared" ref="O33:O45" si="5">T33*N33</f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 t="shared" si="5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 t="shared" si="5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708</v>
      </c>
      <c r="D36" s="5" t="s">
        <v>235</v>
      </c>
      <c r="E36" s="6" t="s">
        <v>709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 t="shared" si="5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 t="shared" si="5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 t="shared" si="5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 t="shared" si="5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 t="shared" si="5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7" t="s">
        <v>467</v>
      </c>
      <c r="H41" s="49"/>
      <c r="I41" s="47"/>
      <c r="J41" s="47"/>
      <c r="K41" s="47"/>
      <c r="L41" s="47"/>
      <c r="M41" s="47"/>
      <c r="N41" s="47"/>
      <c r="O41" s="94">
        <f t="shared" si="5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/>
      <c r="I42" s="47"/>
      <c r="J42" s="47"/>
      <c r="K42" s="47"/>
      <c r="L42" s="47"/>
      <c r="M42" s="47"/>
      <c r="N42" s="47"/>
      <c r="O42" s="94">
        <f t="shared" si="5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ht="15.75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1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15" t="s">
        <v>647</v>
      </c>
      <c r="D45" s="15" t="s">
        <v>45</v>
      </c>
      <c r="E45" s="10" t="s">
        <v>648</v>
      </c>
      <c r="F45" s="111">
        <v>7079744711</v>
      </c>
      <c r="G45" s="109" t="s">
        <v>649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710</v>
      </c>
      <c r="D46" s="15" t="s">
        <v>67</v>
      </c>
      <c r="E46" s="10" t="s">
        <v>711</v>
      </c>
      <c r="F46" s="111">
        <v>7075027980</v>
      </c>
      <c r="G46" s="109" t="s">
        <v>712</v>
      </c>
      <c r="H46" s="49"/>
      <c r="I46" s="47"/>
      <c r="J46" s="47"/>
      <c r="K46" s="47"/>
      <c r="L46" s="47"/>
      <c r="M46" s="47"/>
      <c r="N46" s="47"/>
      <c r="O46" s="94"/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 t="shared" ref="O47:O75" si="8">T47*N47</f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 t="shared" si="8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7" t="s">
        <v>86</v>
      </c>
      <c r="D49" s="7" t="s">
        <v>64</v>
      </c>
      <c r="E49" s="8" t="s">
        <v>87</v>
      </c>
      <c r="F49" s="55">
        <v>7073175740</v>
      </c>
      <c r="G49" s="107" t="s">
        <v>474</v>
      </c>
      <c r="H49" s="49"/>
      <c r="I49" s="47"/>
      <c r="J49" s="47"/>
      <c r="K49" s="47"/>
      <c r="L49" s="47"/>
      <c r="M49" s="47"/>
      <c r="N49" s="47"/>
      <c r="O49" s="94">
        <f t="shared" si="8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 t="shared" si="8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15" t="s">
        <v>650</v>
      </c>
      <c r="D51" s="15" t="s">
        <v>5</v>
      </c>
      <c r="E51" s="10" t="s">
        <v>651</v>
      </c>
      <c r="F51" s="112">
        <v>2793335535</v>
      </c>
      <c r="G51" s="15"/>
      <c r="H51" s="49"/>
      <c r="I51" s="47"/>
      <c r="J51" s="47"/>
      <c r="K51" s="47"/>
      <c r="L51" s="47"/>
      <c r="M51" s="47"/>
      <c r="N51" s="47"/>
      <c r="O51" s="94">
        <f t="shared" si="8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 t="shared" si="8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 t="shared" si="8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 t="shared" si="8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 t="shared" si="8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 t="shared" si="8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108</v>
      </c>
      <c r="D57" s="7" t="s">
        <v>72</v>
      </c>
      <c r="E57" s="8" t="s">
        <v>109</v>
      </c>
      <c r="F57" s="111" t="s">
        <v>483</v>
      </c>
      <c r="G57" s="12" t="s">
        <v>484</v>
      </c>
      <c r="H57" s="49"/>
      <c r="I57" s="47"/>
      <c r="J57" s="47"/>
      <c r="K57" s="47"/>
      <c r="L57" s="47"/>
      <c r="M57" s="47"/>
      <c r="N57" s="47"/>
      <c r="O57" s="94">
        <f t="shared" si="8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12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 t="shared" si="8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 t="shared" si="8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/>
      <c r="I60" s="47"/>
      <c r="J60" s="47"/>
      <c r="K60" s="47"/>
      <c r="L60" s="47"/>
      <c r="M60" s="47"/>
      <c r="N60" s="47"/>
      <c r="O60" s="94">
        <f t="shared" si="8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61"/>
      <c r="G61" s="12"/>
      <c r="H61" s="49"/>
      <c r="I61" s="47"/>
      <c r="J61" s="47"/>
      <c r="K61" s="47"/>
      <c r="L61" s="47"/>
      <c r="M61" s="47"/>
      <c r="N61" s="47"/>
      <c r="O61" s="94">
        <f t="shared" si="8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119</v>
      </c>
      <c r="D62" s="5" t="s">
        <v>72</v>
      </c>
      <c r="E62" s="6" t="s">
        <v>120</v>
      </c>
      <c r="F62" s="61">
        <v>7078499317</v>
      </c>
      <c r="G62" s="12" t="s">
        <v>489</v>
      </c>
      <c r="H62" s="49"/>
      <c r="I62" s="47"/>
      <c r="J62" s="47"/>
      <c r="K62" s="47"/>
      <c r="L62" s="47"/>
      <c r="M62" s="47"/>
      <c r="N62" s="47"/>
      <c r="O62" s="94">
        <f t="shared" si="8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 t="shared" si="8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124</v>
      </c>
      <c r="D64" s="5" t="s">
        <v>72</v>
      </c>
      <c r="E64" s="6" t="s">
        <v>125</v>
      </c>
      <c r="F64" s="48">
        <v>7073225806</v>
      </c>
      <c r="G64" s="107" t="s">
        <v>491</v>
      </c>
      <c r="H64" s="49"/>
      <c r="I64" s="47"/>
      <c r="J64" s="47"/>
      <c r="K64" s="47"/>
      <c r="L64" s="47"/>
      <c r="M64" s="47"/>
      <c r="N64" s="47"/>
      <c r="O64" s="94">
        <f t="shared" si="8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5" t="s">
        <v>713</v>
      </c>
      <c r="D65" s="5" t="s">
        <v>185</v>
      </c>
      <c r="E65" s="6" t="s">
        <v>714</v>
      </c>
      <c r="F65" s="48">
        <v>9258406622</v>
      </c>
      <c r="G65" s="107" t="s">
        <v>715</v>
      </c>
      <c r="H65" s="49"/>
      <c r="I65" s="47"/>
      <c r="J65" s="47"/>
      <c r="K65" s="47"/>
      <c r="L65" s="47"/>
      <c r="M65" s="47"/>
      <c r="N65" s="47"/>
      <c r="O65" s="94">
        <f t="shared" si="8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126</v>
      </c>
      <c r="D66" s="7" t="s">
        <v>127</v>
      </c>
      <c r="E66" s="88" t="s">
        <v>128</v>
      </c>
      <c r="F66" s="111" t="s">
        <v>492</v>
      </c>
      <c r="G66" s="12" t="s">
        <v>493</v>
      </c>
      <c r="H66" s="49"/>
      <c r="I66" s="47"/>
      <c r="J66" s="47"/>
      <c r="K66" s="47"/>
      <c r="L66" s="47"/>
      <c r="M66" s="47"/>
      <c r="N66" s="47"/>
      <c r="O66" s="94">
        <f t="shared" si="8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 t="shared" si="8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1"/>
      <c r="G68" s="15"/>
      <c r="H68" s="49"/>
      <c r="I68" s="47"/>
      <c r="J68" s="47"/>
      <c r="K68" s="47"/>
      <c r="L68" s="47"/>
      <c r="M68" s="47"/>
      <c r="N68" s="47"/>
      <c r="O68" s="94">
        <f t="shared" si="8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 t="shared" si="8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7" t="s">
        <v>495</v>
      </c>
      <c r="H70" s="49"/>
      <c r="I70" s="47"/>
      <c r="J70" s="47"/>
      <c r="K70" s="47"/>
      <c r="L70" s="47"/>
      <c r="M70" s="47"/>
      <c r="N70" s="47"/>
      <c r="O70" s="94">
        <f t="shared" si="8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7" t="s">
        <v>496</v>
      </c>
      <c r="H71" s="49"/>
      <c r="I71" s="47"/>
      <c r="J71" s="47"/>
      <c r="K71" s="47"/>
      <c r="L71" s="47"/>
      <c r="M71" s="47"/>
      <c r="N71" s="47"/>
      <c r="O71" s="94">
        <f t="shared" si="8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1"/>
      <c r="G72" s="15"/>
      <c r="H72" s="49"/>
      <c r="I72" s="47"/>
      <c r="J72" s="47"/>
      <c r="K72" s="47"/>
      <c r="L72" s="47"/>
      <c r="M72" s="47"/>
      <c r="N72" s="47"/>
      <c r="O72" s="94">
        <f t="shared" si="8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61"/>
      <c r="G73" s="12"/>
      <c r="H73" s="49"/>
      <c r="I73" s="47"/>
      <c r="J73" s="47"/>
      <c r="K73" s="47"/>
      <c r="L73" s="47"/>
      <c r="M73" s="47"/>
      <c r="N73" s="47"/>
      <c r="O73" s="94">
        <f t="shared" si="8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/>
      <c r="I74" s="47"/>
      <c r="J74" s="47"/>
      <c r="K74" s="47"/>
      <c r="L74" s="47"/>
      <c r="M74" s="47"/>
      <c r="N74" s="47"/>
      <c r="O74" s="94">
        <f t="shared" si="8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15" t="s">
        <v>656</v>
      </c>
      <c r="D75" s="15" t="s">
        <v>409</v>
      </c>
      <c r="E75" s="10" t="s">
        <v>657</v>
      </c>
      <c r="F75" s="111">
        <v>5103043540</v>
      </c>
      <c r="G75" s="109" t="s">
        <v>716</v>
      </c>
      <c r="H75" s="49"/>
      <c r="I75" s="47"/>
      <c r="J75" s="47"/>
      <c r="K75" s="47"/>
      <c r="L75" s="47"/>
      <c r="M75" s="47"/>
      <c r="N75" s="47"/>
      <c r="O75" s="94">
        <f t="shared" si="8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9">ROW() - ROW(FRegEntriesEnteredHdr)</f>
        <v>65</v>
      </c>
      <c r="B76" s="47"/>
      <c r="C76" s="15" t="s">
        <v>717</v>
      </c>
      <c r="D76" s="15" t="s">
        <v>718</v>
      </c>
      <c r="E76" s="10" t="s">
        <v>719</v>
      </c>
      <c r="F76" s="111">
        <v>5309277047</v>
      </c>
      <c r="G76" s="109" t="s">
        <v>720</v>
      </c>
      <c r="H76" s="49"/>
      <c r="I76" s="47"/>
      <c r="J76" s="47"/>
      <c r="K76" s="47"/>
      <c r="L76" s="47"/>
      <c r="M76" s="47"/>
      <c r="N76" s="47"/>
      <c r="O76" s="94"/>
      <c r="P76" s="47"/>
      <c r="Q76" s="47"/>
      <c r="R76" s="95" t="str">
        <f t="shared" ref="R76:R107" si="10">IF(OR(P76="c",P76="C"),+T76,"")</f>
        <v/>
      </c>
      <c r="S76" s="95"/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9"/>
        <v>66</v>
      </c>
      <c r="B77" s="47"/>
      <c r="C77" s="15" t="s">
        <v>721</v>
      </c>
      <c r="D77" s="15" t="s">
        <v>718</v>
      </c>
      <c r="E77" s="10" t="s">
        <v>722</v>
      </c>
      <c r="F77" s="111">
        <v>5309277048</v>
      </c>
      <c r="G77" s="109" t="s">
        <v>723</v>
      </c>
      <c r="H77" s="49"/>
      <c r="I77" s="47"/>
      <c r="J77" s="47"/>
      <c r="K77" s="47"/>
      <c r="L77" s="47"/>
      <c r="M77" s="47"/>
      <c r="N77" s="47"/>
      <c r="O77" s="94"/>
      <c r="P77" s="47"/>
      <c r="Q77" s="47"/>
      <c r="R77" s="95" t="str">
        <f t="shared" si="10"/>
        <v/>
      </c>
      <c r="S77" s="95"/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9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 t="shared" ref="O78:O109" si="11">T78*N78</f>
        <v>0</v>
      </c>
      <c r="P78" s="47"/>
      <c r="Q78" s="47"/>
      <c r="R78" s="95" t="str">
        <f t="shared" si="10"/>
        <v/>
      </c>
      <c r="S78" s="95" t="str">
        <f t="shared" ref="S78:S109" si="12"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9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7" t="s">
        <v>500</v>
      </c>
      <c r="H79" s="49"/>
      <c r="I79" s="47"/>
      <c r="J79" s="47"/>
      <c r="K79" s="47"/>
      <c r="L79" s="47"/>
      <c r="M79" s="47"/>
      <c r="N79" s="47"/>
      <c r="O79" s="94">
        <f t="shared" si="11"/>
        <v>0</v>
      </c>
      <c r="P79" s="47"/>
      <c r="Q79" s="47"/>
      <c r="R79" s="95" t="str">
        <f t="shared" si="10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9"/>
        <v>69</v>
      </c>
      <c r="B80" s="47"/>
      <c r="C80" s="15" t="s">
        <v>658</v>
      </c>
      <c r="D80" s="15" t="s">
        <v>191</v>
      </c>
      <c r="E80" s="10" t="s">
        <v>659</v>
      </c>
      <c r="F80" s="111"/>
      <c r="G80" s="107" t="s">
        <v>660</v>
      </c>
      <c r="H80" s="49"/>
      <c r="I80" s="47"/>
      <c r="J80" s="47"/>
      <c r="K80" s="47"/>
      <c r="L80" s="47"/>
      <c r="M80" s="47"/>
      <c r="N80" s="47"/>
      <c r="O80" s="94">
        <f t="shared" si="11"/>
        <v>0</v>
      </c>
      <c r="P80" s="47"/>
      <c r="Q80" s="47"/>
      <c r="R80" s="95" t="str">
        <f t="shared" si="10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661</v>
      </c>
      <c r="D81" s="15" t="s">
        <v>33</v>
      </c>
      <c r="E81" s="10" t="s">
        <v>662</v>
      </c>
      <c r="F81" s="111"/>
      <c r="G81" s="107" t="s">
        <v>663</v>
      </c>
      <c r="H81" s="49"/>
      <c r="I81" s="47"/>
      <c r="J81" s="47"/>
      <c r="K81" s="47"/>
      <c r="L81" s="47"/>
      <c r="M81" s="47"/>
      <c r="N81" s="47"/>
      <c r="O81" s="94">
        <f t="shared" si="11"/>
        <v>0</v>
      </c>
      <c r="P81" s="47"/>
      <c r="Q81" s="47"/>
      <c r="R81" s="95" t="str">
        <f t="shared" si="10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7" t="s">
        <v>501</v>
      </c>
      <c r="H82" s="49"/>
      <c r="I82" s="47"/>
      <c r="J82" s="47"/>
      <c r="K82" s="47"/>
      <c r="L82" s="47"/>
      <c r="M82" s="47"/>
      <c r="N82" s="47"/>
      <c r="O82" s="94">
        <f t="shared" si="11"/>
        <v>0</v>
      </c>
      <c r="P82" s="47"/>
      <c r="Q82" s="47"/>
      <c r="R82" s="95" t="str">
        <f t="shared" si="10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 t="shared" si="11"/>
        <v>0</v>
      </c>
      <c r="P83" s="47"/>
      <c r="Q83" s="47"/>
      <c r="R83" s="95" t="str">
        <f t="shared" si="10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9"/>
        <v>73</v>
      </c>
      <c r="B84" s="47"/>
      <c r="C84" s="7" t="s">
        <v>158</v>
      </c>
      <c r="D84" s="7" t="s">
        <v>159</v>
      </c>
      <c r="E84" s="8" t="s">
        <v>160</v>
      </c>
      <c r="F84" s="112" t="s">
        <v>504</v>
      </c>
      <c r="G84" s="12" t="s">
        <v>468</v>
      </c>
      <c r="H84" s="49"/>
      <c r="I84" s="47"/>
      <c r="J84" s="47"/>
      <c r="K84" s="47"/>
      <c r="L84" s="47"/>
      <c r="M84" s="47"/>
      <c r="N84" s="47"/>
      <c r="O84" s="94">
        <f t="shared" si="11"/>
        <v>0</v>
      </c>
      <c r="P84" s="47"/>
      <c r="Q84" s="47"/>
      <c r="R84" s="95" t="str">
        <f t="shared" si="10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9"/>
        <v>74</v>
      </c>
      <c r="B85" s="47"/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/>
      <c r="I85" s="47"/>
      <c r="J85" s="47"/>
      <c r="K85" s="47"/>
      <c r="L85" s="47"/>
      <c r="M85" s="47"/>
      <c r="N85" s="47"/>
      <c r="O85" s="94">
        <f t="shared" si="11"/>
        <v>0</v>
      </c>
      <c r="P85" s="47"/>
      <c r="Q85" s="47"/>
      <c r="R85" s="95" t="str">
        <f t="shared" si="10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9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 t="shared" si="11"/>
        <v>0</v>
      </c>
      <c r="P86" s="47"/>
      <c r="Q86" s="47"/>
      <c r="R86" s="95" t="str">
        <f t="shared" si="10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9"/>
        <v>76</v>
      </c>
      <c r="B87" s="47"/>
      <c r="C87" s="5" t="s">
        <v>166</v>
      </c>
      <c r="D87" s="5" t="s">
        <v>167</v>
      </c>
      <c r="E87" s="6" t="s">
        <v>168</v>
      </c>
      <c r="F87" s="61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 t="shared" si="11"/>
        <v>0</v>
      </c>
      <c r="P87" s="47"/>
      <c r="Q87" s="47"/>
      <c r="R87" s="95" t="str">
        <f t="shared" si="10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 t="shared" si="11"/>
        <v>0</v>
      </c>
      <c r="P88" s="47"/>
      <c r="Q88" s="47"/>
      <c r="R88" s="95" t="str">
        <f t="shared" si="10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/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/>
      <c r="I89" s="47"/>
      <c r="J89" s="47"/>
      <c r="K89" s="47"/>
      <c r="L89" s="47"/>
      <c r="M89" s="47"/>
      <c r="N89" s="47"/>
      <c r="O89" s="94">
        <f t="shared" si="11"/>
        <v>0</v>
      </c>
      <c r="P89" s="47"/>
      <c r="Q89" s="47"/>
      <c r="R89" s="95" t="str">
        <f t="shared" si="10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9"/>
        <v>79</v>
      </c>
      <c r="B90" s="47"/>
      <c r="C90" s="5" t="s">
        <v>175</v>
      </c>
      <c r="D90" s="5" t="s">
        <v>72</v>
      </c>
      <c r="E90" s="6" t="s">
        <v>176</v>
      </c>
      <c r="F90" s="48">
        <v>7079536818</v>
      </c>
      <c r="G90" s="107" t="s">
        <v>724</v>
      </c>
      <c r="H90" s="49"/>
      <c r="I90" s="47"/>
      <c r="J90" s="47"/>
      <c r="K90" s="47"/>
      <c r="L90" s="47"/>
      <c r="M90" s="47"/>
      <c r="N90" s="47"/>
      <c r="O90" s="94">
        <f t="shared" si="11"/>
        <v>0</v>
      </c>
      <c r="P90" s="47"/>
      <c r="Q90" s="47"/>
      <c r="R90" s="95" t="str">
        <f t="shared" si="10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9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 t="shared" si="11"/>
        <v>0</v>
      </c>
      <c r="P91" s="47"/>
      <c r="Q91" s="47"/>
      <c r="R91" s="95" t="str">
        <f t="shared" si="10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 t="shared" si="11"/>
        <v>0</v>
      </c>
      <c r="P92" s="47"/>
      <c r="Q92" s="47"/>
      <c r="R92" s="95" t="str">
        <f t="shared" si="10"/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 t="shared" si="11"/>
        <v>0</v>
      </c>
      <c r="P93" s="47"/>
      <c r="Q93" s="47"/>
      <c r="R93" s="95" t="str">
        <f t="shared" si="10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9"/>
        <v>83</v>
      </c>
      <c r="B94" s="47"/>
      <c r="C94" s="5" t="s">
        <v>184</v>
      </c>
      <c r="D94" s="5" t="s">
        <v>185</v>
      </c>
      <c r="E94" s="6" t="s">
        <v>186</v>
      </c>
      <c r="F94" s="111" t="s">
        <v>513</v>
      </c>
      <c r="G94" s="12" t="s">
        <v>468</v>
      </c>
      <c r="H94" s="49"/>
      <c r="I94" s="47"/>
      <c r="J94" s="47"/>
      <c r="K94" s="47"/>
      <c r="L94" s="47"/>
      <c r="M94" s="47"/>
      <c r="N94" s="47"/>
      <c r="O94" s="94">
        <f t="shared" si="11"/>
        <v>0</v>
      </c>
      <c r="P94" s="47"/>
      <c r="Q94" s="47"/>
      <c r="R94" s="95" t="str">
        <f t="shared" si="10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9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 t="shared" si="11"/>
        <v>0</v>
      </c>
      <c r="P95" s="47"/>
      <c r="Q95" s="47"/>
      <c r="R95" s="95" t="str">
        <f t="shared" si="10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 t="shared" si="11"/>
        <v>0</v>
      </c>
      <c r="P96" s="47"/>
      <c r="Q96" s="47"/>
      <c r="R96" s="95" t="str">
        <f t="shared" si="10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193</v>
      </c>
      <c r="D97" s="5" t="s">
        <v>194</v>
      </c>
      <c r="E97" s="6" t="s">
        <v>195</v>
      </c>
      <c r="F97" s="111" t="s">
        <v>725</v>
      </c>
      <c r="G97" s="107" t="s">
        <v>517</v>
      </c>
      <c r="H97" s="49"/>
      <c r="I97" s="47"/>
      <c r="J97" s="47"/>
      <c r="K97" s="47"/>
      <c r="L97" s="47"/>
      <c r="M97" s="47"/>
      <c r="N97" s="47"/>
      <c r="O97" s="94">
        <f t="shared" si="11"/>
        <v>0</v>
      </c>
      <c r="P97" s="47"/>
      <c r="Q97" s="47"/>
      <c r="R97" s="95" t="str">
        <f t="shared" si="10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/>
      <c r="C98" s="7" t="s">
        <v>196</v>
      </c>
      <c r="D98" s="7" t="s">
        <v>64</v>
      </c>
      <c r="E98" s="8" t="s">
        <v>197</v>
      </c>
      <c r="F98" s="55">
        <v>4084722020</v>
      </c>
      <c r="G98" s="107" t="s">
        <v>518</v>
      </c>
      <c r="H98" s="49"/>
      <c r="I98" s="47"/>
      <c r="J98" s="47"/>
      <c r="K98" s="47"/>
      <c r="L98" s="47"/>
      <c r="M98" s="47"/>
      <c r="N98" s="47"/>
      <c r="O98" s="94">
        <f t="shared" si="11"/>
        <v>0</v>
      </c>
      <c r="P98" s="47"/>
      <c r="Q98" s="47"/>
      <c r="R98" s="95" t="str">
        <f t="shared" si="10"/>
        <v/>
      </c>
      <c r="S98" s="95" t="str">
        <f t="shared" si="12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9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 t="shared" si="11"/>
        <v>0</v>
      </c>
      <c r="P99" s="47"/>
      <c r="Q99" s="47"/>
      <c r="R99" s="95" t="str">
        <f t="shared" si="10"/>
        <v/>
      </c>
      <c r="S99" s="95" t="str">
        <f t="shared" si="12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 t="shared" si="11"/>
        <v>0</v>
      </c>
      <c r="P100" s="47"/>
      <c r="Q100" s="47"/>
      <c r="R100" s="95" t="str">
        <f t="shared" si="10"/>
        <v/>
      </c>
      <c r="S100" s="95" t="str">
        <f t="shared" si="12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7" t="s">
        <v>521</v>
      </c>
      <c r="H101" s="49"/>
      <c r="I101" s="47"/>
      <c r="J101" s="47"/>
      <c r="K101" s="47"/>
      <c r="L101" s="47"/>
      <c r="M101" s="47"/>
      <c r="N101" s="47"/>
      <c r="O101" s="94">
        <f t="shared" si="11"/>
        <v>0</v>
      </c>
      <c r="P101" s="47"/>
      <c r="Q101" s="47"/>
      <c r="R101" s="95" t="str">
        <f t="shared" si="10"/>
        <v/>
      </c>
      <c r="S101" s="95" t="str">
        <f t="shared" si="12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 t="shared" si="11"/>
        <v>0</v>
      </c>
      <c r="P102" s="47"/>
      <c r="Q102" s="47"/>
      <c r="R102" s="95" t="str">
        <f t="shared" si="10"/>
        <v/>
      </c>
      <c r="S102" s="95" t="str">
        <f t="shared" si="12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 t="shared" si="11"/>
        <v>0</v>
      </c>
      <c r="P103" s="47"/>
      <c r="Q103" s="47"/>
      <c r="R103" s="95" t="str">
        <f t="shared" si="10"/>
        <v/>
      </c>
      <c r="S103" s="95" t="str">
        <f t="shared" si="12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15" t="s">
        <v>664</v>
      </c>
      <c r="D104" s="15" t="s">
        <v>39</v>
      </c>
      <c r="E104" s="10" t="s">
        <v>665</v>
      </c>
      <c r="F104" s="111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 t="shared" si="11"/>
        <v>0</v>
      </c>
      <c r="P104" s="47"/>
      <c r="Q104" s="47"/>
      <c r="R104" s="95" t="str">
        <f t="shared" si="10"/>
        <v/>
      </c>
      <c r="S104" s="95" t="str">
        <f t="shared" si="12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 t="shared" si="11"/>
        <v>0</v>
      </c>
      <c r="P105" s="47"/>
      <c r="Q105" s="47"/>
      <c r="R105" s="95" t="str">
        <f t="shared" si="10"/>
        <v/>
      </c>
      <c r="S105" s="95" t="str">
        <f t="shared" si="12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9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 t="shared" si="11"/>
        <v>0</v>
      </c>
      <c r="P106" s="47"/>
      <c r="Q106" s="47"/>
      <c r="R106" s="95" t="str">
        <f t="shared" si="10"/>
        <v/>
      </c>
      <c r="S106" s="95" t="str">
        <f t="shared" si="12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1"/>
        <v>0</v>
      </c>
      <c r="P107" s="47"/>
      <c r="Q107" s="47"/>
      <c r="R107" s="95" t="str">
        <f t="shared" si="10"/>
        <v/>
      </c>
      <c r="S107" s="95" t="str">
        <f t="shared" si="12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7" t="s">
        <v>525</v>
      </c>
      <c r="H108" s="49"/>
      <c r="I108" s="47"/>
      <c r="J108" s="47"/>
      <c r="K108" s="47"/>
      <c r="L108" s="47"/>
      <c r="M108" s="47"/>
      <c r="N108" s="47"/>
      <c r="O108" s="94">
        <f t="shared" si="11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si="12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/>
      <c r="C109" s="5" t="s">
        <v>228</v>
      </c>
      <c r="D109" s="5" t="s">
        <v>229</v>
      </c>
      <c r="E109" s="6" t="s">
        <v>230</v>
      </c>
      <c r="F109" s="61"/>
      <c r="G109" s="12" t="s">
        <v>526</v>
      </c>
      <c r="H109" s="49"/>
      <c r="I109" s="47"/>
      <c r="J109" s="47"/>
      <c r="K109" s="47"/>
      <c r="L109" s="47"/>
      <c r="M109" s="47"/>
      <c r="N109" s="47"/>
      <c r="O109" s="94">
        <f t="shared" si="11"/>
        <v>0</v>
      </c>
      <c r="P109" s="47"/>
      <c r="Q109" s="47"/>
      <c r="R109" s="95" t="str">
        <f t="shared" si="13"/>
        <v/>
      </c>
      <c r="S109" s="95" t="str">
        <f t="shared" si="12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9"/>
        <v>99</v>
      </c>
      <c r="B110" s="47"/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/>
      <c r="I110" s="47"/>
      <c r="J110" s="47"/>
      <c r="K110" s="47"/>
      <c r="L110" s="47"/>
      <c r="M110" s="47"/>
      <c r="N110" s="47"/>
      <c r="O110" s="94">
        <f t="shared" ref="O110:O141" si="14">T110*N110</f>
        <v>0</v>
      </c>
      <c r="P110" s="47"/>
      <c r="Q110" s="47"/>
      <c r="R110" s="95" t="str">
        <f t="shared" si="13"/>
        <v/>
      </c>
      <c r="S110" s="95" t="str">
        <f t="shared" ref="S110:S141" si="15">IF(OR(P110="$",N110=1),+T110,"")</f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9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3"/>
        <v/>
      </c>
      <c r="S111" s="95" t="str">
        <f t="shared" si="15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/>
      <c r="C112" s="15" t="s">
        <v>666</v>
      </c>
      <c r="D112" s="15" t="s">
        <v>667</v>
      </c>
      <c r="E112" s="10" t="s">
        <v>668</v>
      </c>
      <c r="F112" s="111">
        <v>8315959920</v>
      </c>
      <c r="G112" s="109" t="s">
        <v>726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3"/>
        <v/>
      </c>
      <c r="S112" s="95" t="str">
        <f t="shared" si="15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9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 t="shared" si="14"/>
        <v>0</v>
      </c>
      <c r="P113" s="47"/>
      <c r="Q113" s="47"/>
      <c r="R113" s="95" t="str">
        <f t="shared" si="13"/>
        <v/>
      </c>
      <c r="S113" s="95" t="str">
        <f t="shared" si="15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9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 t="shared" si="14"/>
        <v>0</v>
      </c>
      <c r="P114" s="47"/>
      <c r="Q114" s="47"/>
      <c r="R114" s="95" t="str">
        <f t="shared" si="13"/>
        <v/>
      </c>
      <c r="S114" s="95" t="str">
        <f t="shared" si="15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9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4"/>
        <v>0</v>
      </c>
      <c r="P115" s="47"/>
      <c r="Q115" s="47"/>
      <c r="R115" s="95" t="str">
        <f t="shared" si="13"/>
        <v/>
      </c>
      <c r="S115" s="95" t="str">
        <f t="shared" si="15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9"/>
        <v>105</v>
      </c>
      <c r="B116" s="47"/>
      <c r="C116" s="15" t="s">
        <v>669</v>
      </c>
      <c r="D116" s="15" t="s">
        <v>159</v>
      </c>
      <c r="E116" s="10" t="s">
        <v>670</v>
      </c>
      <c r="F116" s="111">
        <v>5104930824</v>
      </c>
      <c r="G116" s="109" t="s">
        <v>671</v>
      </c>
      <c r="H116" s="49"/>
      <c r="I116" s="47"/>
      <c r="J116" s="47"/>
      <c r="K116" s="47"/>
      <c r="L116" s="47"/>
      <c r="M116" s="47"/>
      <c r="N116" s="47"/>
      <c r="O116" s="94">
        <f t="shared" si="14"/>
        <v>0</v>
      </c>
      <c r="P116" s="47"/>
      <c r="Q116" s="47"/>
      <c r="R116" s="95" t="str">
        <f t="shared" si="13"/>
        <v/>
      </c>
      <c r="S116" s="95" t="str">
        <f t="shared" si="15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9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 t="shared" si="14"/>
        <v>0</v>
      </c>
      <c r="P117" s="47"/>
      <c r="Q117" s="47"/>
      <c r="R117" s="95" t="str">
        <f t="shared" si="13"/>
        <v/>
      </c>
      <c r="S117" s="95" t="str">
        <f t="shared" si="15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9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 t="shared" si="14"/>
        <v>0</v>
      </c>
      <c r="P118" s="47"/>
      <c r="Q118" s="47"/>
      <c r="R118" s="95" t="str">
        <f t="shared" si="13"/>
        <v/>
      </c>
      <c r="S118" s="95" t="str">
        <f t="shared" si="15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/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/>
      <c r="I119" s="47"/>
      <c r="J119" s="47"/>
      <c r="K119" s="47"/>
      <c r="L119" s="47"/>
      <c r="M119" s="47"/>
      <c r="N119" s="47"/>
      <c r="O119" s="94">
        <f t="shared" si="14"/>
        <v>0</v>
      </c>
      <c r="P119" s="47"/>
      <c r="Q119" s="47"/>
      <c r="R119" s="95" t="str">
        <f t="shared" si="13"/>
        <v/>
      </c>
      <c r="S119" s="95" t="str">
        <f t="shared" si="15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9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 t="shared" si="14"/>
        <v>0</v>
      </c>
      <c r="P120" s="47"/>
      <c r="Q120" s="47"/>
      <c r="R120" s="95" t="str">
        <f t="shared" si="13"/>
        <v/>
      </c>
      <c r="S120" s="95" t="str">
        <f t="shared" si="15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5" t="s">
        <v>254</v>
      </c>
      <c r="D121" s="5" t="s">
        <v>255</v>
      </c>
      <c r="E121" s="6" t="s">
        <v>256</v>
      </c>
      <c r="F121" s="112" t="s">
        <v>535</v>
      </c>
      <c r="G121" s="107" t="s">
        <v>536</v>
      </c>
      <c r="H121" s="49"/>
      <c r="I121" s="47"/>
      <c r="J121" s="47"/>
      <c r="K121" s="47"/>
      <c r="L121" s="47"/>
      <c r="M121" s="47"/>
      <c r="N121" s="47"/>
      <c r="O121" s="94">
        <f t="shared" si="14"/>
        <v>0</v>
      </c>
      <c r="P121" s="47"/>
      <c r="Q121" s="47"/>
      <c r="R121" s="95" t="str">
        <f t="shared" si="13"/>
        <v/>
      </c>
      <c r="S121" s="95" t="str">
        <f t="shared" si="15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257</v>
      </c>
      <c r="D122" s="13" t="s">
        <v>255</v>
      </c>
      <c r="E122" s="6" t="s">
        <v>258</v>
      </c>
      <c r="F122" s="111" t="s">
        <v>535</v>
      </c>
      <c r="G122" s="107" t="s">
        <v>537</v>
      </c>
      <c r="H122" s="49"/>
      <c r="I122" s="47"/>
      <c r="J122" s="47"/>
      <c r="K122" s="47"/>
      <c r="L122" s="47"/>
      <c r="M122" s="47"/>
      <c r="N122" s="47"/>
      <c r="O122" s="94">
        <f t="shared" si="14"/>
        <v>0</v>
      </c>
      <c r="P122" s="47"/>
      <c r="Q122" s="47"/>
      <c r="R122" s="95" t="str">
        <f t="shared" si="13"/>
        <v/>
      </c>
      <c r="S122" s="95" t="str">
        <f t="shared" si="15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/>
      <c r="C123" s="5" t="s">
        <v>727</v>
      </c>
      <c r="D123" s="13" t="s">
        <v>45</v>
      </c>
      <c r="E123" s="6" t="s">
        <v>728</v>
      </c>
      <c r="F123" s="111">
        <v>7072279891</v>
      </c>
      <c r="G123" s="107" t="s">
        <v>729</v>
      </c>
      <c r="H123" s="49"/>
      <c r="I123" s="47"/>
      <c r="J123" s="47"/>
      <c r="K123" s="47"/>
      <c r="L123" s="47"/>
      <c r="M123" s="47"/>
      <c r="N123" s="47"/>
      <c r="O123" s="94">
        <f t="shared" si="14"/>
        <v>0</v>
      </c>
      <c r="P123" s="47"/>
      <c r="Q123" s="47"/>
      <c r="R123" s="95" t="str">
        <f t="shared" si="13"/>
        <v/>
      </c>
      <c r="S123" s="95" t="str">
        <f t="shared" si="15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9"/>
        <v>113</v>
      </c>
      <c r="B124" s="47"/>
      <c r="C124" s="5" t="s">
        <v>261</v>
      </c>
      <c r="D124" s="5" t="s">
        <v>262</v>
      </c>
      <c r="E124" s="6" t="s">
        <v>263</v>
      </c>
      <c r="F124" s="111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 t="shared" si="14"/>
        <v>0</v>
      </c>
      <c r="P124" s="47"/>
      <c r="Q124" s="47"/>
      <c r="R124" s="95" t="str">
        <f t="shared" si="13"/>
        <v/>
      </c>
      <c r="S124" s="95" t="str">
        <f t="shared" si="15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 t="shared" si="14"/>
        <v>0</v>
      </c>
      <c r="P125" s="47"/>
      <c r="Q125" s="47"/>
      <c r="R125" s="95" t="str">
        <f t="shared" si="13"/>
        <v/>
      </c>
      <c r="S125" s="95" t="str">
        <f t="shared" si="15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 t="shared" si="14"/>
        <v>0</v>
      </c>
      <c r="P126" s="47"/>
      <c r="Q126" s="47"/>
      <c r="R126" s="95" t="str">
        <f t="shared" si="13"/>
        <v/>
      </c>
      <c r="S126" s="95" t="str">
        <f t="shared" si="15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/>
      <c r="C127" s="15" t="s">
        <v>672</v>
      </c>
      <c r="D127" s="15" t="s">
        <v>350</v>
      </c>
      <c r="E127" s="10" t="s">
        <v>673</v>
      </c>
      <c r="F127" s="111">
        <v>7078892101</v>
      </c>
      <c r="G127" s="15"/>
      <c r="H127" s="49"/>
      <c r="I127" s="47"/>
      <c r="J127" s="47"/>
      <c r="K127" s="47"/>
      <c r="L127" s="47"/>
      <c r="M127" s="47"/>
      <c r="N127" s="47"/>
      <c r="O127" s="94">
        <f t="shared" si="14"/>
        <v>0</v>
      </c>
      <c r="P127" s="47"/>
      <c r="Q127" s="47"/>
      <c r="R127" s="95" t="str">
        <f t="shared" si="13"/>
        <v/>
      </c>
      <c r="S127" s="95" t="str">
        <f t="shared" si="15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9"/>
        <v>117</v>
      </c>
      <c r="B128" s="47"/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/>
      <c r="I128" s="47"/>
      <c r="J128" s="47"/>
      <c r="K128" s="47"/>
      <c r="L128" s="47"/>
      <c r="M128" s="47"/>
      <c r="N128" s="47"/>
      <c r="O128" s="94">
        <f t="shared" si="14"/>
        <v>0</v>
      </c>
      <c r="P128" s="47"/>
      <c r="Q128" s="47"/>
      <c r="R128" s="95" t="str">
        <f t="shared" si="13"/>
        <v/>
      </c>
      <c r="S128" s="95" t="str">
        <f t="shared" si="15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9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 t="shared" si="14"/>
        <v>0</v>
      </c>
      <c r="P129" s="47"/>
      <c r="Q129" s="47"/>
      <c r="R129" s="95" t="str">
        <f t="shared" si="13"/>
        <v/>
      </c>
      <c r="S129" s="95" t="str">
        <f t="shared" si="15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 t="shared" si="14"/>
        <v>0</v>
      </c>
      <c r="P130" s="47"/>
      <c r="Q130" s="47"/>
      <c r="R130" s="95" t="str">
        <f t="shared" si="13"/>
        <v/>
      </c>
      <c r="S130" s="95" t="str">
        <f t="shared" si="15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/>
      <c r="C131" s="7" t="s">
        <v>730</v>
      </c>
      <c r="D131" s="7"/>
      <c r="E131" s="8" t="s">
        <v>731</v>
      </c>
      <c r="F131" s="55"/>
      <c r="G131" s="107" t="s">
        <v>732</v>
      </c>
      <c r="H131" s="49"/>
      <c r="I131" s="47"/>
      <c r="J131" s="47"/>
      <c r="K131" s="47"/>
      <c r="L131" s="47"/>
      <c r="M131" s="47"/>
      <c r="N131" s="47"/>
      <c r="O131" s="94">
        <f t="shared" si="14"/>
        <v>0</v>
      </c>
      <c r="P131" s="47"/>
      <c r="Q131" s="47"/>
      <c r="R131" s="95" t="str">
        <f t="shared" si="13"/>
        <v/>
      </c>
      <c r="S131" s="95" t="str">
        <f t="shared" si="15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9"/>
        <v>121</v>
      </c>
      <c r="B132" s="47"/>
      <c r="C132" s="15" t="s">
        <v>674</v>
      </c>
      <c r="D132" s="15" t="s">
        <v>159</v>
      </c>
      <c r="E132" s="10" t="s">
        <v>675</v>
      </c>
      <c r="F132" s="111"/>
      <c r="G132" s="109" t="s">
        <v>676</v>
      </c>
      <c r="H132" s="49"/>
      <c r="I132" s="47"/>
      <c r="J132" s="47"/>
      <c r="K132" s="47"/>
      <c r="L132" s="47"/>
      <c r="M132" s="47"/>
      <c r="N132" s="47"/>
      <c r="O132" s="94">
        <f t="shared" si="14"/>
        <v>0</v>
      </c>
      <c r="P132" s="47"/>
      <c r="Q132" s="47"/>
      <c r="R132" s="95" t="str">
        <f t="shared" si="13"/>
        <v/>
      </c>
      <c r="S132" s="95" t="str">
        <f t="shared" si="15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9"/>
        <v>122</v>
      </c>
      <c r="B133" s="47"/>
      <c r="C133" s="15" t="s">
        <v>733</v>
      </c>
      <c r="D133" s="15" t="s">
        <v>232</v>
      </c>
      <c r="E133" s="10" t="s">
        <v>734</v>
      </c>
      <c r="F133" s="111">
        <v>9254081849</v>
      </c>
      <c r="G133" s="109" t="s">
        <v>735</v>
      </c>
      <c r="H133" s="49"/>
      <c r="I133" s="47"/>
      <c r="J133" s="47"/>
      <c r="K133" s="47"/>
      <c r="L133" s="47"/>
      <c r="M133" s="47"/>
      <c r="N133" s="47"/>
      <c r="O133" s="94">
        <f t="shared" si="14"/>
        <v>0</v>
      </c>
      <c r="P133" s="47"/>
      <c r="Q133" s="47"/>
      <c r="R133" s="95" t="str">
        <f t="shared" si="13"/>
        <v/>
      </c>
      <c r="S133" s="95" t="str">
        <f t="shared" si="15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9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 t="shared" si="14"/>
        <v>0</v>
      </c>
      <c r="P134" s="47"/>
      <c r="Q134" s="47"/>
      <c r="R134" s="95" t="str">
        <f t="shared" si="13"/>
        <v/>
      </c>
      <c r="S134" s="95" t="str">
        <f t="shared" si="15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5" t="s">
        <v>281</v>
      </c>
      <c r="D135" s="5" t="s">
        <v>282</v>
      </c>
      <c r="E135" s="6"/>
      <c r="F135" s="61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 t="shared" si="14"/>
        <v>0</v>
      </c>
      <c r="P135" s="47"/>
      <c r="Q135" s="47"/>
      <c r="R135" s="95" t="str">
        <f t="shared" si="13"/>
        <v/>
      </c>
      <c r="S135" s="95" t="str">
        <f t="shared" si="15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/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/>
      <c r="I136" s="47"/>
      <c r="J136" s="47"/>
      <c r="K136" s="47"/>
      <c r="L136" s="47"/>
      <c r="M136" s="47"/>
      <c r="N136" s="47"/>
      <c r="O136" s="94">
        <f t="shared" si="14"/>
        <v>0</v>
      </c>
      <c r="P136" s="47"/>
      <c r="Q136" s="47"/>
      <c r="R136" s="95" t="str">
        <f t="shared" si="13"/>
        <v/>
      </c>
      <c r="S136" s="95" t="str">
        <f t="shared" si="15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9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 t="shared" si="14"/>
        <v>0</v>
      </c>
      <c r="P137" s="47"/>
      <c r="Q137" s="47"/>
      <c r="R137" s="95" t="str">
        <f t="shared" si="13"/>
        <v/>
      </c>
      <c r="S137" s="95" t="str">
        <f t="shared" si="15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 t="shared" si="14"/>
        <v>0</v>
      </c>
      <c r="P138" s="47"/>
      <c r="Q138" s="47"/>
      <c r="R138" s="95" t="str">
        <f t="shared" si="13"/>
        <v/>
      </c>
      <c r="S138" s="95" t="str">
        <f t="shared" si="15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15" t="s">
        <v>677</v>
      </c>
      <c r="D139" s="15" t="s">
        <v>678</v>
      </c>
      <c r="E139" s="10" t="s">
        <v>662</v>
      </c>
      <c r="F139" s="111"/>
      <c r="G139" s="107" t="s">
        <v>679</v>
      </c>
      <c r="H139" s="49"/>
      <c r="I139" s="47"/>
      <c r="J139" s="47"/>
      <c r="K139" s="47"/>
      <c r="L139" s="47"/>
      <c r="M139" s="47"/>
      <c r="N139" s="47"/>
      <c r="O139" s="94">
        <f t="shared" si="14"/>
        <v>0</v>
      </c>
      <c r="P139" s="47"/>
      <c r="Q139" s="47"/>
      <c r="R139" s="95" t="str">
        <f t="shared" si="13"/>
        <v/>
      </c>
      <c r="S139" s="95" t="str">
        <f t="shared" si="15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6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 t="shared" si="14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si="15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6"/>
        <v>130</v>
      </c>
      <c r="B141" s="47"/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/>
      <c r="I141" s="47"/>
      <c r="J141" s="47"/>
      <c r="K141" s="47"/>
      <c r="L141" s="47"/>
      <c r="M141" s="47"/>
      <c r="N141" s="47"/>
      <c r="O141" s="94">
        <f t="shared" si="14"/>
        <v>0</v>
      </c>
      <c r="P141" s="47"/>
      <c r="Q141" s="47"/>
      <c r="R141" s="95" t="str">
        <f t="shared" si="17"/>
        <v/>
      </c>
      <c r="S141" s="95" t="str">
        <f t="shared" si="15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6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 t="shared" ref="O142:O173" si="18">T142*N142</f>
        <v>0</v>
      </c>
      <c r="P142" s="47"/>
      <c r="Q142" s="47"/>
      <c r="R142" s="95" t="str">
        <f t="shared" si="17"/>
        <v/>
      </c>
      <c r="S142" s="95" t="str">
        <f t="shared" ref="S142:S173" si="19"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6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 t="shared" si="18"/>
        <v>0</v>
      </c>
      <c r="P143" s="47"/>
      <c r="Q143" s="47"/>
      <c r="R143" s="95" t="str">
        <f t="shared" si="17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6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8"/>
        <v>0</v>
      </c>
      <c r="P144" s="47"/>
      <c r="Q144" s="47"/>
      <c r="R144" s="95" t="str">
        <f t="shared" si="17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6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 t="shared" si="18"/>
        <v>0</v>
      </c>
      <c r="P145" s="47"/>
      <c r="Q145" s="47"/>
      <c r="R145" s="95" t="str">
        <f t="shared" si="17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6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 t="shared" si="18"/>
        <v>0</v>
      </c>
      <c r="P146" s="47"/>
      <c r="Q146" s="47"/>
      <c r="R146" s="95" t="str">
        <f t="shared" si="17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6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 t="shared" si="18"/>
        <v>0</v>
      </c>
      <c r="P147" s="47"/>
      <c r="Q147" s="47"/>
      <c r="R147" s="95" t="str">
        <f t="shared" si="17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6"/>
        <v>137</v>
      </c>
      <c r="B148" s="47"/>
      <c r="C148" s="5" t="s">
        <v>309</v>
      </c>
      <c r="D148" s="5" t="s">
        <v>72</v>
      </c>
      <c r="E148" s="6" t="s">
        <v>310</v>
      </c>
      <c r="F148" s="61">
        <v>7074845031</v>
      </c>
      <c r="G148" s="12" t="s">
        <v>560</v>
      </c>
      <c r="H148" s="49"/>
      <c r="I148" s="47"/>
      <c r="J148" s="47"/>
      <c r="K148" s="47"/>
      <c r="L148" s="47"/>
      <c r="M148" s="47"/>
      <c r="N148" s="47"/>
      <c r="O148" s="94">
        <f t="shared" si="18"/>
        <v>0</v>
      </c>
      <c r="P148" s="47"/>
      <c r="Q148" s="47"/>
      <c r="R148" s="95" t="str">
        <f t="shared" si="17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6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 t="shared" si="18"/>
        <v>0</v>
      </c>
      <c r="P149" s="47"/>
      <c r="Q149" s="47"/>
      <c r="R149" s="95" t="str">
        <f t="shared" si="17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6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8"/>
        <v>0</v>
      </c>
      <c r="P150" s="47"/>
      <c r="Q150" s="47"/>
      <c r="R150" s="95" t="str">
        <f t="shared" si="17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6"/>
        <v>140</v>
      </c>
      <c r="B151" s="47"/>
      <c r="C151" s="15" t="s">
        <v>680</v>
      </c>
      <c r="D151" s="15" t="s">
        <v>91</v>
      </c>
      <c r="E151" s="10" t="s">
        <v>681</v>
      </c>
      <c r="F151" s="111"/>
      <c r="G151" s="15"/>
      <c r="H151" s="49"/>
      <c r="I151" s="47"/>
      <c r="J151" s="47"/>
      <c r="K151" s="47"/>
      <c r="L151" s="47"/>
      <c r="M151" s="47"/>
      <c r="N151" s="47"/>
      <c r="O151" s="94">
        <f t="shared" si="18"/>
        <v>0</v>
      </c>
      <c r="P151" s="47"/>
      <c r="Q151" s="47"/>
      <c r="R151" s="95" t="str">
        <f t="shared" si="17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6"/>
        <v>141</v>
      </c>
      <c r="B152" s="47"/>
      <c r="C152" s="7" t="s">
        <v>316</v>
      </c>
      <c r="D152" s="7" t="s">
        <v>45</v>
      </c>
      <c r="E152" s="8" t="s">
        <v>317</v>
      </c>
      <c r="F152" s="55">
        <v>5105046905</v>
      </c>
      <c r="G152" s="107" t="s">
        <v>562</v>
      </c>
      <c r="H152" s="49"/>
      <c r="I152" s="47"/>
      <c r="J152" s="47"/>
      <c r="K152" s="47"/>
      <c r="L152" s="47"/>
      <c r="M152" s="47"/>
      <c r="N152" s="47"/>
      <c r="O152" s="94">
        <f t="shared" si="18"/>
        <v>0</v>
      </c>
      <c r="P152" s="47"/>
      <c r="Q152" s="47"/>
      <c r="R152" s="95" t="str">
        <f t="shared" si="17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6"/>
        <v>142</v>
      </c>
      <c r="B153" s="47"/>
      <c r="C153" s="5" t="s">
        <v>318</v>
      </c>
      <c r="D153" s="5" t="s">
        <v>148</v>
      </c>
      <c r="E153" s="6" t="s">
        <v>319</v>
      </c>
      <c r="F153" s="111" t="s">
        <v>563</v>
      </c>
      <c r="G153" s="12" t="s">
        <v>564</v>
      </c>
      <c r="H153" s="49"/>
      <c r="I153" s="47"/>
      <c r="J153" s="47"/>
      <c r="K153" s="47"/>
      <c r="L153" s="47"/>
      <c r="M153" s="47"/>
      <c r="N153" s="47"/>
      <c r="O153" s="94">
        <f t="shared" si="18"/>
        <v>0</v>
      </c>
      <c r="P153" s="47"/>
      <c r="Q153" s="47"/>
      <c r="R153" s="95" t="str">
        <f t="shared" si="17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6"/>
        <v>143</v>
      </c>
      <c r="B154" s="47"/>
      <c r="C154" s="5" t="s">
        <v>736</v>
      </c>
      <c r="D154" s="5" t="s">
        <v>211</v>
      </c>
      <c r="E154" s="6" t="s">
        <v>737</v>
      </c>
      <c r="F154" s="111">
        <v>4086670073</v>
      </c>
      <c r="G154" s="113" t="s">
        <v>738</v>
      </c>
      <c r="H154" s="49"/>
      <c r="I154" s="47"/>
      <c r="J154" s="47"/>
      <c r="K154" s="47"/>
      <c r="L154" s="47"/>
      <c r="M154" s="47"/>
      <c r="N154" s="47"/>
      <c r="O154" s="94">
        <f t="shared" si="18"/>
        <v>0</v>
      </c>
      <c r="P154" s="47"/>
      <c r="Q154" s="47"/>
      <c r="R154" s="95" t="str">
        <f t="shared" si="17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6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 t="shared" si="18"/>
        <v>0</v>
      </c>
      <c r="P155" s="47"/>
      <c r="Q155" s="47"/>
      <c r="R155" s="95" t="str">
        <f t="shared" si="17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6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 t="shared" si="18"/>
        <v>0</v>
      </c>
      <c r="P156" s="47"/>
      <c r="Q156" s="47"/>
      <c r="R156" s="95" t="str">
        <f t="shared" si="17"/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6"/>
        <v>146</v>
      </c>
      <c r="B157" s="47"/>
      <c r="C157" s="7" t="s">
        <v>739</v>
      </c>
      <c r="D157" s="7" t="s">
        <v>45</v>
      </c>
      <c r="E157" s="8" t="s">
        <v>740</v>
      </c>
      <c r="F157" s="58">
        <v>7072944291</v>
      </c>
      <c r="G157" s="107" t="s">
        <v>741</v>
      </c>
      <c r="H157" s="49"/>
      <c r="I157" s="47"/>
      <c r="J157" s="47"/>
      <c r="K157" s="47"/>
      <c r="L157" s="47"/>
      <c r="M157" s="47"/>
      <c r="N157" s="47"/>
      <c r="O157" s="94">
        <f t="shared" si="18"/>
        <v>0</v>
      </c>
      <c r="P157" s="47"/>
      <c r="Q157" s="47"/>
      <c r="R157" s="95" t="str">
        <f t="shared" si="17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6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 t="shared" si="18"/>
        <v>0</v>
      </c>
      <c r="P158" s="47"/>
      <c r="Q158" s="47"/>
      <c r="R158" s="95" t="str">
        <f t="shared" si="17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6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7" t="s">
        <v>568</v>
      </c>
      <c r="H159" s="49"/>
      <c r="I159" s="47"/>
      <c r="J159" s="47"/>
      <c r="K159" s="47"/>
      <c r="L159" s="47"/>
      <c r="M159" s="47"/>
      <c r="N159" s="47"/>
      <c r="O159" s="94">
        <f t="shared" si="18"/>
        <v>0</v>
      </c>
      <c r="P159" s="47"/>
      <c r="Q159" s="47"/>
      <c r="R159" s="95" t="str">
        <f t="shared" si="17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6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 t="shared" si="18"/>
        <v>0</v>
      </c>
      <c r="P160" s="47"/>
      <c r="Q160" s="47"/>
      <c r="R160" s="95" t="str">
        <f t="shared" si="17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6"/>
        <v>150</v>
      </c>
      <c r="B161" s="47"/>
      <c r="C161" s="15" t="s">
        <v>682</v>
      </c>
      <c r="D161" s="15" t="s">
        <v>81</v>
      </c>
      <c r="E161" s="10" t="s">
        <v>683</v>
      </c>
      <c r="F161" s="111"/>
      <c r="G161" s="107" t="s">
        <v>684</v>
      </c>
      <c r="H161" s="49"/>
      <c r="I161" s="47"/>
      <c r="J161" s="47"/>
      <c r="K161" s="47"/>
      <c r="L161" s="47"/>
      <c r="M161" s="47"/>
      <c r="N161" s="47"/>
      <c r="O161" s="94">
        <f t="shared" si="18"/>
        <v>0</v>
      </c>
      <c r="P161" s="47"/>
      <c r="Q161" s="47"/>
      <c r="R161" s="95" t="str">
        <f t="shared" si="17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6"/>
        <v>151</v>
      </c>
      <c r="B162" s="47"/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/>
      <c r="I162" s="47"/>
      <c r="J162" s="47"/>
      <c r="K162" s="47"/>
      <c r="L162" s="47"/>
      <c r="M162" s="47"/>
      <c r="N162" s="47"/>
      <c r="O162" s="94">
        <f t="shared" si="18"/>
        <v>0</v>
      </c>
      <c r="P162" s="47"/>
      <c r="Q162" s="47"/>
      <c r="R162" s="95" t="str">
        <f t="shared" si="17"/>
        <v/>
      </c>
      <c r="S162" s="95" t="str">
        <f t="shared" si="19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6"/>
        <v>152</v>
      </c>
      <c r="B163" s="47"/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/>
      <c r="I163" s="47"/>
      <c r="J163" s="47"/>
      <c r="K163" s="47"/>
      <c r="L163" s="47"/>
      <c r="M163" s="47"/>
      <c r="N163" s="47"/>
      <c r="O163" s="94">
        <f t="shared" si="18"/>
        <v>0</v>
      </c>
      <c r="P163" s="47"/>
      <c r="Q163" s="47"/>
      <c r="R163" s="95" t="str">
        <f t="shared" si="17"/>
        <v/>
      </c>
      <c r="S163" s="95" t="str">
        <f t="shared" si="19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ht="15.75" x14ac:dyDescent="0.25">
      <c r="A164" s="46">
        <f t="shared" si="16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 t="shared" si="18"/>
        <v>0</v>
      </c>
      <c r="P164" s="47"/>
      <c r="Q164" s="47"/>
      <c r="R164" s="95" t="str">
        <f t="shared" si="17"/>
        <v/>
      </c>
      <c r="S164" s="95" t="str">
        <f t="shared" si="19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ht="15.75" x14ac:dyDescent="0.25">
      <c r="A165" s="46">
        <f t="shared" si="16"/>
        <v>154</v>
      </c>
      <c r="B165" s="47"/>
      <c r="C165" s="14" t="s">
        <v>742</v>
      </c>
      <c r="D165" s="14" t="s">
        <v>743</v>
      </c>
      <c r="E165" s="6" t="s">
        <v>744</v>
      </c>
      <c r="F165" s="48">
        <v>7752876408</v>
      </c>
      <c r="G165" s="107" t="s">
        <v>745</v>
      </c>
      <c r="H165" s="49"/>
      <c r="I165" s="47"/>
      <c r="J165" s="47"/>
      <c r="K165" s="47"/>
      <c r="L165" s="47"/>
      <c r="M165" s="47"/>
      <c r="N165" s="47"/>
      <c r="O165" s="94">
        <f t="shared" si="18"/>
        <v>0</v>
      </c>
      <c r="P165" s="47"/>
      <c r="Q165" s="47"/>
      <c r="R165" s="95" t="str">
        <f t="shared" si="17"/>
        <v/>
      </c>
      <c r="S165" s="95" t="str">
        <f t="shared" si="19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6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7" t="s">
        <v>573</v>
      </c>
      <c r="H166" s="49"/>
      <c r="I166" s="47"/>
      <c r="J166" s="47"/>
      <c r="K166" s="47"/>
      <c r="L166" s="47"/>
      <c r="M166" s="47"/>
      <c r="N166" s="47"/>
      <c r="O166" s="94">
        <f t="shared" si="18"/>
        <v>0</v>
      </c>
      <c r="P166" s="47"/>
      <c r="Q166" s="47"/>
      <c r="R166" s="95" t="str">
        <f t="shared" si="17"/>
        <v/>
      </c>
      <c r="S166" s="95" t="str">
        <f t="shared" si="19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6"/>
        <v>156</v>
      </c>
      <c r="B167" s="47"/>
      <c r="C167" s="15" t="s">
        <v>685</v>
      </c>
      <c r="D167" s="15" t="s">
        <v>45</v>
      </c>
      <c r="E167" s="10" t="s">
        <v>686</v>
      </c>
      <c r="F167" s="111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 t="shared" si="18"/>
        <v>0</v>
      </c>
      <c r="P167" s="47"/>
      <c r="Q167" s="47"/>
      <c r="R167" s="95" t="str">
        <f t="shared" si="17"/>
        <v/>
      </c>
      <c r="S167" s="95" t="str">
        <f t="shared" si="19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ht="15.75" x14ac:dyDescent="0.25">
      <c r="A168" s="46">
        <f t="shared" si="16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 t="shared" si="18"/>
        <v>0</v>
      </c>
      <c r="P168" s="47"/>
      <c r="Q168" s="47"/>
      <c r="R168" s="95" t="str">
        <f t="shared" si="17"/>
        <v/>
      </c>
      <c r="S168" s="95" t="str">
        <f t="shared" si="19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6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7" t="s">
        <v>575</v>
      </c>
      <c r="H169" s="49"/>
      <c r="I169" s="47"/>
      <c r="J169" s="47"/>
      <c r="K169" s="47"/>
      <c r="L169" s="47"/>
      <c r="M169" s="47"/>
      <c r="N169" s="47"/>
      <c r="O169" s="94">
        <f t="shared" si="18"/>
        <v>0</v>
      </c>
      <c r="P169" s="47"/>
      <c r="Q169" s="47"/>
      <c r="R169" s="95" t="str">
        <f t="shared" si="17"/>
        <v/>
      </c>
      <c r="S169" s="95" t="str">
        <f t="shared" si="19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6"/>
        <v>159</v>
      </c>
      <c r="B170" s="47"/>
      <c r="C170" s="5" t="s">
        <v>349</v>
      </c>
      <c r="D170" s="5" t="s">
        <v>350</v>
      </c>
      <c r="E170" s="6" t="s">
        <v>351</v>
      </c>
      <c r="F170" s="48">
        <v>7076641532</v>
      </c>
      <c r="G170" s="107" t="s">
        <v>576</v>
      </c>
      <c r="H170" s="49"/>
      <c r="I170" s="47"/>
      <c r="J170" s="47"/>
      <c r="K170" s="47"/>
      <c r="L170" s="47"/>
      <c r="M170" s="47"/>
      <c r="N170" s="47"/>
      <c r="O170" s="94">
        <f t="shared" si="18"/>
        <v>0</v>
      </c>
      <c r="P170" s="47"/>
      <c r="Q170" s="47"/>
      <c r="R170" s="95" t="str">
        <f t="shared" si="17"/>
        <v/>
      </c>
      <c r="S170" s="95" t="str">
        <f t="shared" si="19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6"/>
        <v>160</v>
      </c>
      <c r="B171" s="47"/>
      <c r="C171" s="5" t="s">
        <v>352</v>
      </c>
      <c r="D171" s="5" t="s">
        <v>45</v>
      </c>
      <c r="E171" s="6" t="s">
        <v>353</v>
      </c>
      <c r="F171" s="111" t="s">
        <v>577</v>
      </c>
      <c r="G171" s="12" t="s">
        <v>578</v>
      </c>
      <c r="H171" s="49"/>
      <c r="I171" s="47"/>
      <c r="J171" s="47"/>
      <c r="K171" s="47"/>
      <c r="L171" s="47"/>
      <c r="M171" s="47"/>
      <c r="N171" s="47"/>
      <c r="O171" s="94">
        <f t="shared" si="18"/>
        <v>0</v>
      </c>
      <c r="P171" s="47"/>
      <c r="Q171" s="47"/>
      <c r="R171" s="95" t="str">
        <f t="shared" si="17"/>
        <v/>
      </c>
      <c r="S171" s="95" t="str">
        <f t="shared" si="19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16"/>
        <v>161</v>
      </c>
      <c r="B172" s="47"/>
      <c r="C172" s="5" t="s">
        <v>746</v>
      </c>
      <c r="D172" s="5" t="s">
        <v>45</v>
      </c>
      <c r="E172" s="6" t="s">
        <v>747</v>
      </c>
      <c r="F172" s="111">
        <v>7074804517</v>
      </c>
      <c r="G172" s="107" t="s">
        <v>748</v>
      </c>
      <c r="H172" s="49"/>
      <c r="I172" s="47"/>
      <c r="J172" s="47"/>
      <c r="K172" s="47"/>
      <c r="L172" s="47"/>
      <c r="M172" s="47"/>
      <c r="N172" s="47"/>
      <c r="O172" s="94">
        <f t="shared" si="18"/>
        <v>0</v>
      </c>
      <c r="P172" s="47"/>
      <c r="Q172" s="47"/>
      <c r="R172" s="95" t="str">
        <f t="shared" ref="R172:R201" si="20">IF(OR(P172="c",P172="C"),+T172,"")</f>
        <v/>
      </c>
      <c r="S172" s="95" t="str">
        <f t="shared" si="19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16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 t="shared" si="18"/>
        <v>0</v>
      </c>
      <c r="P173" s="47"/>
      <c r="Q173" s="47"/>
      <c r="R173" s="95" t="str">
        <f t="shared" si="20"/>
        <v/>
      </c>
      <c r="S173" s="95" t="str">
        <f t="shared" si="19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6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 t="shared" ref="O174:O205" si="21">T174*N174</f>
        <v>0</v>
      </c>
      <c r="P174" s="47"/>
      <c r="Q174" s="47"/>
      <c r="R174" s="95" t="str">
        <f t="shared" si="20"/>
        <v/>
      </c>
      <c r="S174" s="95" t="str">
        <f t="shared" ref="S174:S205" si="22"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6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0"/>
        <v/>
      </c>
      <c r="S175" s="95" t="str">
        <f t="shared" si="22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6"/>
        <v>165</v>
      </c>
      <c r="B176" s="47"/>
      <c r="C176" s="5" t="s">
        <v>361</v>
      </c>
      <c r="D176" s="5" t="s">
        <v>45</v>
      </c>
      <c r="E176" s="6" t="s">
        <v>362</v>
      </c>
      <c r="F176" s="48">
        <v>5303666465</v>
      </c>
      <c r="G176" s="107" t="s">
        <v>582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0"/>
        <v/>
      </c>
      <c r="S176" s="95" t="str">
        <f t="shared" si="22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16"/>
        <v>166</v>
      </c>
      <c r="B177" s="47"/>
      <c r="C177" s="15" t="s">
        <v>687</v>
      </c>
      <c r="D177" s="15" t="s">
        <v>199</v>
      </c>
      <c r="E177" s="10" t="s">
        <v>662</v>
      </c>
      <c r="F177" s="111"/>
      <c r="G177" s="107" t="s">
        <v>688</v>
      </c>
      <c r="H177" s="49"/>
      <c r="I177" s="47"/>
      <c r="J177" s="47"/>
      <c r="K177" s="47"/>
      <c r="L177" s="47"/>
      <c r="M177" s="47"/>
      <c r="N177" s="47"/>
      <c r="O177" s="94">
        <f t="shared" si="21"/>
        <v>0</v>
      </c>
      <c r="P177" s="47"/>
      <c r="Q177" s="47"/>
      <c r="R177" s="95" t="str">
        <f t="shared" si="20"/>
        <v/>
      </c>
      <c r="S177" s="95" t="str">
        <f t="shared" si="22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6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 t="shared" si="21"/>
        <v>0</v>
      </c>
      <c r="P178" s="47"/>
      <c r="Q178" s="47"/>
      <c r="R178" s="95" t="str">
        <f t="shared" si="20"/>
        <v/>
      </c>
      <c r="S178" s="95" t="str">
        <f t="shared" si="22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6"/>
        <v>168</v>
      </c>
      <c r="B179" s="47"/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/>
      <c r="I179" s="47"/>
      <c r="J179" s="47"/>
      <c r="K179" s="47"/>
      <c r="L179" s="47"/>
      <c r="M179" s="47"/>
      <c r="N179" s="47"/>
      <c r="O179" s="94">
        <f t="shared" si="21"/>
        <v>0</v>
      </c>
      <c r="P179" s="47"/>
      <c r="Q179" s="47"/>
      <c r="R179" s="95" t="str">
        <f t="shared" si="20"/>
        <v/>
      </c>
      <c r="S179" s="95" t="str">
        <f t="shared" si="22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6"/>
        <v>169</v>
      </c>
      <c r="B180" s="47"/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/>
      <c r="I180" s="47"/>
      <c r="J180" s="47"/>
      <c r="K180" s="47"/>
      <c r="L180" s="47"/>
      <c r="M180" s="47"/>
      <c r="N180" s="47"/>
      <c r="O180" s="94">
        <f t="shared" si="21"/>
        <v>0</v>
      </c>
      <c r="P180" s="47"/>
      <c r="Q180" s="47"/>
      <c r="R180" s="95" t="str">
        <f t="shared" si="20"/>
        <v/>
      </c>
      <c r="S180" s="95" t="str">
        <f t="shared" si="22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16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 t="shared" si="21"/>
        <v>0</v>
      </c>
      <c r="P181" s="47"/>
      <c r="Q181" s="47"/>
      <c r="R181" s="95" t="str">
        <f t="shared" si="20"/>
        <v/>
      </c>
      <c r="S181" s="95" t="str">
        <f t="shared" si="22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6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 t="shared" si="21"/>
        <v>0</v>
      </c>
      <c r="P182" s="47"/>
      <c r="Q182" s="47"/>
      <c r="R182" s="95" t="str">
        <f t="shared" si="20"/>
        <v/>
      </c>
      <c r="S182" s="95" t="str">
        <f t="shared" si="22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6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 t="shared" si="21"/>
        <v>0</v>
      </c>
      <c r="P183" s="47"/>
      <c r="Q183" s="47"/>
      <c r="R183" s="95" t="str">
        <f t="shared" si="20"/>
        <v/>
      </c>
      <c r="S183" s="95" t="str">
        <f t="shared" si="22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6"/>
        <v>173</v>
      </c>
      <c r="B184" s="47"/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/>
      <c r="I184" s="47"/>
      <c r="J184" s="47"/>
      <c r="K184" s="47"/>
      <c r="L184" s="47"/>
      <c r="M184" s="47"/>
      <c r="N184" s="47"/>
      <c r="O184" s="94">
        <f t="shared" si="21"/>
        <v>0</v>
      </c>
      <c r="P184" s="47"/>
      <c r="Q184" s="47"/>
      <c r="R184" s="95" t="str">
        <f t="shared" si="20"/>
        <v/>
      </c>
      <c r="S184" s="95" t="str">
        <f t="shared" si="22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6"/>
        <v>174</v>
      </c>
      <c r="B185" s="47"/>
      <c r="C185" s="5" t="s">
        <v>383</v>
      </c>
      <c r="D185" s="5" t="s">
        <v>185</v>
      </c>
      <c r="E185" s="6" t="s">
        <v>384</v>
      </c>
      <c r="F185" s="111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 t="shared" si="21"/>
        <v>0</v>
      </c>
      <c r="P185" s="47"/>
      <c r="Q185" s="47"/>
      <c r="R185" s="95" t="str">
        <f t="shared" si="20"/>
        <v/>
      </c>
      <c r="S185" s="95" t="str">
        <f t="shared" si="22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6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 t="shared" si="21"/>
        <v>0</v>
      </c>
      <c r="P186" s="47"/>
      <c r="Q186" s="47"/>
      <c r="R186" s="95" t="str">
        <f t="shared" si="20"/>
        <v/>
      </c>
      <c r="S186" s="95" t="str">
        <f t="shared" si="22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6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 t="shared" si="21"/>
        <v>0</v>
      </c>
      <c r="P187" s="47"/>
      <c r="Q187" s="47"/>
      <c r="R187" s="95" t="str">
        <f t="shared" si="20"/>
        <v/>
      </c>
      <c r="S187" s="95" t="str">
        <f t="shared" si="22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6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 t="shared" si="21"/>
        <v>0</v>
      </c>
      <c r="P188" s="47"/>
      <c r="Q188" s="47"/>
      <c r="R188" s="95" t="str">
        <f t="shared" si="20"/>
        <v/>
      </c>
      <c r="S188" s="95" t="str">
        <f t="shared" si="22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6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 t="shared" si="21"/>
        <v>0</v>
      </c>
      <c r="P189" s="47"/>
      <c r="Q189" s="47"/>
      <c r="R189" s="95" t="str">
        <f t="shared" si="20"/>
        <v/>
      </c>
      <c r="S189" s="95" t="str">
        <f t="shared" si="22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6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 t="shared" si="21"/>
        <v>0</v>
      </c>
      <c r="P190" s="47"/>
      <c r="Q190" s="47"/>
      <c r="R190" s="95" t="str">
        <f t="shared" si="20"/>
        <v/>
      </c>
      <c r="S190" s="95" t="str">
        <f t="shared" si="22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6"/>
        <v>180</v>
      </c>
      <c r="B191" s="47"/>
      <c r="C191" s="5" t="s">
        <v>396</v>
      </c>
      <c r="D191" s="5" t="s">
        <v>72</v>
      </c>
      <c r="E191" s="6" t="s">
        <v>397</v>
      </c>
      <c r="F191" s="48">
        <v>7075290228</v>
      </c>
      <c r="G191" s="107" t="s">
        <v>597</v>
      </c>
      <c r="H191" s="49"/>
      <c r="I191" s="47"/>
      <c r="J191" s="47"/>
      <c r="K191" s="47"/>
      <c r="L191" s="47"/>
      <c r="M191" s="47"/>
      <c r="N191" s="47"/>
      <c r="O191" s="94">
        <f t="shared" si="21"/>
        <v>0</v>
      </c>
      <c r="P191" s="47"/>
      <c r="Q191" s="47"/>
      <c r="R191" s="95" t="str">
        <f t="shared" si="20"/>
        <v/>
      </c>
      <c r="S191" s="95" t="str">
        <f t="shared" si="22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6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 t="shared" si="21"/>
        <v>0</v>
      </c>
      <c r="P192" s="47"/>
      <c r="Q192" s="47"/>
      <c r="R192" s="95" t="str">
        <f t="shared" si="20"/>
        <v/>
      </c>
      <c r="S192" s="95" t="str">
        <f t="shared" si="22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6"/>
        <v>182</v>
      </c>
      <c r="B193" s="47"/>
      <c r="C193" s="7" t="s">
        <v>749</v>
      </c>
      <c r="D193" s="7" t="s">
        <v>409</v>
      </c>
      <c r="E193" s="8" t="s">
        <v>750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/>
      <c r="O193" s="94">
        <f t="shared" si="21"/>
        <v>0</v>
      </c>
      <c r="P193" s="47"/>
      <c r="Q193" s="47"/>
      <c r="R193" s="95" t="str">
        <f t="shared" si="20"/>
        <v/>
      </c>
      <c r="S193" s="95" t="str">
        <f t="shared" si="22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6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 t="shared" si="21"/>
        <v>0</v>
      </c>
      <c r="P194" s="47"/>
      <c r="Q194" s="47"/>
      <c r="R194" s="95" t="str">
        <f t="shared" si="20"/>
        <v/>
      </c>
      <c r="S194" s="95" t="str">
        <f t="shared" si="22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6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 t="shared" si="21"/>
        <v>0</v>
      </c>
      <c r="P195" s="47"/>
      <c r="Q195" s="47"/>
      <c r="R195" s="95" t="str">
        <f t="shared" si="20"/>
        <v/>
      </c>
      <c r="S195" s="95" t="str">
        <f t="shared" si="22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6"/>
        <v>185</v>
      </c>
      <c r="B196" s="47"/>
      <c r="C196" s="5" t="s">
        <v>406</v>
      </c>
      <c r="D196" s="5" t="s">
        <v>45</v>
      </c>
      <c r="E196" s="6" t="s">
        <v>407</v>
      </c>
      <c r="F196" s="48">
        <v>7078150886</v>
      </c>
      <c r="G196" s="107" t="s">
        <v>600</v>
      </c>
      <c r="H196" s="49"/>
      <c r="I196" s="47"/>
      <c r="J196" s="47"/>
      <c r="K196" s="47"/>
      <c r="L196" s="47"/>
      <c r="M196" s="47"/>
      <c r="N196" s="47"/>
      <c r="O196" s="94">
        <f t="shared" si="21"/>
        <v>0</v>
      </c>
      <c r="P196" s="47"/>
      <c r="Q196" s="47"/>
      <c r="R196" s="95" t="str">
        <f t="shared" si="20"/>
        <v/>
      </c>
      <c r="S196" s="95" t="str">
        <f t="shared" si="22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6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7" t="s">
        <v>601</v>
      </c>
      <c r="H197" s="49"/>
      <c r="I197" s="47"/>
      <c r="J197" s="47"/>
      <c r="K197" s="47"/>
      <c r="L197" s="47"/>
      <c r="M197" s="47"/>
      <c r="N197" s="47"/>
      <c r="O197" s="94">
        <f t="shared" si="21"/>
        <v>0</v>
      </c>
      <c r="P197" s="47"/>
      <c r="Q197" s="47"/>
      <c r="R197" s="95" t="str">
        <f t="shared" si="20"/>
        <v/>
      </c>
      <c r="S197" s="95" t="str">
        <f t="shared" si="22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6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1"/>
        <v>0</v>
      </c>
      <c r="P198" s="47"/>
      <c r="Q198" s="47"/>
      <c r="R198" s="95" t="str">
        <f t="shared" si="20"/>
        <v/>
      </c>
      <c r="S198" s="95" t="str">
        <f t="shared" si="22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6"/>
        <v>188</v>
      </c>
      <c r="B199" s="47"/>
      <c r="C199" s="5" t="s">
        <v>414</v>
      </c>
      <c r="D199" s="5" t="s">
        <v>412</v>
      </c>
      <c r="E199" s="6" t="s">
        <v>415</v>
      </c>
      <c r="F199" s="111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 t="shared" si="21"/>
        <v>0</v>
      </c>
      <c r="P199" s="47"/>
      <c r="Q199" s="47"/>
      <c r="R199" s="95" t="str">
        <f t="shared" si="20"/>
        <v/>
      </c>
      <c r="S199" s="95" t="str">
        <f t="shared" si="22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6"/>
        <v>189</v>
      </c>
      <c r="B200" s="47"/>
      <c r="C200" s="15" t="s">
        <v>689</v>
      </c>
      <c r="D200" s="15" t="s">
        <v>690</v>
      </c>
      <c r="E200" s="10" t="s">
        <v>691</v>
      </c>
      <c r="F200" s="111"/>
      <c r="G200" s="15"/>
      <c r="H200" s="49"/>
      <c r="I200" s="47"/>
      <c r="J200" s="47"/>
      <c r="K200" s="47"/>
      <c r="L200" s="47"/>
      <c r="M200" s="47"/>
      <c r="N200" s="47"/>
      <c r="O200" s="94">
        <f t="shared" si="21"/>
        <v>0</v>
      </c>
      <c r="P200" s="47"/>
      <c r="Q200" s="47"/>
      <c r="R200" s="95" t="str">
        <f t="shared" si="20"/>
        <v/>
      </c>
      <c r="S200" s="95" t="str">
        <f t="shared" si="22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6"/>
        <v>190</v>
      </c>
      <c r="B201" s="47"/>
      <c r="C201" s="15" t="s">
        <v>692</v>
      </c>
      <c r="D201" s="15" t="s">
        <v>159</v>
      </c>
      <c r="E201" s="10" t="s">
        <v>693</v>
      </c>
      <c r="F201" s="111">
        <v>5103661378</v>
      </c>
      <c r="G201" s="107" t="s">
        <v>694</v>
      </c>
      <c r="H201" s="49"/>
      <c r="I201" s="47"/>
      <c r="J201" s="47"/>
      <c r="K201" s="47"/>
      <c r="L201" s="47"/>
      <c r="M201" s="47"/>
      <c r="N201" s="47"/>
      <c r="O201" s="94">
        <f t="shared" si="21"/>
        <v>0</v>
      </c>
      <c r="P201" s="47"/>
      <c r="Q201" s="47"/>
      <c r="R201" s="95" t="str">
        <f t="shared" si="20"/>
        <v/>
      </c>
      <c r="S201" s="95" t="str">
        <f t="shared" si="22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6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3">T202*N202</f>
        <v>0</v>
      </c>
      <c r="P202" s="50"/>
      <c r="Q202" s="50"/>
      <c r="R202" s="95" t="str">
        <f t="shared" ref="R202:R203" si="24">IF(OR(P202="c",P202="C"),+T202,"")</f>
        <v/>
      </c>
      <c r="S202" s="95" t="str">
        <f t="shared" ref="S202:S203" si="25">IF(OR(P202="$",N202=1),+T202,"")</f>
        <v/>
      </c>
      <c r="T202" s="96">
        <f t="shared" ref="T202:T203" si="26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16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3"/>
        <v>0</v>
      </c>
      <c r="P203" s="50"/>
      <c r="Q203" s="50"/>
      <c r="R203" s="95" t="str">
        <f t="shared" si="24"/>
        <v/>
      </c>
      <c r="S203" s="95" t="str">
        <f t="shared" si="25"/>
        <v/>
      </c>
      <c r="T203" s="96">
        <f t="shared" si="26"/>
        <v>0</v>
      </c>
      <c r="U203" s="51"/>
    </row>
    <row r="204" spans="1:21" x14ac:dyDescent="0.25">
      <c r="A204" s="46">
        <f t="shared" ref="A204:A267" si="27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28">T204*N204</f>
        <v>0</v>
      </c>
      <c r="P204" s="50"/>
      <c r="Q204" s="50"/>
      <c r="R204" s="95" t="str">
        <f t="shared" ref="R204:R267" si="29">IF(OR(P204="c",P204="C"),+T204,"")</f>
        <v/>
      </c>
      <c r="S204" s="95" t="str">
        <f t="shared" ref="S204:S267" si="30">IF(OR(P204="$",N204=1),+T204,"")</f>
        <v/>
      </c>
      <c r="T204" s="96">
        <f t="shared" ref="T204:T267" si="31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27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28"/>
        <v>0</v>
      </c>
      <c r="P205" s="50"/>
      <c r="Q205" s="50"/>
      <c r="R205" s="95" t="str">
        <f t="shared" si="29"/>
        <v/>
      </c>
      <c r="S205" s="95" t="str">
        <f t="shared" si="30"/>
        <v/>
      </c>
      <c r="T205" s="96">
        <f t="shared" si="31"/>
        <v>0</v>
      </c>
      <c r="U205" s="51"/>
    </row>
    <row r="206" spans="1:21" x14ac:dyDescent="0.25">
      <c r="A206" s="46">
        <f t="shared" si="27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28"/>
        <v>0</v>
      </c>
      <c r="P206" s="50"/>
      <c r="Q206" s="50"/>
      <c r="R206" s="95" t="str">
        <f t="shared" si="29"/>
        <v/>
      </c>
      <c r="S206" s="95" t="str">
        <f t="shared" si="30"/>
        <v/>
      </c>
      <c r="T206" s="96">
        <f t="shared" si="31"/>
        <v>0</v>
      </c>
      <c r="U206" s="51"/>
    </row>
    <row r="207" spans="1:21" x14ac:dyDescent="0.25">
      <c r="A207" s="46">
        <f t="shared" si="27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28"/>
        <v>0</v>
      </c>
      <c r="P207" s="50"/>
      <c r="Q207" s="50"/>
      <c r="R207" s="95" t="str">
        <f t="shared" si="29"/>
        <v/>
      </c>
      <c r="S207" s="95" t="str">
        <f t="shared" si="30"/>
        <v/>
      </c>
      <c r="T207" s="96">
        <f t="shared" si="31"/>
        <v>0</v>
      </c>
      <c r="U207" s="51"/>
    </row>
    <row r="208" spans="1:21" x14ac:dyDescent="0.25">
      <c r="A208" s="46">
        <f t="shared" si="27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28"/>
        <v>0</v>
      </c>
      <c r="P208" s="50"/>
      <c r="Q208" s="50"/>
      <c r="R208" s="95" t="str">
        <f t="shared" si="29"/>
        <v/>
      </c>
      <c r="S208" s="95" t="str">
        <f t="shared" si="30"/>
        <v/>
      </c>
      <c r="T208" s="96">
        <f t="shared" si="31"/>
        <v>0</v>
      </c>
      <c r="U208" s="51"/>
    </row>
    <row r="209" spans="1:21" x14ac:dyDescent="0.25">
      <c r="A209" s="46">
        <f t="shared" si="27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28"/>
        <v>0</v>
      </c>
      <c r="P209" s="50"/>
      <c r="Q209" s="50"/>
      <c r="R209" s="95" t="str">
        <f t="shared" si="29"/>
        <v/>
      </c>
      <c r="S209" s="95" t="str">
        <f t="shared" si="30"/>
        <v/>
      </c>
      <c r="T209" s="96">
        <f t="shared" si="31"/>
        <v>0</v>
      </c>
      <c r="U209" s="51"/>
    </row>
    <row r="210" spans="1:21" x14ac:dyDescent="0.25">
      <c r="A210" s="46">
        <f t="shared" si="27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28"/>
        <v>0</v>
      </c>
      <c r="P210" s="50"/>
      <c r="Q210" s="50"/>
      <c r="R210" s="95" t="str">
        <f t="shared" si="29"/>
        <v/>
      </c>
      <c r="S210" s="95" t="str">
        <f t="shared" si="30"/>
        <v/>
      </c>
      <c r="T210" s="96">
        <f t="shared" si="31"/>
        <v>0</v>
      </c>
      <c r="U210" s="51"/>
    </row>
    <row r="211" spans="1:21" x14ac:dyDescent="0.25">
      <c r="A211" s="46">
        <f t="shared" si="27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28"/>
        <v>0</v>
      </c>
      <c r="P211" s="50"/>
      <c r="Q211" s="50"/>
      <c r="R211" s="95" t="str">
        <f t="shared" si="29"/>
        <v/>
      </c>
      <c r="S211" s="95" t="str">
        <f t="shared" si="30"/>
        <v/>
      </c>
      <c r="T211" s="96">
        <f t="shared" si="31"/>
        <v>0</v>
      </c>
      <c r="U211" s="51"/>
    </row>
    <row r="212" spans="1:21" x14ac:dyDescent="0.25">
      <c r="A212" s="46">
        <f t="shared" si="27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28"/>
        <v>0</v>
      </c>
      <c r="P212" s="50"/>
      <c r="Q212" s="50"/>
      <c r="R212" s="95" t="str">
        <f t="shared" si="29"/>
        <v/>
      </c>
      <c r="S212" s="95" t="str">
        <f t="shared" si="30"/>
        <v/>
      </c>
      <c r="T212" s="96">
        <f t="shared" si="31"/>
        <v>0</v>
      </c>
      <c r="U212" s="51"/>
    </row>
    <row r="213" spans="1:21" x14ac:dyDescent="0.25">
      <c r="A213" s="46">
        <f t="shared" si="2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8"/>
        <v>0</v>
      </c>
      <c r="P213" s="50"/>
      <c r="Q213" s="50"/>
      <c r="R213" s="95" t="str">
        <f t="shared" si="29"/>
        <v/>
      </c>
      <c r="S213" s="95" t="str">
        <f t="shared" si="30"/>
        <v/>
      </c>
      <c r="T213" s="96">
        <f t="shared" si="31"/>
        <v>0</v>
      </c>
      <c r="U213" s="51"/>
    </row>
    <row r="214" spans="1:21" x14ac:dyDescent="0.25">
      <c r="A214" s="46">
        <f t="shared" si="2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8"/>
        <v>0</v>
      </c>
      <c r="P214" s="50"/>
      <c r="Q214" s="50"/>
      <c r="R214" s="95" t="str">
        <f t="shared" si="29"/>
        <v/>
      </c>
      <c r="S214" s="95" t="str">
        <f t="shared" si="30"/>
        <v/>
      </c>
      <c r="T214" s="96">
        <f t="shared" si="31"/>
        <v>0</v>
      </c>
      <c r="U214" s="51"/>
    </row>
    <row r="215" spans="1:21" x14ac:dyDescent="0.25">
      <c r="A215" s="46">
        <f t="shared" si="2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8"/>
        <v>0</v>
      </c>
      <c r="P215" s="50"/>
      <c r="Q215" s="50"/>
      <c r="R215" s="95" t="str">
        <f t="shared" si="29"/>
        <v/>
      </c>
      <c r="S215" s="95" t="str">
        <f t="shared" si="30"/>
        <v/>
      </c>
      <c r="T215" s="96">
        <f t="shared" si="31"/>
        <v>0</v>
      </c>
      <c r="U215" s="51"/>
    </row>
    <row r="216" spans="1:21" x14ac:dyDescent="0.25">
      <c r="A216" s="46">
        <f t="shared" si="2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8"/>
        <v>0</v>
      </c>
      <c r="P216" s="50"/>
      <c r="Q216" s="50"/>
      <c r="R216" s="95" t="str">
        <f t="shared" si="29"/>
        <v/>
      </c>
      <c r="S216" s="95" t="str">
        <f t="shared" si="30"/>
        <v/>
      </c>
      <c r="T216" s="96">
        <f t="shared" si="31"/>
        <v>0</v>
      </c>
      <c r="U216" s="51"/>
    </row>
    <row r="217" spans="1:21" x14ac:dyDescent="0.25">
      <c r="A217" s="46">
        <f t="shared" si="2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8"/>
        <v>0</v>
      </c>
      <c r="P217" s="50"/>
      <c r="Q217" s="50"/>
      <c r="R217" s="95" t="str">
        <f t="shared" si="29"/>
        <v/>
      </c>
      <c r="S217" s="95" t="str">
        <f t="shared" si="30"/>
        <v/>
      </c>
      <c r="T217" s="96">
        <f t="shared" si="31"/>
        <v>0</v>
      </c>
      <c r="U217" s="51"/>
    </row>
    <row r="218" spans="1:21" x14ac:dyDescent="0.25">
      <c r="A218" s="46">
        <f t="shared" si="2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8"/>
        <v>0</v>
      </c>
      <c r="P218" s="50"/>
      <c r="Q218" s="50"/>
      <c r="R218" s="95" t="str">
        <f t="shared" si="29"/>
        <v/>
      </c>
      <c r="S218" s="95" t="str">
        <f t="shared" si="30"/>
        <v/>
      </c>
      <c r="T218" s="96">
        <f t="shared" si="31"/>
        <v>0</v>
      </c>
      <c r="U218" s="51"/>
    </row>
    <row r="219" spans="1:21" x14ac:dyDescent="0.25">
      <c r="A219" s="46">
        <f t="shared" si="2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8"/>
        <v>0</v>
      </c>
      <c r="P219" s="50"/>
      <c r="Q219" s="50"/>
      <c r="R219" s="95" t="str">
        <f t="shared" si="29"/>
        <v/>
      </c>
      <c r="S219" s="95" t="str">
        <f t="shared" si="30"/>
        <v/>
      </c>
      <c r="T219" s="96">
        <f t="shared" si="31"/>
        <v>0</v>
      </c>
      <c r="U219" s="51"/>
    </row>
    <row r="220" spans="1:21" x14ac:dyDescent="0.25">
      <c r="A220" s="46">
        <f t="shared" si="2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8"/>
        <v>0</v>
      </c>
      <c r="P220" s="50"/>
      <c r="Q220" s="50"/>
      <c r="R220" s="95" t="str">
        <f t="shared" si="29"/>
        <v/>
      </c>
      <c r="S220" s="95" t="str">
        <f t="shared" si="30"/>
        <v/>
      </c>
      <c r="T220" s="96">
        <f t="shared" si="31"/>
        <v>0</v>
      </c>
      <c r="U220" s="51"/>
    </row>
    <row r="221" spans="1:21" x14ac:dyDescent="0.25">
      <c r="A221" s="46">
        <f t="shared" si="2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8"/>
        <v>0</v>
      </c>
      <c r="P221" s="50"/>
      <c r="Q221" s="50"/>
      <c r="R221" s="95" t="str">
        <f t="shared" si="29"/>
        <v/>
      </c>
      <c r="S221" s="95" t="str">
        <f t="shared" si="30"/>
        <v/>
      </c>
      <c r="T221" s="96">
        <f t="shared" si="31"/>
        <v>0</v>
      </c>
      <c r="U221" s="51"/>
    </row>
    <row r="222" spans="1:21" x14ac:dyDescent="0.25">
      <c r="A222" s="46">
        <f t="shared" si="2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8"/>
        <v>0</v>
      </c>
      <c r="P222" s="50"/>
      <c r="Q222" s="50"/>
      <c r="R222" s="95" t="str">
        <f t="shared" si="29"/>
        <v/>
      </c>
      <c r="S222" s="95" t="str">
        <f t="shared" si="30"/>
        <v/>
      </c>
      <c r="T222" s="96">
        <f t="shared" si="31"/>
        <v>0</v>
      </c>
      <c r="U222" s="51"/>
    </row>
    <row r="223" spans="1:21" x14ac:dyDescent="0.25">
      <c r="A223" s="46">
        <f t="shared" si="2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8"/>
        <v>0</v>
      </c>
      <c r="P223" s="50"/>
      <c r="Q223" s="50"/>
      <c r="R223" s="95" t="str">
        <f t="shared" si="29"/>
        <v/>
      </c>
      <c r="S223" s="95" t="str">
        <f t="shared" si="30"/>
        <v/>
      </c>
      <c r="T223" s="96">
        <f t="shared" si="31"/>
        <v>0</v>
      </c>
      <c r="U223" s="51"/>
    </row>
    <row r="224" spans="1:21" x14ac:dyDescent="0.25">
      <c r="A224" s="46">
        <f t="shared" si="2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8"/>
        <v>0</v>
      </c>
      <c r="P224" s="50"/>
      <c r="Q224" s="50"/>
      <c r="R224" s="95" t="str">
        <f t="shared" si="29"/>
        <v/>
      </c>
      <c r="S224" s="95" t="str">
        <f t="shared" si="30"/>
        <v/>
      </c>
      <c r="T224" s="96">
        <f t="shared" si="31"/>
        <v>0</v>
      </c>
      <c r="U224" s="51"/>
    </row>
    <row r="225" spans="1:21" x14ac:dyDescent="0.25">
      <c r="A225" s="46">
        <f t="shared" si="2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8"/>
        <v>0</v>
      </c>
      <c r="P225" s="50"/>
      <c r="Q225" s="50"/>
      <c r="R225" s="95" t="str">
        <f t="shared" si="29"/>
        <v/>
      </c>
      <c r="S225" s="95" t="str">
        <f t="shared" si="30"/>
        <v/>
      </c>
      <c r="T225" s="96">
        <f t="shared" si="31"/>
        <v>0</v>
      </c>
      <c r="U225" s="51"/>
    </row>
    <row r="226" spans="1:21" x14ac:dyDescent="0.25">
      <c r="A226" s="46">
        <f t="shared" si="2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8"/>
        <v>0</v>
      </c>
      <c r="P226" s="50"/>
      <c r="Q226" s="50"/>
      <c r="R226" s="95" t="str">
        <f t="shared" si="29"/>
        <v/>
      </c>
      <c r="S226" s="95" t="str">
        <f t="shared" si="30"/>
        <v/>
      </c>
      <c r="T226" s="96">
        <f t="shared" si="31"/>
        <v>0</v>
      </c>
      <c r="U226" s="51"/>
    </row>
    <row r="227" spans="1:21" x14ac:dyDescent="0.25">
      <c r="A227" s="46">
        <f t="shared" si="2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8"/>
        <v>0</v>
      </c>
      <c r="P227" s="50"/>
      <c r="Q227" s="50"/>
      <c r="R227" s="95" t="str">
        <f t="shared" si="29"/>
        <v/>
      </c>
      <c r="S227" s="95" t="str">
        <f t="shared" si="30"/>
        <v/>
      </c>
      <c r="T227" s="96">
        <f t="shared" si="31"/>
        <v>0</v>
      </c>
      <c r="U227" s="51"/>
    </row>
    <row r="228" spans="1:21" x14ac:dyDescent="0.25">
      <c r="A228" s="46">
        <f t="shared" si="2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8"/>
        <v>0</v>
      </c>
      <c r="P228" s="50"/>
      <c r="Q228" s="50"/>
      <c r="R228" s="95" t="str">
        <f t="shared" si="29"/>
        <v/>
      </c>
      <c r="S228" s="95" t="str">
        <f t="shared" si="30"/>
        <v/>
      </c>
      <c r="T228" s="96">
        <f t="shared" si="31"/>
        <v>0</v>
      </c>
      <c r="U228" s="51"/>
    </row>
    <row r="229" spans="1:21" x14ac:dyDescent="0.25">
      <c r="A229" s="46">
        <f t="shared" si="2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8"/>
        <v>0</v>
      </c>
      <c r="P229" s="50"/>
      <c r="Q229" s="50"/>
      <c r="R229" s="95" t="str">
        <f t="shared" si="29"/>
        <v/>
      </c>
      <c r="S229" s="95" t="str">
        <f t="shared" si="30"/>
        <v/>
      </c>
      <c r="T229" s="96">
        <f t="shared" si="31"/>
        <v>0</v>
      </c>
      <c r="U229" s="51"/>
    </row>
    <row r="230" spans="1:21" x14ac:dyDescent="0.25">
      <c r="A230" s="46">
        <f t="shared" si="2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8"/>
        <v>0</v>
      </c>
      <c r="P230" s="50"/>
      <c r="Q230" s="50"/>
      <c r="R230" s="95" t="str">
        <f t="shared" si="29"/>
        <v/>
      </c>
      <c r="S230" s="95" t="str">
        <f t="shared" si="30"/>
        <v/>
      </c>
      <c r="T230" s="96">
        <f t="shared" si="31"/>
        <v>0</v>
      </c>
      <c r="U230" s="51"/>
    </row>
    <row r="231" spans="1:21" x14ac:dyDescent="0.25">
      <c r="A231" s="46">
        <f t="shared" si="2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8"/>
        <v>0</v>
      </c>
      <c r="P231" s="50"/>
      <c r="Q231" s="50"/>
      <c r="R231" s="95" t="str">
        <f t="shared" si="29"/>
        <v/>
      </c>
      <c r="S231" s="95" t="str">
        <f t="shared" si="30"/>
        <v/>
      </c>
      <c r="T231" s="96">
        <f t="shared" si="31"/>
        <v>0</v>
      </c>
      <c r="U231" s="51"/>
    </row>
    <row r="232" spans="1:21" x14ac:dyDescent="0.25">
      <c r="A232" s="46">
        <f t="shared" si="2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8"/>
        <v>0</v>
      </c>
      <c r="P232" s="50"/>
      <c r="Q232" s="50"/>
      <c r="R232" s="95" t="str">
        <f t="shared" si="29"/>
        <v/>
      </c>
      <c r="S232" s="95" t="str">
        <f t="shared" si="30"/>
        <v/>
      </c>
      <c r="T232" s="96">
        <f t="shared" si="31"/>
        <v>0</v>
      </c>
      <c r="U232" s="51"/>
    </row>
    <row r="233" spans="1:21" x14ac:dyDescent="0.25">
      <c r="A233" s="46">
        <f t="shared" si="2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8"/>
        <v>0</v>
      </c>
      <c r="P233" s="50"/>
      <c r="Q233" s="50"/>
      <c r="R233" s="95" t="str">
        <f t="shared" si="29"/>
        <v/>
      </c>
      <c r="S233" s="95" t="str">
        <f t="shared" si="30"/>
        <v/>
      </c>
      <c r="T233" s="96">
        <f t="shared" si="31"/>
        <v>0</v>
      </c>
      <c r="U233" s="51"/>
    </row>
    <row r="234" spans="1:21" x14ac:dyDescent="0.25">
      <c r="A234" s="46">
        <f t="shared" si="2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8"/>
        <v>0</v>
      </c>
      <c r="P234" s="50"/>
      <c r="Q234" s="50"/>
      <c r="R234" s="95" t="str">
        <f t="shared" si="29"/>
        <v/>
      </c>
      <c r="S234" s="95" t="str">
        <f t="shared" si="30"/>
        <v/>
      </c>
      <c r="T234" s="96">
        <f t="shared" si="31"/>
        <v>0</v>
      </c>
      <c r="U234" s="51"/>
    </row>
    <row r="235" spans="1:21" x14ac:dyDescent="0.25">
      <c r="A235" s="46">
        <f t="shared" si="2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8"/>
        <v>0</v>
      </c>
      <c r="P235" s="50"/>
      <c r="Q235" s="50"/>
      <c r="R235" s="95" t="str">
        <f t="shared" si="29"/>
        <v/>
      </c>
      <c r="S235" s="95" t="str">
        <f t="shared" si="30"/>
        <v/>
      </c>
      <c r="T235" s="96">
        <f t="shared" si="31"/>
        <v>0</v>
      </c>
      <c r="U235" s="51"/>
    </row>
    <row r="236" spans="1:21" x14ac:dyDescent="0.25">
      <c r="A236" s="46">
        <f t="shared" si="2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8"/>
        <v>0</v>
      </c>
      <c r="P236" s="50"/>
      <c r="Q236" s="50"/>
      <c r="R236" s="95" t="str">
        <f t="shared" si="29"/>
        <v/>
      </c>
      <c r="S236" s="95" t="str">
        <f t="shared" si="30"/>
        <v/>
      </c>
      <c r="T236" s="96">
        <f t="shared" si="31"/>
        <v>0</v>
      </c>
      <c r="U236" s="51"/>
    </row>
    <row r="237" spans="1:21" x14ac:dyDescent="0.25">
      <c r="A237" s="46">
        <f t="shared" si="2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8"/>
        <v>0</v>
      </c>
      <c r="P237" s="50"/>
      <c r="Q237" s="50"/>
      <c r="R237" s="95" t="str">
        <f t="shared" si="29"/>
        <v/>
      </c>
      <c r="S237" s="95" t="str">
        <f t="shared" si="30"/>
        <v/>
      </c>
      <c r="T237" s="96">
        <f t="shared" si="31"/>
        <v>0</v>
      </c>
      <c r="U237" s="51"/>
    </row>
    <row r="238" spans="1:21" x14ac:dyDescent="0.25">
      <c r="A238" s="46">
        <f t="shared" si="2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8"/>
        <v>0</v>
      </c>
      <c r="P238" s="50"/>
      <c r="Q238" s="50"/>
      <c r="R238" s="95" t="str">
        <f t="shared" si="29"/>
        <v/>
      </c>
      <c r="S238" s="95" t="str">
        <f t="shared" si="30"/>
        <v/>
      </c>
      <c r="T238" s="96">
        <f t="shared" si="31"/>
        <v>0</v>
      </c>
      <c r="U238" s="51"/>
    </row>
    <row r="239" spans="1:21" x14ac:dyDescent="0.25">
      <c r="A239" s="46">
        <f t="shared" si="2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8"/>
        <v>0</v>
      </c>
      <c r="P239" s="50"/>
      <c r="Q239" s="50"/>
      <c r="R239" s="95" t="str">
        <f t="shared" si="29"/>
        <v/>
      </c>
      <c r="S239" s="95" t="str">
        <f t="shared" si="30"/>
        <v/>
      </c>
      <c r="T239" s="96">
        <f t="shared" si="31"/>
        <v>0</v>
      </c>
      <c r="U239" s="51"/>
    </row>
    <row r="240" spans="1:21" x14ac:dyDescent="0.25">
      <c r="A240" s="46">
        <f t="shared" si="2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8"/>
        <v>0</v>
      </c>
      <c r="P240" s="50"/>
      <c r="Q240" s="50"/>
      <c r="R240" s="95" t="str">
        <f t="shared" si="29"/>
        <v/>
      </c>
      <c r="S240" s="95" t="str">
        <f t="shared" si="30"/>
        <v/>
      </c>
      <c r="T240" s="96">
        <f t="shared" si="31"/>
        <v>0</v>
      </c>
      <c r="U240" s="51"/>
    </row>
    <row r="241" spans="1:21" x14ac:dyDescent="0.25">
      <c r="A241" s="46">
        <f t="shared" si="2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8"/>
        <v>0</v>
      </c>
      <c r="P241" s="50"/>
      <c r="Q241" s="50"/>
      <c r="R241" s="95" t="str">
        <f t="shared" si="29"/>
        <v/>
      </c>
      <c r="S241" s="95" t="str">
        <f t="shared" si="30"/>
        <v/>
      </c>
      <c r="T241" s="96">
        <f t="shared" si="31"/>
        <v>0</v>
      </c>
      <c r="U241" s="51"/>
    </row>
    <row r="242" spans="1:21" x14ac:dyDescent="0.25">
      <c r="A242" s="46">
        <f t="shared" si="2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8"/>
        <v>0</v>
      </c>
      <c r="P242" s="50"/>
      <c r="Q242" s="50"/>
      <c r="R242" s="95" t="str">
        <f t="shared" si="29"/>
        <v/>
      </c>
      <c r="S242" s="95" t="str">
        <f t="shared" si="30"/>
        <v/>
      </c>
      <c r="T242" s="96">
        <f t="shared" si="31"/>
        <v>0</v>
      </c>
      <c r="U242" s="51"/>
    </row>
    <row r="243" spans="1:21" x14ac:dyDescent="0.25">
      <c r="A243" s="46">
        <f t="shared" si="2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8"/>
        <v>0</v>
      </c>
      <c r="P243" s="50"/>
      <c r="Q243" s="50"/>
      <c r="R243" s="95" t="str">
        <f t="shared" si="29"/>
        <v/>
      </c>
      <c r="S243" s="95" t="str">
        <f t="shared" si="30"/>
        <v/>
      </c>
      <c r="T243" s="96">
        <f t="shared" si="31"/>
        <v>0</v>
      </c>
      <c r="U243" s="51"/>
    </row>
    <row r="244" spans="1:21" x14ac:dyDescent="0.25">
      <c r="A244" s="46">
        <f t="shared" si="2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8"/>
        <v>0</v>
      </c>
      <c r="P244" s="50"/>
      <c r="Q244" s="50"/>
      <c r="R244" s="95" t="str">
        <f t="shared" si="29"/>
        <v/>
      </c>
      <c r="S244" s="95" t="str">
        <f t="shared" si="30"/>
        <v/>
      </c>
      <c r="T244" s="96">
        <f t="shared" si="31"/>
        <v>0</v>
      </c>
      <c r="U244" s="51"/>
    </row>
    <row r="245" spans="1:21" x14ac:dyDescent="0.25">
      <c r="A245" s="46">
        <f t="shared" si="2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8"/>
        <v>0</v>
      </c>
      <c r="P245" s="50"/>
      <c r="Q245" s="50"/>
      <c r="R245" s="95" t="str">
        <f t="shared" si="29"/>
        <v/>
      </c>
      <c r="S245" s="95" t="str">
        <f t="shared" si="30"/>
        <v/>
      </c>
      <c r="T245" s="96">
        <f t="shared" si="31"/>
        <v>0</v>
      </c>
      <c r="U245" s="51"/>
    </row>
    <row r="246" spans="1:21" x14ac:dyDescent="0.25">
      <c r="A246" s="46">
        <f t="shared" si="2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8"/>
        <v>0</v>
      </c>
      <c r="P246" s="50"/>
      <c r="Q246" s="50"/>
      <c r="R246" s="95" t="str">
        <f t="shared" si="29"/>
        <v/>
      </c>
      <c r="S246" s="95" t="str">
        <f t="shared" si="30"/>
        <v/>
      </c>
      <c r="T246" s="96">
        <f t="shared" si="31"/>
        <v>0</v>
      </c>
      <c r="U246" s="51"/>
    </row>
    <row r="247" spans="1:21" x14ac:dyDescent="0.25">
      <c r="A247" s="46">
        <f t="shared" si="2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8"/>
        <v>0</v>
      </c>
      <c r="P247" s="50"/>
      <c r="Q247" s="50"/>
      <c r="R247" s="95" t="str">
        <f t="shared" si="29"/>
        <v/>
      </c>
      <c r="S247" s="95" t="str">
        <f t="shared" si="30"/>
        <v/>
      </c>
      <c r="T247" s="96">
        <f t="shared" si="31"/>
        <v>0</v>
      </c>
      <c r="U247" s="51"/>
    </row>
    <row r="248" spans="1:21" x14ac:dyDescent="0.25">
      <c r="A248" s="46">
        <f t="shared" si="2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8"/>
        <v>0</v>
      </c>
      <c r="P248" s="50"/>
      <c r="Q248" s="50"/>
      <c r="R248" s="95" t="str">
        <f t="shared" si="29"/>
        <v/>
      </c>
      <c r="S248" s="95" t="str">
        <f t="shared" si="30"/>
        <v/>
      </c>
      <c r="T248" s="96">
        <f t="shared" si="31"/>
        <v>0</v>
      </c>
      <c r="U248" s="51"/>
    </row>
    <row r="249" spans="1:21" x14ac:dyDescent="0.25">
      <c r="A249" s="46">
        <f t="shared" si="2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8"/>
        <v>0</v>
      </c>
      <c r="P249" s="50"/>
      <c r="Q249" s="50"/>
      <c r="R249" s="95" t="str">
        <f t="shared" si="29"/>
        <v/>
      </c>
      <c r="S249" s="95" t="str">
        <f t="shared" si="30"/>
        <v/>
      </c>
      <c r="T249" s="96">
        <f t="shared" si="31"/>
        <v>0</v>
      </c>
      <c r="U249" s="51"/>
    </row>
    <row r="250" spans="1:21" x14ac:dyDescent="0.25">
      <c r="A250" s="46">
        <f t="shared" si="2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8"/>
        <v>0</v>
      </c>
      <c r="P250" s="50"/>
      <c r="Q250" s="50"/>
      <c r="R250" s="95" t="str">
        <f t="shared" si="29"/>
        <v/>
      </c>
      <c r="S250" s="95" t="str">
        <f t="shared" si="30"/>
        <v/>
      </c>
      <c r="T250" s="96">
        <f t="shared" si="31"/>
        <v>0</v>
      </c>
      <c r="U250" s="51"/>
    </row>
    <row r="251" spans="1:21" x14ac:dyDescent="0.25">
      <c r="A251" s="46">
        <f t="shared" si="2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8"/>
        <v>0</v>
      </c>
      <c r="P251" s="50"/>
      <c r="Q251" s="50"/>
      <c r="R251" s="95" t="str">
        <f t="shared" si="29"/>
        <v/>
      </c>
      <c r="S251" s="95" t="str">
        <f t="shared" si="30"/>
        <v/>
      </c>
      <c r="T251" s="96">
        <f t="shared" si="31"/>
        <v>0</v>
      </c>
      <c r="U251" s="51"/>
    </row>
    <row r="252" spans="1:21" x14ac:dyDescent="0.25">
      <c r="A252" s="46">
        <f t="shared" si="2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8"/>
        <v>0</v>
      </c>
      <c r="P252" s="50"/>
      <c r="Q252" s="50"/>
      <c r="R252" s="95" t="str">
        <f t="shared" si="29"/>
        <v/>
      </c>
      <c r="S252" s="95" t="str">
        <f t="shared" si="30"/>
        <v/>
      </c>
      <c r="T252" s="96">
        <f t="shared" si="31"/>
        <v>0</v>
      </c>
      <c r="U252" s="51"/>
    </row>
    <row r="253" spans="1:21" x14ac:dyDescent="0.25">
      <c r="A253" s="46">
        <f t="shared" si="2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8"/>
        <v>0</v>
      </c>
      <c r="P253" s="50"/>
      <c r="Q253" s="50"/>
      <c r="R253" s="95" t="str">
        <f t="shared" si="29"/>
        <v/>
      </c>
      <c r="S253" s="95" t="str">
        <f t="shared" si="30"/>
        <v/>
      </c>
      <c r="T253" s="96">
        <f t="shared" si="31"/>
        <v>0</v>
      </c>
      <c r="U253" s="51"/>
    </row>
    <row r="254" spans="1:21" x14ac:dyDescent="0.25">
      <c r="A254" s="46">
        <f t="shared" si="2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8"/>
        <v>0</v>
      </c>
      <c r="P254" s="50"/>
      <c r="Q254" s="50"/>
      <c r="R254" s="95" t="str">
        <f t="shared" si="29"/>
        <v/>
      </c>
      <c r="S254" s="95" t="str">
        <f t="shared" si="30"/>
        <v/>
      </c>
      <c r="T254" s="96">
        <f t="shared" si="31"/>
        <v>0</v>
      </c>
      <c r="U254" s="51"/>
    </row>
    <row r="255" spans="1:21" x14ac:dyDescent="0.25">
      <c r="A255" s="46">
        <f t="shared" si="2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8"/>
        <v>0</v>
      </c>
      <c r="P255" s="50"/>
      <c r="Q255" s="50"/>
      <c r="R255" s="95" t="str">
        <f t="shared" si="29"/>
        <v/>
      </c>
      <c r="S255" s="95" t="str">
        <f t="shared" si="30"/>
        <v/>
      </c>
      <c r="T255" s="96">
        <f t="shared" si="31"/>
        <v>0</v>
      </c>
      <c r="U255" s="51"/>
    </row>
    <row r="256" spans="1:21" x14ac:dyDescent="0.25">
      <c r="A256" s="46">
        <f t="shared" si="2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8"/>
        <v>0</v>
      </c>
      <c r="P256" s="50"/>
      <c r="Q256" s="50"/>
      <c r="R256" s="95" t="str">
        <f t="shared" si="29"/>
        <v/>
      </c>
      <c r="S256" s="95" t="str">
        <f t="shared" si="30"/>
        <v/>
      </c>
      <c r="T256" s="96">
        <f t="shared" si="31"/>
        <v>0</v>
      </c>
      <c r="U256" s="51"/>
    </row>
    <row r="257" spans="1:21" x14ac:dyDescent="0.25">
      <c r="A257" s="46">
        <f t="shared" si="2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8"/>
        <v>0</v>
      </c>
      <c r="P257" s="50"/>
      <c r="Q257" s="50"/>
      <c r="R257" s="95" t="str">
        <f t="shared" si="29"/>
        <v/>
      </c>
      <c r="S257" s="95" t="str">
        <f t="shared" si="30"/>
        <v/>
      </c>
      <c r="T257" s="96">
        <f t="shared" si="31"/>
        <v>0</v>
      </c>
      <c r="U257" s="51"/>
    </row>
    <row r="258" spans="1:21" x14ac:dyDescent="0.25">
      <c r="A258" s="46">
        <f t="shared" si="2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8"/>
        <v>0</v>
      </c>
      <c r="P258" s="50"/>
      <c r="Q258" s="50"/>
      <c r="R258" s="95" t="str">
        <f t="shared" si="29"/>
        <v/>
      </c>
      <c r="S258" s="95" t="str">
        <f t="shared" si="30"/>
        <v/>
      </c>
      <c r="T258" s="96">
        <f t="shared" si="31"/>
        <v>0</v>
      </c>
      <c r="U258" s="51"/>
    </row>
    <row r="259" spans="1:21" x14ac:dyDescent="0.25">
      <c r="A259" s="46">
        <f t="shared" si="2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8"/>
        <v>0</v>
      </c>
      <c r="P259" s="50"/>
      <c r="Q259" s="50"/>
      <c r="R259" s="95" t="str">
        <f t="shared" si="29"/>
        <v/>
      </c>
      <c r="S259" s="95" t="str">
        <f t="shared" si="30"/>
        <v/>
      </c>
      <c r="T259" s="96">
        <f t="shared" si="31"/>
        <v>0</v>
      </c>
      <c r="U259" s="51"/>
    </row>
    <row r="260" spans="1:21" x14ac:dyDescent="0.25">
      <c r="A260" s="46">
        <f t="shared" si="2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8"/>
        <v>0</v>
      </c>
      <c r="P260" s="50"/>
      <c r="Q260" s="50"/>
      <c r="R260" s="95" t="str">
        <f t="shared" si="29"/>
        <v/>
      </c>
      <c r="S260" s="95" t="str">
        <f t="shared" si="30"/>
        <v/>
      </c>
      <c r="T260" s="96">
        <f t="shared" si="31"/>
        <v>0</v>
      </c>
      <c r="U260" s="51"/>
    </row>
    <row r="261" spans="1:21" x14ac:dyDescent="0.25">
      <c r="A261" s="46">
        <f t="shared" si="2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8"/>
        <v>0</v>
      </c>
      <c r="P261" s="50"/>
      <c r="Q261" s="50"/>
      <c r="R261" s="95" t="str">
        <f t="shared" si="29"/>
        <v/>
      </c>
      <c r="S261" s="95" t="str">
        <f t="shared" si="30"/>
        <v/>
      </c>
      <c r="T261" s="96">
        <f t="shared" si="31"/>
        <v>0</v>
      </c>
      <c r="U261" s="51"/>
    </row>
    <row r="262" spans="1:21" x14ac:dyDescent="0.25">
      <c r="A262" s="46">
        <f t="shared" si="2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8"/>
        <v>0</v>
      </c>
      <c r="P262" s="50"/>
      <c r="Q262" s="50"/>
      <c r="R262" s="95" t="str">
        <f t="shared" si="29"/>
        <v/>
      </c>
      <c r="S262" s="95" t="str">
        <f t="shared" si="30"/>
        <v/>
      </c>
      <c r="T262" s="96">
        <f t="shared" si="31"/>
        <v>0</v>
      </c>
      <c r="U262" s="51"/>
    </row>
    <row r="263" spans="1:21" x14ac:dyDescent="0.25">
      <c r="A263" s="46">
        <f t="shared" si="2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8"/>
        <v>0</v>
      </c>
      <c r="P263" s="50"/>
      <c r="Q263" s="50"/>
      <c r="R263" s="95" t="str">
        <f t="shared" si="29"/>
        <v/>
      </c>
      <c r="S263" s="95" t="str">
        <f t="shared" si="30"/>
        <v/>
      </c>
      <c r="T263" s="96">
        <f t="shared" si="31"/>
        <v>0</v>
      </c>
      <c r="U263" s="51"/>
    </row>
    <row r="264" spans="1:21" x14ac:dyDescent="0.25">
      <c r="A264" s="46">
        <f t="shared" si="2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8"/>
        <v>0</v>
      </c>
      <c r="P264" s="50"/>
      <c r="Q264" s="50"/>
      <c r="R264" s="95" t="str">
        <f t="shared" si="29"/>
        <v/>
      </c>
      <c r="S264" s="95" t="str">
        <f t="shared" si="30"/>
        <v/>
      </c>
      <c r="T264" s="96">
        <f t="shared" si="31"/>
        <v>0</v>
      </c>
      <c r="U264" s="51"/>
    </row>
    <row r="265" spans="1:21" x14ac:dyDescent="0.25">
      <c r="A265" s="46">
        <f t="shared" si="2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8"/>
        <v>0</v>
      </c>
      <c r="P265" s="50"/>
      <c r="Q265" s="50"/>
      <c r="R265" s="95" t="str">
        <f t="shared" si="29"/>
        <v/>
      </c>
      <c r="S265" s="95" t="str">
        <f t="shared" si="30"/>
        <v/>
      </c>
      <c r="T265" s="96">
        <f t="shared" si="31"/>
        <v>0</v>
      </c>
      <c r="U265" s="51"/>
    </row>
    <row r="266" spans="1:21" x14ac:dyDescent="0.25">
      <c r="A266" s="46">
        <f t="shared" si="2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8"/>
        <v>0</v>
      </c>
      <c r="P266" s="50"/>
      <c r="Q266" s="50"/>
      <c r="R266" s="95" t="str">
        <f t="shared" si="29"/>
        <v/>
      </c>
      <c r="S266" s="95" t="str">
        <f t="shared" si="30"/>
        <v/>
      </c>
      <c r="T266" s="96">
        <f t="shared" si="31"/>
        <v>0</v>
      </c>
      <c r="U266" s="51"/>
    </row>
    <row r="267" spans="1:21" x14ac:dyDescent="0.25">
      <c r="A267" s="46">
        <f t="shared" si="2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8"/>
        <v>0</v>
      </c>
      <c r="P267" s="50"/>
      <c r="Q267" s="50"/>
      <c r="R267" s="95" t="str">
        <f t="shared" si="29"/>
        <v/>
      </c>
      <c r="S267" s="95" t="str">
        <f t="shared" si="30"/>
        <v/>
      </c>
      <c r="T267" s="96">
        <f t="shared" si="31"/>
        <v>0</v>
      </c>
      <c r="U267" s="51"/>
    </row>
    <row r="268" spans="1:21" x14ac:dyDescent="0.25">
      <c r="A268" s="46">
        <f t="shared" ref="A268:A331" si="3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3">T268*N268</f>
        <v>0</v>
      </c>
      <c r="P268" s="50"/>
      <c r="Q268" s="50"/>
      <c r="R268" s="95" t="str">
        <f t="shared" ref="R268:R331" si="34">IF(OR(P268="c",P268="C"),+T268,"")</f>
        <v/>
      </c>
      <c r="S268" s="95" t="str">
        <f t="shared" ref="S268:S331" si="35">IF(OR(P268="$",N268=1),+T268,"")</f>
        <v/>
      </c>
      <c r="T268" s="96">
        <f t="shared" ref="T268:T331" si="3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3"/>
        <v>0</v>
      </c>
      <c r="P269" s="50"/>
      <c r="Q269" s="50"/>
      <c r="R269" s="95" t="str">
        <f t="shared" si="34"/>
        <v/>
      </c>
      <c r="S269" s="95" t="str">
        <f t="shared" si="35"/>
        <v/>
      </c>
      <c r="T269" s="96">
        <f t="shared" si="36"/>
        <v>0</v>
      </c>
      <c r="U269" s="51"/>
    </row>
    <row r="270" spans="1:21" x14ac:dyDescent="0.25">
      <c r="A270" s="46">
        <f t="shared" si="3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3"/>
        <v>0</v>
      </c>
      <c r="P270" s="50"/>
      <c r="Q270" s="50"/>
      <c r="R270" s="95" t="str">
        <f t="shared" si="34"/>
        <v/>
      </c>
      <c r="S270" s="95" t="str">
        <f t="shared" si="35"/>
        <v/>
      </c>
      <c r="T270" s="96">
        <f t="shared" si="36"/>
        <v>0</v>
      </c>
      <c r="U270" s="51"/>
    </row>
    <row r="271" spans="1:21" x14ac:dyDescent="0.25">
      <c r="A271" s="46">
        <f t="shared" si="3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3"/>
        <v>0</v>
      </c>
      <c r="P271" s="50"/>
      <c r="Q271" s="50"/>
      <c r="R271" s="95" t="str">
        <f t="shared" si="34"/>
        <v/>
      </c>
      <c r="S271" s="95" t="str">
        <f t="shared" si="35"/>
        <v/>
      </c>
      <c r="T271" s="96">
        <f t="shared" si="36"/>
        <v>0</v>
      </c>
      <c r="U271" s="51"/>
    </row>
    <row r="272" spans="1:21" x14ac:dyDescent="0.25">
      <c r="A272" s="46">
        <f t="shared" si="3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3"/>
        <v>0</v>
      </c>
      <c r="P272" s="50"/>
      <c r="Q272" s="50"/>
      <c r="R272" s="95" t="str">
        <f t="shared" si="34"/>
        <v/>
      </c>
      <c r="S272" s="95" t="str">
        <f t="shared" si="35"/>
        <v/>
      </c>
      <c r="T272" s="96">
        <f t="shared" si="36"/>
        <v>0</v>
      </c>
      <c r="U272" s="51"/>
    </row>
    <row r="273" spans="1:21" x14ac:dyDescent="0.25">
      <c r="A273" s="46">
        <f t="shared" si="3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3"/>
        <v>0</v>
      </c>
      <c r="P273" s="50"/>
      <c r="Q273" s="50"/>
      <c r="R273" s="95" t="str">
        <f t="shared" si="34"/>
        <v/>
      </c>
      <c r="S273" s="95" t="str">
        <f t="shared" si="35"/>
        <v/>
      </c>
      <c r="T273" s="96">
        <f t="shared" si="36"/>
        <v>0</v>
      </c>
      <c r="U273" s="51"/>
    </row>
    <row r="274" spans="1:21" x14ac:dyDescent="0.25">
      <c r="A274" s="46">
        <f t="shared" si="3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3"/>
        <v>0</v>
      </c>
      <c r="P274" s="50"/>
      <c r="Q274" s="50"/>
      <c r="R274" s="95" t="str">
        <f t="shared" si="34"/>
        <v/>
      </c>
      <c r="S274" s="95" t="str">
        <f t="shared" si="35"/>
        <v/>
      </c>
      <c r="T274" s="96">
        <f t="shared" si="36"/>
        <v>0</v>
      </c>
      <c r="U274" s="51"/>
    </row>
    <row r="275" spans="1:21" x14ac:dyDescent="0.25">
      <c r="A275" s="46">
        <f t="shared" si="3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3"/>
        <v>0</v>
      </c>
      <c r="P275" s="50"/>
      <c r="Q275" s="50"/>
      <c r="R275" s="95" t="str">
        <f t="shared" si="34"/>
        <v/>
      </c>
      <c r="S275" s="95" t="str">
        <f t="shared" si="35"/>
        <v/>
      </c>
      <c r="T275" s="96">
        <f t="shared" si="36"/>
        <v>0</v>
      </c>
      <c r="U275" s="51"/>
    </row>
    <row r="276" spans="1:21" x14ac:dyDescent="0.25">
      <c r="A276" s="46">
        <f t="shared" si="3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3"/>
        <v>0</v>
      </c>
      <c r="P276" s="50"/>
      <c r="Q276" s="50"/>
      <c r="R276" s="95" t="str">
        <f t="shared" si="34"/>
        <v/>
      </c>
      <c r="S276" s="95" t="str">
        <f t="shared" si="35"/>
        <v/>
      </c>
      <c r="T276" s="96">
        <f t="shared" si="36"/>
        <v>0</v>
      </c>
      <c r="U276" s="51"/>
    </row>
    <row r="277" spans="1:21" x14ac:dyDescent="0.25">
      <c r="A277" s="46">
        <f t="shared" si="3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3"/>
        <v>0</v>
      </c>
      <c r="P277" s="50"/>
      <c r="Q277" s="50"/>
      <c r="R277" s="95" t="str">
        <f t="shared" si="34"/>
        <v/>
      </c>
      <c r="S277" s="95" t="str">
        <f t="shared" si="35"/>
        <v/>
      </c>
      <c r="T277" s="96">
        <f t="shared" si="36"/>
        <v>0</v>
      </c>
      <c r="U277" s="51"/>
    </row>
    <row r="278" spans="1:21" x14ac:dyDescent="0.25">
      <c r="A278" s="46">
        <f t="shared" si="3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3"/>
        <v>0</v>
      </c>
      <c r="P278" s="50"/>
      <c r="Q278" s="50"/>
      <c r="R278" s="95" t="str">
        <f t="shared" si="34"/>
        <v/>
      </c>
      <c r="S278" s="95" t="str">
        <f t="shared" si="35"/>
        <v/>
      </c>
      <c r="T278" s="96">
        <f t="shared" si="36"/>
        <v>0</v>
      </c>
      <c r="U278" s="51"/>
    </row>
    <row r="279" spans="1:21" x14ac:dyDescent="0.25">
      <c r="A279" s="46">
        <f t="shared" si="3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3"/>
        <v>0</v>
      </c>
      <c r="P279" s="50"/>
      <c r="Q279" s="50"/>
      <c r="R279" s="95" t="str">
        <f t="shared" si="34"/>
        <v/>
      </c>
      <c r="S279" s="95" t="str">
        <f t="shared" si="35"/>
        <v/>
      </c>
      <c r="T279" s="96">
        <f t="shared" si="36"/>
        <v>0</v>
      </c>
      <c r="U279" s="51"/>
    </row>
    <row r="280" spans="1:21" x14ac:dyDescent="0.25">
      <c r="A280" s="46">
        <f t="shared" si="3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3"/>
        <v>0</v>
      </c>
      <c r="P280" s="50"/>
      <c r="Q280" s="50"/>
      <c r="R280" s="95" t="str">
        <f t="shared" si="34"/>
        <v/>
      </c>
      <c r="S280" s="95" t="str">
        <f t="shared" si="35"/>
        <v/>
      </c>
      <c r="T280" s="96">
        <f t="shared" si="36"/>
        <v>0</v>
      </c>
      <c r="U280" s="51"/>
    </row>
    <row r="281" spans="1:21" x14ac:dyDescent="0.25">
      <c r="A281" s="46">
        <f t="shared" si="3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3"/>
        <v>0</v>
      </c>
      <c r="P281" s="50"/>
      <c r="Q281" s="50"/>
      <c r="R281" s="95" t="str">
        <f t="shared" si="34"/>
        <v/>
      </c>
      <c r="S281" s="95" t="str">
        <f t="shared" si="35"/>
        <v/>
      </c>
      <c r="T281" s="96">
        <f t="shared" si="36"/>
        <v>0</v>
      </c>
      <c r="U281" s="51"/>
    </row>
    <row r="282" spans="1:21" x14ac:dyDescent="0.25">
      <c r="A282" s="46">
        <f t="shared" si="3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3"/>
        <v>0</v>
      </c>
      <c r="P282" s="50"/>
      <c r="Q282" s="50"/>
      <c r="R282" s="95" t="str">
        <f t="shared" si="34"/>
        <v/>
      </c>
      <c r="S282" s="95" t="str">
        <f t="shared" si="35"/>
        <v/>
      </c>
      <c r="T282" s="96">
        <f t="shared" si="36"/>
        <v>0</v>
      </c>
      <c r="U282" s="51"/>
    </row>
    <row r="283" spans="1:21" x14ac:dyDescent="0.25">
      <c r="A283" s="46">
        <f t="shared" si="3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3"/>
        <v>0</v>
      </c>
      <c r="P283" s="50"/>
      <c r="Q283" s="50"/>
      <c r="R283" s="95" t="str">
        <f t="shared" si="34"/>
        <v/>
      </c>
      <c r="S283" s="95" t="str">
        <f t="shared" si="35"/>
        <v/>
      </c>
      <c r="T283" s="96">
        <f t="shared" si="36"/>
        <v>0</v>
      </c>
      <c r="U283" s="51"/>
    </row>
    <row r="284" spans="1:21" x14ac:dyDescent="0.25">
      <c r="A284" s="46">
        <f t="shared" si="3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3"/>
        <v>0</v>
      </c>
      <c r="P284" s="50"/>
      <c r="Q284" s="50"/>
      <c r="R284" s="95" t="str">
        <f t="shared" si="34"/>
        <v/>
      </c>
      <c r="S284" s="95" t="str">
        <f t="shared" si="35"/>
        <v/>
      </c>
      <c r="T284" s="96">
        <f t="shared" si="36"/>
        <v>0</v>
      </c>
      <c r="U284" s="51"/>
    </row>
    <row r="285" spans="1:21" x14ac:dyDescent="0.25">
      <c r="A285" s="46">
        <f t="shared" si="3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3"/>
        <v>0</v>
      </c>
      <c r="P285" s="50"/>
      <c r="Q285" s="50"/>
      <c r="R285" s="95" t="str">
        <f t="shared" si="34"/>
        <v/>
      </c>
      <c r="S285" s="95" t="str">
        <f t="shared" si="35"/>
        <v/>
      </c>
      <c r="T285" s="96">
        <f t="shared" si="36"/>
        <v>0</v>
      </c>
      <c r="U285" s="51"/>
    </row>
    <row r="286" spans="1:21" x14ac:dyDescent="0.25">
      <c r="A286" s="46">
        <f t="shared" si="3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3"/>
        <v>0</v>
      </c>
      <c r="P286" s="50"/>
      <c r="Q286" s="50"/>
      <c r="R286" s="95" t="str">
        <f t="shared" si="34"/>
        <v/>
      </c>
      <c r="S286" s="95" t="str">
        <f t="shared" si="35"/>
        <v/>
      </c>
      <c r="T286" s="96">
        <f t="shared" si="36"/>
        <v>0</v>
      </c>
      <c r="U286" s="51"/>
    </row>
    <row r="287" spans="1:21" x14ac:dyDescent="0.25">
      <c r="A287" s="46">
        <f t="shared" si="3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3"/>
        <v>0</v>
      </c>
      <c r="P287" s="50"/>
      <c r="Q287" s="50"/>
      <c r="R287" s="95" t="str">
        <f t="shared" si="34"/>
        <v/>
      </c>
      <c r="S287" s="95" t="str">
        <f t="shared" si="35"/>
        <v/>
      </c>
      <c r="T287" s="96">
        <f t="shared" si="36"/>
        <v>0</v>
      </c>
      <c r="U287" s="51"/>
    </row>
    <row r="288" spans="1:21" x14ac:dyDescent="0.25">
      <c r="A288" s="46">
        <f t="shared" si="3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3"/>
        <v>0</v>
      </c>
      <c r="P288" s="50"/>
      <c r="Q288" s="50"/>
      <c r="R288" s="95" t="str">
        <f t="shared" si="34"/>
        <v/>
      </c>
      <c r="S288" s="95" t="str">
        <f t="shared" si="35"/>
        <v/>
      </c>
      <c r="T288" s="96">
        <f t="shared" si="36"/>
        <v>0</v>
      </c>
      <c r="U288" s="51"/>
    </row>
    <row r="289" spans="1:21" x14ac:dyDescent="0.25">
      <c r="A289" s="46">
        <f t="shared" si="3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3"/>
        <v>0</v>
      </c>
      <c r="P289" s="50"/>
      <c r="Q289" s="50"/>
      <c r="R289" s="95" t="str">
        <f t="shared" si="34"/>
        <v/>
      </c>
      <c r="S289" s="95" t="str">
        <f t="shared" si="35"/>
        <v/>
      </c>
      <c r="T289" s="96">
        <f t="shared" si="36"/>
        <v>0</v>
      </c>
      <c r="U289" s="51"/>
    </row>
    <row r="290" spans="1:21" x14ac:dyDescent="0.25">
      <c r="A290" s="46">
        <f t="shared" si="3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3"/>
        <v>0</v>
      </c>
      <c r="P290" s="50"/>
      <c r="Q290" s="50"/>
      <c r="R290" s="95" t="str">
        <f t="shared" si="34"/>
        <v/>
      </c>
      <c r="S290" s="95" t="str">
        <f t="shared" si="35"/>
        <v/>
      </c>
      <c r="T290" s="96">
        <f t="shared" si="36"/>
        <v>0</v>
      </c>
      <c r="U290" s="51"/>
    </row>
    <row r="291" spans="1:21" x14ac:dyDescent="0.25">
      <c r="A291" s="46">
        <f t="shared" si="3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3"/>
        <v>0</v>
      </c>
      <c r="P291" s="50"/>
      <c r="Q291" s="50"/>
      <c r="R291" s="95" t="str">
        <f t="shared" si="34"/>
        <v/>
      </c>
      <c r="S291" s="95" t="str">
        <f t="shared" si="35"/>
        <v/>
      </c>
      <c r="T291" s="96">
        <f t="shared" si="36"/>
        <v>0</v>
      </c>
      <c r="U291" s="51"/>
    </row>
    <row r="292" spans="1:21" x14ac:dyDescent="0.25">
      <c r="A292" s="46">
        <f t="shared" si="3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3"/>
        <v>0</v>
      </c>
      <c r="P292" s="50"/>
      <c r="Q292" s="50"/>
      <c r="R292" s="95" t="str">
        <f t="shared" si="34"/>
        <v/>
      </c>
      <c r="S292" s="95" t="str">
        <f t="shared" si="35"/>
        <v/>
      </c>
      <c r="T292" s="96">
        <f t="shared" si="36"/>
        <v>0</v>
      </c>
      <c r="U292" s="51"/>
    </row>
    <row r="293" spans="1:21" x14ac:dyDescent="0.25">
      <c r="A293" s="46">
        <f t="shared" si="3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3"/>
        <v>0</v>
      </c>
      <c r="P293" s="50"/>
      <c r="Q293" s="50"/>
      <c r="R293" s="95" t="str">
        <f t="shared" si="34"/>
        <v/>
      </c>
      <c r="S293" s="95" t="str">
        <f t="shared" si="35"/>
        <v/>
      </c>
      <c r="T293" s="96">
        <f t="shared" si="36"/>
        <v>0</v>
      </c>
      <c r="U293" s="51"/>
    </row>
    <row r="294" spans="1:21" x14ac:dyDescent="0.25">
      <c r="A294" s="46">
        <f t="shared" si="3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3"/>
        <v>0</v>
      </c>
      <c r="P294" s="50"/>
      <c r="Q294" s="50"/>
      <c r="R294" s="95" t="str">
        <f t="shared" si="34"/>
        <v/>
      </c>
      <c r="S294" s="95" t="str">
        <f t="shared" si="35"/>
        <v/>
      </c>
      <c r="T294" s="96">
        <f t="shared" si="36"/>
        <v>0</v>
      </c>
      <c r="U294" s="51"/>
    </row>
    <row r="295" spans="1:21" x14ac:dyDescent="0.25">
      <c r="A295" s="46">
        <f t="shared" si="3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3"/>
        <v>0</v>
      </c>
      <c r="P295" s="50"/>
      <c r="Q295" s="50"/>
      <c r="R295" s="95" t="str">
        <f t="shared" si="34"/>
        <v/>
      </c>
      <c r="S295" s="95" t="str">
        <f t="shared" si="35"/>
        <v/>
      </c>
      <c r="T295" s="96">
        <f t="shared" si="36"/>
        <v>0</v>
      </c>
      <c r="U295" s="51"/>
    </row>
    <row r="296" spans="1:21" x14ac:dyDescent="0.25">
      <c r="A296" s="46">
        <f t="shared" si="3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3"/>
        <v>0</v>
      </c>
      <c r="P296" s="50"/>
      <c r="Q296" s="50"/>
      <c r="R296" s="95" t="str">
        <f t="shared" si="34"/>
        <v/>
      </c>
      <c r="S296" s="95" t="str">
        <f t="shared" si="35"/>
        <v/>
      </c>
      <c r="T296" s="96">
        <f t="shared" si="36"/>
        <v>0</v>
      </c>
      <c r="U296" s="51"/>
    </row>
    <row r="297" spans="1:21" x14ac:dyDescent="0.25">
      <c r="A297" s="46">
        <f t="shared" si="3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3"/>
        <v>0</v>
      </c>
      <c r="P297" s="50"/>
      <c r="Q297" s="50"/>
      <c r="R297" s="95" t="str">
        <f t="shared" si="34"/>
        <v/>
      </c>
      <c r="S297" s="95" t="str">
        <f t="shared" si="35"/>
        <v/>
      </c>
      <c r="T297" s="96">
        <f t="shared" si="36"/>
        <v>0</v>
      </c>
      <c r="U297" s="51"/>
    </row>
    <row r="298" spans="1:21" x14ac:dyDescent="0.25">
      <c r="A298" s="46">
        <f t="shared" si="3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3"/>
        <v>0</v>
      </c>
      <c r="P298" s="50"/>
      <c r="Q298" s="50"/>
      <c r="R298" s="95" t="str">
        <f t="shared" si="34"/>
        <v/>
      </c>
      <c r="S298" s="95" t="str">
        <f t="shared" si="35"/>
        <v/>
      </c>
      <c r="T298" s="96">
        <f t="shared" si="36"/>
        <v>0</v>
      </c>
      <c r="U298" s="51"/>
    </row>
    <row r="299" spans="1:21" x14ac:dyDescent="0.25">
      <c r="A299" s="46">
        <f t="shared" si="3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3"/>
        <v>0</v>
      </c>
      <c r="P299" s="50"/>
      <c r="Q299" s="50"/>
      <c r="R299" s="95" t="str">
        <f t="shared" si="34"/>
        <v/>
      </c>
      <c r="S299" s="95" t="str">
        <f t="shared" si="35"/>
        <v/>
      </c>
      <c r="T299" s="96">
        <f t="shared" si="36"/>
        <v>0</v>
      </c>
      <c r="U299" s="51"/>
    </row>
    <row r="300" spans="1:21" x14ac:dyDescent="0.25">
      <c r="A300" s="46">
        <f t="shared" si="3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3"/>
        <v>0</v>
      </c>
      <c r="P300" s="50"/>
      <c r="Q300" s="50"/>
      <c r="R300" s="95" t="str">
        <f t="shared" si="34"/>
        <v/>
      </c>
      <c r="S300" s="95" t="str">
        <f t="shared" si="35"/>
        <v/>
      </c>
      <c r="T300" s="96">
        <f t="shared" si="36"/>
        <v>0</v>
      </c>
      <c r="U300" s="51"/>
    </row>
    <row r="301" spans="1:21" x14ac:dyDescent="0.25">
      <c r="A301" s="46">
        <f t="shared" si="3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3"/>
        <v>0</v>
      </c>
      <c r="P301" s="50"/>
      <c r="Q301" s="50"/>
      <c r="R301" s="95" t="str">
        <f t="shared" si="34"/>
        <v/>
      </c>
      <c r="S301" s="95" t="str">
        <f t="shared" si="35"/>
        <v/>
      </c>
      <c r="T301" s="96">
        <f t="shared" si="36"/>
        <v>0</v>
      </c>
      <c r="U301" s="51"/>
    </row>
    <row r="302" spans="1:21" x14ac:dyDescent="0.25">
      <c r="A302" s="46">
        <f t="shared" si="3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3"/>
        <v>0</v>
      </c>
      <c r="P302" s="50"/>
      <c r="Q302" s="50"/>
      <c r="R302" s="95" t="str">
        <f t="shared" si="34"/>
        <v/>
      </c>
      <c r="S302" s="95" t="str">
        <f t="shared" si="35"/>
        <v/>
      </c>
      <c r="T302" s="96">
        <f t="shared" si="36"/>
        <v>0</v>
      </c>
      <c r="U302" s="51"/>
    </row>
    <row r="303" spans="1:21" x14ac:dyDescent="0.25">
      <c r="A303" s="46">
        <f t="shared" si="3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3"/>
        <v>0</v>
      </c>
      <c r="P303" s="50"/>
      <c r="Q303" s="50"/>
      <c r="R303" s="95" t="str">
        <f t="shared" si="34"/>
        <v/>
      </c>
      <c r="S303" s="95" t="str">
        <f t="shared" si="35"/>
        <v/>
      </c>
      <c r="T303" s="96">
        <f t="shared" si="36"/>
        <v>0</v>
      </c>
      <c r="U303" s="51"/>
    </row>
    <row r="304" spans="1:21" x14ac:dyDescent="0.25">
      <c r="A304" s="46">
        <f t="shared" si="3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3"/>
        <v>0</v>
      </c>
      <c r="P304" s="50"/>
      <c r="Q304" s="50"/>
      <c r="R304" s="95" t="str">
        <f t="shared" si="34"/>
        <v/>
      </c>
      <c r="S304" s="95" t="str">
        <f t="shared" si="35"/>
        <v/>
      </c>
      <c r="T304" s="96">
        <f t="shared" si="36"/>
        <v>0</v>
      </c>
      <c r="U304" s="51"/>
    </row>
    <row r="305" spans="1:21" x14ac:dyDescent="0.25">
      <c r="A305" s="46">
        <f t="shared" si="3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3"/>
        <v>0</v>
      </c>
      <c r="P305" s="50"/>
      <c r="Q305" s="50"/>
      <c r="R305" s="95" t="str">
        <f t="shared" si="34"/>
        <v/>
      </c>
      <c r="S305" s="95" t="str">
        <f t="shared" si="35"/>
        <v/>
      </c>
      <c r="T305" s="96">
        <f t="shared" si="36"/>
        <v>0</v>
      </c>
      <c r="U305" s="51"/>
    </row>
    <row r="306" spans="1:21" x14ac:dyDescent="0.25">
      <c r="A306" s="46">
        <f t="shared" si="3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3"/>
        <v>0</v>
      </c>
      <c r="P306" s="50"/>
      <c r="Q306" s="50"/>
      <c r="R306" s="95" t="str">
        <f t="shared" si="34"/>
        <v/>
      </c>
      <c r="S306" s="95" t="str">
        <f t="shared" si="35"/>
        <v/>
      </c>
      <c r="T306" s="96">
        <f t="shared" si="36"/>
        <v>0</v>
      </c>
      <c r="U306" s="51"/>
    </row>
    <row r="307" spans="1:21" x14ac:dyDescent="0.25">
      <c r="A307" s="46">
        <f t="shared" si="3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3"/>
        <v>0</v>
      </c>
      <c r="P307" s="50"/>
      <c r="Q307" s="50"/>
      <c r="R307" s="95" t="str">
        <f t="shared" si="34"/>
        <v/>
      </c>
      <c r="S307" s="95" t="str">
        <f t="shared" si="35"/>
        <v/>
      </c>
      <c r="T307" s="96">
        <f t="shared" si="36"/>
        <v>0</v>
      </c>
      <c r="U307" s="51"/>
    </row>
    <row r="308" spans="1:21" x14ac:dyDescent="0.25">
      <c r="A308" s="46">
        <f t="shared" si="3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3"/>
        <v>0</v>
      </c>
      <c r="P308" s="50"/>
      <c r="Q308" s="50"/>
      <c r="R308" s="95" t="str">
        <f t="shared" si="34"/>
        <v/>
      </c>
      <c r="S308" s="95" t="str">
        <f t="shared" si="35"/>
        <v/>
      </c>
      <c r="T308" s="96">
        <f t="shared" si="36"/>
        <v>0</v>
      </c>
      <c r="U308" s="51"/>
    </row>
    <row r="309" spans="1:21" x14ac:dyDescent="0.25">
      <c r="A309" s="46">
        <f t="shared" si="3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3"/>
        <v>0</v>
      </c>
      <c r="P309" s="50"/>
      <c r="Q309" s="50"/>
      <c r="R309" s="95" t="str">
        <f t="shared" si="34"/>
        <v/>
      </c>
      <c r="S309" s="95" t="str">
        <f t="shared" si="35"/>
        <v/>
      </c>
      <c r="T309" s="96">
        <f t="shared" si="36"/>
        <v>0</v>
      </c>
      <c r="U309" s="51"/>
    </row>
    <row r="310" spans="1:21" x14ac:dyDescent="0.25">
      <c r="A310" s="46">
        <f t="shared" si="3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3"/>
        <v>0</v>
      </c>
      <c r="P310" s="50"/>
      <c r="Q310" s="50"/>
      <c r="R310" s="95" t="str">
        <f t="shared" si="34"/>
        <v/>
      </c>
      <c r="S310" s="95" t="str">
        <f t="shared" si="35"/>
        <v/>
      </c>
      <c r="T310" s="96">
        <f t="shared" si="36"/>
        <v>0</v>
      </c>
      <c r="U310" s="51"/>
    </row>
    <row r="311" spans="1:21" x14ac:dyDescent="0.25">
      <c r="A311" s="46">
        <f t="shared" si="3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3"/>
        <v>0</v>
      </c>
      <c r="P311" s="50"/>
      <c r="Q311" s="50"/>
      <c r="R311" s="95" t="str">
        <f t="shared" si="34"/>
        <v/>
      </c>
      <c r="S311" s="95" t="str">
        <f t="shared" si="35"/>
        <v/>
      </c>
      <c r="T311" s="96">
        <f t="shared" si="36"/>
        <v>0</v>
      </c>
      <c r="U311" s="51"/>
    </row>
    <row r="312" spans="1:21" x14ac:dyDescent="0.25">
      <c r="A312" s="46">
        <f t="shared" si="3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3"/>
        <v>0</v>
      </c>
      <c r="P312" s="50"/>
      <c r="Q312" s="50"/>
      <c r="R312" s="95" t="str">
        <f t="shared" si="34"/>
        <v/>
      </c>
      <c r="S312" s="95" t="str">
        <f t="shared" si="35"/>
        <v/>
      </c>
      <c r="T312" s="96">
        <f t="shared" si="36"/>
        <v>0</v>
      </c>
      <c r="U312" s="51"/>
    </row>
    <row r="313" spans="1:21" x14ac:dyDescent="0.25">
      <c r="A313" s="46">
        <f t="shared" si="3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3"/>
        <v>0</v>
      </c>
      <c r="P313" s="50"/>
      <c r="Q313" s="50"/>
      <c r="R313" s="95" t="str">
        <f t="shared" si="34"/>
        <v/>
      </c>
      <c r="S313" s="95" t="str">
        <f t="shared" si="35"/>
        <v/>
      </c>
      <c r="T313" s="96">
        <f t="shared" si="36"/>
        <v>0</v>
      </c>
      <c r="U313" s="51"/>
    </row>
    <row r="314" spans="1:21" x14ac:dyDescent="0.25">
      <c r="A314" s="46">
        <f t="shared" si="3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3"/>
        <v>0</v>
      </c>
      <c r="P314" s="50"/>
      <c r="Q314" s="50"/>
      <c r="R314" s="95" t="str">
        <f t="shared" si="34"/>
        <v/>
      </c>
      <c r="S314" s="95" t="str">
        <f t="shared" si="35"/>
        <v/>
      </c>
      <c r="T314" s="96">
        <f t="shared" si="36"/>
        <v>0</v>
      </c>
      <c r="U314" s="51"/>
    </row>
    <row r="315" spans="1:21" x14ac:dyDescent="0.25">
      <c r="A315" s="46">
        <f t="shared" si="3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3"/>
        <v>0</v>
      </c>
      <c r="P315" s="50"/>
      <c r="Q315" s="50"/>
      <c r="R315" s="95" t="str">
        <f t="shared" si="34"/>
        <v/>
      </c>
      <c r="S315" s="95" t="str">
        <f t="shared" si="35"/>
        <v/>
      </c>
      <c r="T315" s="96">
        <f t="shared" si="36"/>
        <v>0</v>
      </c>
      <c r="U315" s="51"/>
    </row>
    <row r="316" spans="1:21" x14ac:dyDescent="0.25">
      <c r="A316" s="46">
        <f t="shared" si="3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3"/>
        <v>0</v>
      </c>
      <c r="P316" s="50"/>
      <c r="Q316" s="50"/>
      <c r="R316" s="95" t="str">
        <f t="shared" si="34"/>
        <v/>
      </c>
      <c r="S316" s="95" t="str">
        <f t="shared" si="35"/>
        <v/>
      </c>
      <c r="T316" s="96">
        <f t="shared" si="36"/>
        <v>0</v>
      </c>
      <c r="U316" s="51"/>
    </row>
    <row r="317" spans="1:21" x14ac:dyDescent="0.25">
      <c r="A317" s="46">
        <f t="shared" si="3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3"/>
        <v>0</v>
      </c>
      <c r="P317" s="50"/>
      <c r="Q317" s="50"/>
      <c r="R317" s="95" t="str">
        <f t="shared" si="34"/>
        <v/>
      </c>
      <c r="S317" s="95" t="str">
        <f t="shared" si="35"/>
        <v/>
      </c>
      <c r="T317" s="96">
        <f t="shared" si="36"/>
        <v>0</v>
      </c>
      <c r="U317" s="51"/>
    </row>
    <row r="318" spans="1:21" x14ac:dyDescent="0.25">
      <c r="A318" s="46">
        <f t="shared" si="3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3"/>
        <v>0</v>
      </c>
      <c r="P318" s="50"/>
      <c r="Q318" s="50"/>
      <c r="R318" s="95" t="str">
        <f t="shared" si="34"/>
        <v/>
      </c>
      <c r="S318" s="95" t="str">
        <f t="shared" si="35"/>
        <v/>
      </c>
      <c r="T318" s="96">
        <f t="shared" si="36"/>
        <v>0</v>
      </c>
      <c r="U318" s="51"/>
    </row>
    <row r="319" spans="1:21" x14ac:dyDescent="0.25">
      <c r="A319" s="46">
        <f t="shared" si="3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3"/>
        <v>0</v>
      </c>
      <c r="P319" s="50"/>
      <c r="Q319" s="50"/>
      <c r="R319" s="95" t="str">
        <f t="shared" si="34"/>
        <v/>
      </c>
      <c r="S319" s="95" t="str">
        <f t="shared" si="35"/>
        <v/>
      </c>
      <c r="T319" s="96">
        <f t="shared" si="36"/>
        <v>0</v>
      </c>
      <c r="U319" s="51"/>
    </row>
    <row r="320" spans="1:21" x14ac:dyDescent="0.25">
      <c r="A320" s="46">
        <f t="shared" si="3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3"/>
        <v>0</v>
      </c>
      <c r="P320" s="50"/>
      <c r="Q320" s="50"/>
      <c r="R320" s="95" t="str">
        <f t="shared" si="34"/>
        <v/>
      </c>
      <c r="S320" s="95" t="str">
        <f t="shared" si="35"/>
        <v/>
      </c>
      <c r="T320" s="96">
        <f t="shared" si="36"/>
        <v>0</v>
      </c>
      <c r="U320" s="51"/>
    </row>
    <row r="321" spans="1:21" x14ac:dyDescent="0.25">
      <c r="A321" s="46">
        <f t="shared" si="3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3"/>
        <v>0</v>
      </c>
      <c r="P321" s="50"/>
      <c r="Q321" s="50"/>
      <c r="R321" s="95" t="str">
        <f t="shared" si="34"/>
        <v/>
      </c>
      <c r="S321" s="95" t="str">
        <f t="shared" si="35"/>
        <v/>
      </c>
      <c r="T321" s="96">
        <f t="shared" si="36"/>
        <v>0</v>
      </c>
      <c r="U321" s="51"/>
    </row>
    <row r="322" spans="1:21" x14ac:dyDescent="0.25">
      <c r="A322" s="46">
        <f t="shared" si="3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3"/>
        <v>0</v>
      </c>
      <c r="P322" s="50"/>
      <c r="Q322" s="50"/>
      <c r="R322" s="95" t="str">
        <f t="shared" si="34"/>
        <v/>
      </c>
      <c r="S322" s="95" t="str">
        <f t="shared" si="35"/>
        <v/>
      </c>
      <c r="T322" s="96">
        <f t="shared" si="36"/>
        <v>0</v>
      </c>
      <c r="U322" s="51"/>
    </row>
    <row r="323" spans="1:21" x14ac:dyDescent="0.25">
      <c r="A323" s="46">
        <f t="shared" si="3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3"/>
        <v>0</v>
      </c>
      <c r="P323" s="50"/>
      <c r="Q323" s="50"/>
      <c r="R323" s="95" t="str">
        <f t="shared" si="34"/>
        <v/>
      </c>
      <c r="S323" s="95" t="str">
        <f t="shared" si="35"/>
        <v/>
      </c>
      <c r="T323" s="96">
        <f t="shared" si="36"/>
        <v>0</v>
      </c>
      <c r="U323" s="51"/>
    </row>
    <row r="324" spans="1:21" x14ac:dyDescent="0.25">
      <c r="A324" s="46">
        <f t="shared" si="3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3"/>
        <v>0</v>
      </c>
      <c r="P324" s="50"/>
      <c r="Q324" s="50"/>
      <c r="R324" s="95" t="str">
        <f t="shared" si="34"/>
        <v/>
      </c>
      <c r="S324" s="95" t="str">
        <f t="shared" si="35"/>
        <v/>
      </c>
      <c r="T324" s="96">
        <f t="shared" si="36"/>
        <v>0</v>
      </c>
      <c r="U324" s="51"/>
    </row>
    <row r="325" spans="1:21" x14ac:dyDescent="0.25">
      <c r="A325" s="46">
        <f t="shared" si="3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3"/>
        <v>0</v>
      </c>
      <c r="P325" s="50"/>
      <c r="Q325" s="50"/>
      <c r="R325" s="95" t="str">
        <f t="shared" si="34"/>
        <v/>
      </c>
      <c r="S325" s="95" t="str">
        <f t="shared" si="35"/>
        <v/>
      </c>
      <c r="T325" s="96">
        <f t="shared" si="36"/>
        <v>0</v>
      </c>
      <c r="U325" s="51"/>
    </row>
    <row r="326" spans="1:21" x14ac:dyDescent="0.25">
      <c r="A326" s="46">
        <f t="shared" si="3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3"/>
        <v>0</v>
      </c>
      <c r="P326" s="50"/>
      <c r="Q326" s="50"/>
      <c r="R326" s="95" t="str">
        <f t="shared" si="34"/>
        <v/>
      </c>
      <c r="S326" s="95" t="str">
        <f t="shared" si="35"/>
        <v/>
      </c>
      <c r="T326" s="96">
        <f t="shared" si="36"/>
        <v>0</v>
      </c>
      <c r="U326" s="51"/>
    </row>
    <row r="327" spans="1:21" x14ac:dyDescent="0.25">
      <c r="A327" s="46">
        <f t="shared" si="3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3"/>
        <v>0</v>
      </c>
      <c r="P327" s="50"/>
      <c r="Q327" s="50"/>
      <c r="R327" s="95" t="str">
        <f t="shared" si="34"/>
        <v/>
      </c>
      <c r="S327" s="95" t="str">
        <f t="shared" si="35"/>
        <v/>
      </c>
      <c r="T327" s="96">
        <f t="shared" si="36"/>
        <v>0</v>
      </c>
      <c r="U327" s="51"/>
    </row>
    <row r="328" spans="1:21" x14ac:dyDescent="0.25">
      <c r="A328" s="46">
        <f t="shared" si="3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3"/>
        <v>0</v>
      </c>
      <c r="P328" s="50"/>
      <c r="Q328" s="50"/>
      <c r="R328" s="95" t="str">
        <f t="shared" si="34"/>
        <v/>
      </c>
      <c r="S328" s="95" t="str">
        <f t="shared" si="35"/>
        <v/>
      </c>
      <c r="T328" s="96">
        <f t="shared" si="36"/>
        <v>0</v>
      </c>
      <c r="U328" s="51"/>
    </row>
    <row r="329" spans="1:21" x14ac:dyDescent="0.25">
      <c r="A329" s="46">
        <f t="shared" si="3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3"/>
        <v>0</v>
      </c>
      <c r="P329" s="50"/>
      <c r="Q329" s="50"/>
      <c r="R329" s="95" t="str">
        <f t="shared" si="34"/>
        <v/>
      </c>
      <c r="S329" s="95" t="str">
        <f t="shared" si="35"/>
        <v/>
      </c>
      <c r="T329" s="96">
        <f t="shared" si="36"/>
        <v>0</v>
      </c>
      <c r="U329" s="51"/>
    </row>
    <row r="330" spans="1:21" x14ac:dyDescent="0.25">
      <c r="A330" s="46">
        <f t="shared" si="3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3"/>
        <v>0</v>
      </c>
      <c r="P330" s="50"/>
      <c r="Q330" s="50"/>
      <c r="R330" s="95" t="str">
        <f t="shared" si="34"/>
        <v/>
      </c>
      <c r="S330" s="95" t="str">
        <f t="shared" si="35"/>
        <v/>
      </c>
      <c r="T330" s="96">
        <f t="shared" si="36"/>
        <v>0</v>
      </c>
      <c r="U330" s="51"/>
    </row>
    <row r="331" spans="1:21" x14ac:dyDescent="0.25">
      <c r="A331" s="46">
        <f t="shared" si="3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3"/>
        <v>0</v>
      </c>
      <c r="P331" s="50"/>
      <c r="Q331" s="50"/>
      <c r="R331" s="95" t="str">
        <f t="shared" si="34"/>
        <v/>
      </c>
      <c r="S331" s="95" t="str">
        <f t="shared" si="35"/>
        <v/>
      </c>
      <c r="T331" s="96">
        <f t="shared" si="36"/>
        <v>0</v>
      </c>
      <c r="U331" s="51"/>
    </row>
    <row r="332" spans="1:21" x14ac:dyDescent="0.25">
      <c r="A332" s="46">
        <f t="shared" ref="A332:A395" si="3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8">T332*N332</f>
        <v>0</v>
      </c>
      <c r="P332" s="50"/>
      <c r="Q332" s="50"/>
      <c r="R332" s="95" t="str">
        <f t="shared" ref="R332:R395" si="39">IF(OR(P332="c",P332="C"),+T332,"")</f>
        <v/>
      </c>
      <c r="S332" s="95" t="str">
        <f t="shared" ref="S332:S395" si="40">IF(OR(P332="$",N332=1),+T332,"")</f>
        <v/>
      </c>
      <c r="T332" s="96">
        <f t="shared" ref="T332:T395" si="4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8"/>
        <v>0</v>
      </c>
      <c r="P333" s="50"/>
      <c r="Q333" s="50"/>
      <c r="R333" s="95" t="str">
        <f t="shared" si="39"/>
        <v/>
      </c>
      <c r="S333" s="95" t="str">
        <f t="shared" si="40"/>
        <v/>
      </c>
      <c r="T333" s="96">
        <f t="shared" si="41"/>
        <v>0</v>
      </c>
      <c r="U333" s="51"/>
    </row>
    <row r="334" spans="1:21" x14ac:dyDescent="0.25">
      <c r="A334" s="46">
        <f t="shared" si="3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8"/>
        <v>0</v>
      </c>
      <c r="P334" s="50"/>
      <c r="Q334" s="50"/>
      <c r="R334" s="95" t="str">
        <f t="shared" si="39"/>
        <v/>
      </c>
      <c r="S334" s="95" t="str">
        <f t="shared" si="40"/>
        <v/>
      </c>
      <c r="T334" s="96">
        <f t="shared" si="41"/>
        <v>0</v>
      </c>
      <c r="U334" s="51"/>
    </row>
    <row r="335" spans="1:21" x14ac:dyDescent="0.25">
      <c r="A335" s="46">
        <f t="shared" si="3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8"/>
        <v>0</v>
      </c>
      <c r="P335" s="50"/>
      <c r="Q335" s="50"/>
      <c r="R335" s="95" t="str">
        <f t="shared" si="39"/>
        <v/>
      </c>
      <c r="S335" s="95" t="str">
        <f t="shared" si="40"/>
        <v/>
      </c>
      <c r="T335" s="96">
        <f t="shared" si="41"/>
        <v>0</v>
      </c>
      <c r="U335" s="51"/>
    </row>
    <row r="336" spans="1:21" x14ac:dyDescent="0.25">
      <c r="A336" s="46">
        <f t="shared" si="3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8"/>
        <v>0</v>
      </c>
      <c r="P336" s="50"/>
      <c r="Q336" s="50"/>
      <c r="R336" s="95" t="str">
        <f t="shared" si="39"/>
        <v/>
      </c>
      <c r="S336" s="95" t="str">
        <f t="shared" si="40"/>
        <v/>
      </c>
      <c r="T336" s="96">
        <f t="shared" si="41"/>
        <v>0</v>
      </c>
      <c r="U336" s="51"/>
    </row>
    <row r="337" spans="1:21" x14ac:dyDescent="0.25">
      <c r="A337" s="46">
        <f t="shared" si="3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8"/>
        <v>0</v>
      </c>
      <c r="P337" s="50"/>
      <c r="Q337" s="50"/>
      <c r="R337" s="95" t="str">
        <f t="shared" si="39"/>
        <v/>
      </c>
      <c r="S337" s="95" t="str">
        <f t="shared" si="40"/>
        <v/>
      </c>
      <c r="T337" s="96">
        <f t="shared" si="41"/>
        <v>0</v>
      </c>
      <c r="U337" s="51"/>
    </row>
    <row r="338" spans="1:21" x14ac:dyDescent="0.25">
      <c r="A338" s="46">
        <f t="shared" si="3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8"/>
        <v>0</v>
      </c>
      <c r="P338" s="50"/>
      <c r="Q338" s="50"/>
      <c r="R338" s="95" t="str">
        <f t="shared" si="39"/>
        <v/>
      </c>
      <c r="S338" s="95" t="str">
        <f t="shared" si="40"/>
        <v/>
      </c>
      <c r="T338" s="96">
        <f t="shared" si="41"/>
        <v>0</v>
      </c>
      <c r="U338" s="51"/>
    </row>
    <row r="339" spans="1:21" x14ac:dyDescent="0.25">
      <c r="A339" s="46">
        <f t="shared" si="3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8"/>
        <v>0</v>
      </c>
      <c r="P339" s="50"/>
      <c r="Q339" s="50"/>
      <c r="R339" s="95" t="str">
        <f t="shared" si="39"/>
        <v/>
      </c>
      <c r="S339" s="95" t="str">
        <f t="shared" si="40"/>
        <v/>
      </c>
      <c r="T339" s="96">
        <f t="shared" si="41"/>
        <v>0</v>
      </c>
      <c r="U339" s="51"/>
    </row>
    <row r="340" spans="1:21" x14ac:dyDescent="0.25">
      <c r="A340" s="46">
        <f t="shared" si="3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8"/>
        <v>0</v>
      </c>
      <c r="P340" s="50"/>
      <c r="Q340" s="50"/>
      <c r="R340" s="95" t="str">
        <f t="shared" si="39"/>
        <v/>
      </c>
      <c r="S340" s="95" t="str">
        <f t="shared" si="40"/>
        <v/>
      </c>
      <c r="T340" s="96">
        <f t="shared" si="41"/>
        <v>0</v>
      </c>
      <c r="U340" s="51"/>
    </row>
    <row r="341" spans="1:21" x14ac:dyDescent="0.25">
      <c r="A341" s="46">
        <f t="shared" si="3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8"/>
        <v>0</v>
      </c>
      <c r="P341" s="50"/>
      <c r="Q341" s="50"/>
      <c r="R341" s="95" t="str">
        <f t="shared" si="39"/>
        <v/>
      </c>
      <c r="S341" s="95" t="str">
        <f t="shared" si="40"/>
        <v/>
      </c>
      <c r="T341" s="96">
        <f t="shared" si="41"/>
        <v>0</v>
      </c>
      <c r="U341" s="51"/>
    </row>
    <row r="342" spans="1:21" x14ac:dyDescent="0.25">
      <c r="A342" s="46">
        <f t="shared" si="3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8"/>
        <v>0</v>
      </c>
      <c r="P342" s="50"/>
      <c r="Q342" s="50"/>
      <c r="R342" s="95" t="str">
        <f t="shared" si="39"/>
        <v/>
      </c>
      <c r="S342" s="95" t="str">
        <f t="shared" si="40"/>
        <v/>
      </c>
      <c r="T342" s="96">
        <f t="shared" si="41"/>
        <v>0</v>
      </c>
      <c r="U342" s="51"/>
    </row>
    <row r="343" spans="1:21" x14ac:dyDescent="0.25">
      <c r="A343" s="46">
        <f t="shared" si="3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8"/>
        <v>0</v>
      </c>
      <c r="P343" s="50"/>
      <c r="Q343" s="50"/>
      <c r="R343" s="95" t="str">
        <f t="shared" si="39"/>
        <v/>
      </c>
      <c r="S343" s="95" t="str">
        <f t="shared" si="40"/>
        <v/>
      </c>
      <c r="T343" s="96">
        <f t="shared" si="41"/>
        <v>0</v>
      </c>
      <c r="U343" s="51"/>
    </row>
    <row r="344" spans="1:21" x14ac:dyDescent="0.25">
      <c r="A344" s="46">
        <f t="shared" si="3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8"/>
        <v>0</v>
      </c>
      <c r="P344" s="50"/>
      <c r="Q344" s="50"/>
      <c r="R344" s="95" t="str">
        <f t="shared" si="39"/>
        <v/>
      </c>
      <c r="S344" s="95" t="str">
        <f t="shared" si="40"/>
        <v/>
      </c>
      <c r="T344" s="96">
        <f t="shared" si="41"/>
        <v>0</v>
      </c>
      <c r="U344" s="51"/>
    </row>
    <row r="345" spans="1:21" x14ac:dyDescent="0.25">
      <c r="A345" s="46">
        <f t="shared" si="3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8"/>
        <v>0</v>
      </c>
      <c r="P345" s="50"/>
      <c r="Q345" s="50"/>
      <c r="R345" s="95" t="str">
        <f t="shared" si="39"/>
        <v/>
      </c>
      <c r="S345" s="95" t="str">
        <f t="shared" si="40"/>
        <v/>
      </c>
      <c r="T345" s="96">
        <f t="shared" si="41"/>
        <v>0</v>
      </c>
      <c r="U345" s="51"/>
    </row>
    <row r="346" spans="1:21" x14ac:dyDescent="0.25">
      <c r="A346" s="46">
        <f t="shared" si="3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8"/>
        <v>0</v>
      </c>
      <c r="P346" s="50"/>
      <c r="Q346" s="50"/>
      <c r="R346" s="95" t="str">
        <f t="shared" si="39"/>
        <v/>
      </c>
      <c r="S346" s="95" t="str">
        <f t="shared" si="40"/>
        <v/>
      </c>
      <c r="T346" s="96">
        <f t="shared" si="41"/>
        <v>0</v>
      </c>
      <c r="U346" s="51"/>
    </row>
    <row r="347" spans="1:21" x14ac:dyDescent="0.25">
      <c r="A347" s="46">
        <f t="shared" si="3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8"/>
        <v>0</v>
      </c>
      <c r="P347" s="50"/>
      <c r="Q347" s="50"/>
      <c r="R347" s="95" t="str">
        <f t="shared" si="39"/>
        <v/>
      </c>
      <c r="S347" s="95" t="str">
        <f t="shared" si="40"/>
        <v/>
      </c>
      <c r="T347" s="96">
        <f t="shared" si="41"/>
        <v>0</v>
      </c>
      <c r="U347" s="51"/>
    </row>
    <row r="348" spans="1:21" x14ac:dyDescent="0.25">
      <c r="A348" s="46">
        <f t="shared" si="3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8"/>
        <v>0</v>
      </c>
      <c r="P348" s="50"/>
      <c r="Q348" s="50"/>
      <c r="R348" s="95" t="str">
        <f t="shared" si="39"/>
        <v/>
      </c>
      <c r="S348" s="95" t="str">
        <f t="shared" si="40"/>
        <v/>
      </c>
      <c r="T348" s="96">
        <f t="shared" si="41"/>
        <v>0</v>
      </c>
      <c r="U348" s="51"/>
    </row>
    <row r="349" spans="1:21" x14ac:dyDescent="0.25">
      <c r="A349" s="46">
        <f t="shared" si="3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8"/>
        <v>0</v>
      </c>
      <c r="P349" s="50"/>
      <c r="Q349" s="50"/>
      <c r="R349" s="95" t="str">
        <f t="shared" si="39"/>
        <v/>
      </c>
      <c r="S349" s="95" t="str">
        <f t="shared" si="40"/>
        <v/>
      </c>
      <c r="T349" s="96">
        <f t="shared" si="41"/>
        <v>0</v>
      </c>
      <c r="U349" s="51"/>
    </row>
    <row r="350" spans="1:21" x14ac:dyDescent="0.25">
      <c r="A350" s="46">
        <f t="shared" si="3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8"/>
        <v>0</v>
      </c>
      <c r="P350" s="50"/>
      <c r="Q350" s="50"/>
      <c r="R350" s="95" t="str">
        <f t="shared" si="39"/>
        <v/>
      </c>
      <c r="S350" s="95" t="str">
        <f t="shared" si="40"/>
        <v/>
      </c>
      <c r="T350" s="96">
        <f t="shared" si="41"/>
        <v>0</v>
      </c>
      <c r="U350" s="51"/>
    </row>
    <row r="351" spans="1:21" x14ac:dyDescent="0.25">
      <c r="A351" s="46">
        <f t="shared" si="3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8"/>
        <v>0</v>
      </c>
      <c r="P351" s="50"/>
      <c r="Q351" s="50"/>
      <c r="R351" s="95" t="str">
        <f t="shared" si="39"/>
        <v/>
      </c>
      <c r="S351" s="95" t="str">
        <f t="shared" si="40"/>
        <v/>
      </c>
      <c r="T351" s="96">
        <f t="shared" si="41"/>
        <v>0</v>
      </c>
      <c r="U351" s="51"/>
    </row>
    <row r="352" spans="1:21" x14ac:dyDescent="0.25">
      <c r="A352" s="46">
        <f t="shared" si="3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8"/>
        <v>0</v>
      </c>
      <c r="P352" s="50"/>
      <c r="Q352" s="50"/>
      <c r="R352" s="95" t="str">
        <f t="shared" si="39"/>
        <v/>
      </c>
      <c r="S352" s="95" t="str">
        <f t="shared" si="40"/>
        <v/>
      </c>
      <c r="T352" s="96">
        <f t="shared" si="41"/>
        <v>0</v>
      </c>
      <c r="U352" s="51"/>
    </row>
    <row r="353" spans="1:21" x14ac:dyDescent="0.25">
      <c r="A353" s="46">
        <f t="shared" si="3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8"/>
        <v>0</v>
      </c>
      <c r="P353" s="50"/>
      <c r="Q353" s="50"/>
      <c r="R353" s="95" t="str">
        <f t="shared" si="39"/>
        <v/>
      </c>
      <c r="S353" s="95" t="str">
        <f t="shared" si="40"/>
        <v/>
      </c>
      <c r="T353" s="96">
        <f t="shared" si="41"/>
        <v>0</v>
      </c>
      <c r="U353" s="51"/>
    </row>
    <row r="354" spans="1:21" x14ac:dyDescent="0.25">
      <c r="A354" s="46">
        <f t="shared" si="3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8"/>
        <v>0</v>
      </c>
      <c r="P354" s="50"/>
      <c r="Q354" s="50"/>
      <c r="R354" s="95" t="str">
        <f t="shared" si="39"/>
        <v/>
      </c>
      <c r="S354" s="95" t="str">
        <f t="shared" si="40"/>
        <v/>
      </c>
      <c r="T354" s="96">
        <f t="shared" si="41"/>
        <v>0</v>
      </c>
      <c r="U354" s="51"/>
    </row>
    <row r="355" spans="1:21" x14ac:dyDescent="0.25">
      <c r="A355" s="46">
        <f t="shared" si="3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8"/>
        <v>0</v>
      </c>
      <c r="P355" s="50"/>
      <c r="Q355" s="50"/>
      <c r="R355" s="95" t="str">
        <f t="shared" si="39"/>
        <v/>
      </c>
      <c r="S355" s="95" t="str">
        <f t="shared" si="40"/>
        <v/>
      </c>
      <c r="T355" s="96">
        <f t="shared" si="41"/>
        <v>0</v>
      </c>
      <c r="U355" s="51"/>
    </row>
    <row r="356" spans="1:21" x14ac:dyDescent="0.25">
      <c r="A356" s="46">
        <f t="shared" si="3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8"/>
        <v>0</v>
      </c>
      <c r="P356" s="50"/>
      <c r="Q356" s="50"/>
      <c r="R356" s="95" t="str">
        <f t="shared" si="39"/>
        <v/>
      </c>
      <c r="S356" s="95" t="str">
        <f t="shared" si="40"/>
        <v/>
      </c>
      <c r="T356" s="96">
        <f t="shared" si="41"/>
        <v>0</v>
      </c>
      <c r="U356" s="51"/>
    </row>
    <row r="357" spans="1:21" x14ac:dyDescent="0.25">
      <c r="A357" s="46">
        <f t="shared" si="3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8"/>
        <v>0</v>
      </c>
      <c r="P357" s="50"/>
      <c r="Q357" s="50"/>
      <c r="R357" s="95" t="str">
        <f t="shared" si="39"/>
        <v/>
      </c>
      <c r="S357" s="95" t="str">
        <f t="shared" si="40"/>
        <v/>
      </c>
      <c r="T357" s="96">
        <f t="shared" si="41"/>
        <v>0</v>
      </c>
      <c r="U357" s="51"/>
    </row>
    <row r="358" spans="1:21" x14ac:dyDescent="0.25">
      <c r="A358" s="46">
        <f t="shared" si="3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8"/>
        <v>0</v>
      </c>
      <c r="P358" s="50"/>
      <c r="Q358" s="50"/>
      <c r="R358" s="95" t="str">
        <f t="shared" si="39"/>
        <v/>
      </c>
      <c r="S358" s="95" t="str">
        <f t="shared" si="40"/>
        <v/>
      </c>
      <c r="T358" s="96">
        <f t="shared" si="41"/>
        <v>0</v>
      </c>
      <c r="U358" s="51"/>
    </row>
    <row r="359" spans="1:21" x14ac:dyDescent="0.25">
      <c r="A359" s="46">
        <f t="shared" si="3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8"/>
        <v>0</v>
      </c>
      <c r="P359" s="50"/>
      <c r="Q359" s="50"/>
      <c r="R359" s="95" t="str">
        <f t="shared" si="39"/>
        <v/>
      </c>
      <c r="S359" s="95" t="str">
        <f t="shared" si="40"/>
        <v/>
      </c>
      <c r="T359" s="96">
        <f t="shared" si="41"/>
        <v>0</v>
      </c>
      <c r="U359" s="51"/>
    </row>
    <row r="360" spans="1:21" x14ac:dyDescent="0.25">
      <c r="A360" s="46">
        <f t="shared" si="3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8"/>
        <v>0</v>
      </c>
      <c r="P360" s="50"/>
      <c r="Q360" s="50"/>
      <c r="R360" s="95" t="str">
        <f t="shared" si="39"/>
        <v/>
      </c>
      <c r="S360" s="95" t="str">
        <f t="shared" si="40"/>
        <v/>
      </c>
      <c r="T360" s="96">
        <f t="shared" si="41"/>
        <v>0</v>
      </c>
      <c r="U360" s="51"/>
    </row>
    <row r="361" spans="1:21" x14ac:dyDescent="0.25">
      <c r="A361" s="46">
        <f t="shared" si="3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8"/>
        <v>0</v>
      </c>
      <c r="P361" s="50"/>
      <c r="Q361" s="50"/>
      <c r="R361" s="95" t="str">
        <f t="shared" si="39"/>
        <v/>
      </c>
      <c r="S361" s="95" t="str">
        <f t="shared" si="40"/>
        <v/>
      </c>
      <c r="T361" s="96">
        <f t="shared" si="41"/>
        <v>0</v>
      </c>
      <c r="U361" s="51"/>
    </row>
    <row r="362" spans="1:21" x14ac:dyDescent="0.25">
      <c r="A362" s="46">
        <f t="shared" si="3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8"/>
        <v>0</v>
      </c>
      <c r="P362" s="50"/>
      <c r="Q362" s="50"/>
      <c r="R362" s="95" t="str">
        <f t="shared" si="39"/>
        <v/>
      </c>
      <c r="S362" s="95" t="str">
        <f t="shared" si="40"/>
        <v/>
      </c>
      <c r="T362" s="96">
        <f t="shared" si="41"/>
        <v>0</v>
      </c>
      <c r="U362" s="51"/>
    </row>
    <row r="363" spans="1:21" x14ac:dyDescent="0.25">
      <c r="A363" s="46">
        <f t="shared" si="3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8"/>
        <v>0</v>
      </c>
      <c r="P363" s="50"/>
      <c r="Q363" s="50"/>
      <c r="R363" s="95" t="str">
        <f t="shared" si="39"/>
        <v/>
      </c>
      <c r="S363" s="95" t="str">
        <f t="shared" si="40"/>
        <v/>
      </c>
      <c r="T363" s="96">
        <f t="shared" si="41"/>
        <v>0</v>
      </c>
      <c r="U363" s="51"/>
    </row>
    <row r="364" spans="1:21" x14ac:dyDescent="0.25">
      <c r="A364" s="46">
        <f t="shared" si="3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8"/>
        <v>0</v>
      </c>
      <c r="P364" s="50"/>
      <c r="Q364" s="50"/>
      <c r="R364" s="95" t="str">
        <f t="shared" si="39"/>
        <v/>
      </c>
      <c r="S364" s="95" t="str">
        <f t="shared" si="40"/>
        <v/>
      </c>
      <c r="T364" s="96">
        <f t="shared" si="41"/>
        <v>0</v>
      </c>
      <c r="U364" s="51"/>
    </row>
    <row r="365" spans="1:21" x14ac:dyDescent="0.25">
      <c r="A365" s="46">
        <f t="shared" si="3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8"/>
        <v>0</v>
      </c>
      <c r="P365" s="50"/>
      <c r="Q365" s="50"/>
      <c r="R365" s="95" t="str">
        <f t="shared" si="39"/>
        <v/>
      </c>
      <c r="S365" s="95" t="str">
        <f t="shared" si="40"/>
        <v/>
      </c>
      <c r="T365" s="96">
        <f t="shared" si="41"/>
        <v>0</v>
      </c>
      <c r="U365" s="51"/>
    </row>
    <row r="366" spans="1:21" x14ac:dyDescent="0.25">
      <c r="A366" s="46">
        <f t="shared" si="3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8"/>
        <v>0</v>
      </c>
      <c r="P366" s="50"/>
      <c r="Q366" s="50"/>
      <c r="R366" s="95" t="str">
        <f t="shared" si="39"/>
        <v/>
      </c>
      <c r="S366" s="95" t="str">
        <f t="shared" si="40"/>
        <v/>
      </c>
      <c r="T366" s="96">
        <f t="shared" si="41"/>
        <v>0</v>
      </c>
      <c r="U366" s="51"/>
    </row>
    <row r="367" spans="1:21" x14ac:dyDescent="0.25">
      <c r="A367" s="46">
        <f t="shared" si="3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8"/>
        <v>0</v>
      </c>
      <c r="P367" s="50"/>
      <c r="Q367" s="50"/>
      <c r="R367" s="95" t="str">
        <f t="shared" si="39"/>
        <v/>
      </c>
      <c r="S367" s="95" t="str">
        <f t="shared" si="40"/>
        <v/>
      </c>
      <c r="T367" s="96">
        <f t="shared" si="41"/>
        <v>0</v>
      </c>
      <c r="U367" s="51"/>
    </row>
    <row r="368" spans="1:21" x14ac:dyDescent="0.25">
      <c r="A368" s="46">
        <f t="shared" si="3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8"/>
        <v>0</v>
      </c>
      <c r="P368" s="50"/>
      <c r="Q368" s="50"/>
      <c r="R368" s="95" t="str">
        <f t="shared" si="39"/>
        <v/>
      </c>
      <c r="S368" s="95" t="str">
        <f t="shared" si="40"/>
        <v/>
      </c>
      <c r="T368" s="96">
        <f t="shared" si="41"/>
        <v>0</v>
      </c>
      <c r="U368" s="51"/>
    </row>
    <row r="369" spans="1:21" x14ac:dyDescent="0.25">
      <c r="A369" s="46">
        <f t="shared" si="3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8"/>
        <v>0</v>
      </c>
      <c r="P369" s="50"/>
      <c r="Q369" s="50"/>
      <c r="R369" s="95" t="str">
        <f t="shared" si="39"/>
        <v/>
      </c>
      <c r="S369" s="95" t="str">
        <f t="shared" si="40"/>
        <v/>
      </c>
      <c r="T369" s="96">
        <f t="shared" si="41"/>
        <v>0</v>
      </c>
      <c r="U369" s="51"/>
    </row>
    <row r="370" spans="1:21" x14ac:dyDescent="0.25">
      <c r="A370" s="46">
        <f t="shared" si="3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8"/>
        <v>0</v>
      </c>
      <c r="P370" s="50"/>
      <c r="Q370" s="50"/>
      <c r="R370" s="95" t="str">
        <f t="shared" si="39"/>
        <v/>
      </c>
      <c r="S370" s="95" t="str">
        <f t="shared" si="40"/>
        <v/>
      </c>
      <c r="T370" s="96">
        <f t="shared" si="41"/>
        <v>0</v>
      </c>
      <c r="U370" s="51"/>
    </row>
    <row r="371" spans="1:21" x14ac:dyDescent="0.25">
      <c r="A371" s="46">
        <f t="shared" si="3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8"/>
        <v>0</v>
      </c>
      <c r="P371" s="50"/>
      <c r="Q371" s="50"/>
      <c r="R371" s="95" t="str">
        <f t="shared" si="39"/>
        <v/>
      </c>
      <c r="S371" s="95" t="str">
        <f t="shared" si="40"/>
        <v/>
      </c>
      <c r="T371" s="96">
        <f t="shared" si="41"/>
        <v>0</v>
      </c>
      <c r="U371" s="51"/>
    </row>
    <row r="372" spans="1:21" x14ac:dyDescent="0.25">
      <c r="A372" s="46">
        <f t="shared" si="3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8"/>
        <v>0</v>
      </c>
      <c r="P372" s="50"/>
      <c r="Q372" s="50"/>
      <c r="R372" s="95" t="str">
        <f t="shared" si="39"/>
        <v/>
      </c>
      <c r="S372" s="95" t="str">
        <f t="shared" si="40"/>
        <v/>
      </c>
      <c r="T372" s="96">
        <f t="shared" si="41"/>
        <v>0</v>
      </c>
      <c r="U372" s="51"/>
    </row>
    <row r="373" spans="1:21" x14ac:dyDescent="0.25">
      <c r="A373" s="46">
        <f t="shared" si="3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8"/>
        <v>0</v>
      </c>
      <c r="P373" s="50"/>
      <c r="Q373" s="50"/>
      <c r="R373" s="95" t="str">
        <f t="shared" si="39"/>
        <v/>
      </c>
      <c r="S373" s="95" t="str">
        <f t="shared" si="40"/>
        <v/>
      </c>
      <c r="T373" s="96">
        <f t="shared" si="41"/>
        <v>0</v>
      </c>
      <c r="U373" s="51"/>
    </row>
    <row r="374" spans="1:21" x14ac:dyDescent="0.25">
      <c r="A374" s="46">
        <f t="shared" si="3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8"/>
        <v>0</v>
      </c>
      <c r="P374" s="50"/>
      <c r="Q374" s="50"/>
      <c r="R374" s="95" t="str">
        <f t="shared" si="39"/>
        <v/>
      </c>
      <c r="S374" s="95" t="str">
        <f t="shared" si="40"/>
        <v/>
      </c>
      <c r="T374" s="96">
        <f t="shared" si="41"/>
        <v>0</v>
      </c>
      <c r="U374" s="51"/>
    </row>
    <row r="375" spans="1:21" x14ac:dyDescent="0.25">
      <c r="A375" s="46">
        <f t="shared" si="3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8"/>
        <v>0</v>
      </c>
      <c r="P375" s="50"/>
      <c r="Q375" s="50"/>
      <c r="R375" s="95" t="str">
        <f t="shared" si="39"/>
        <v/>
      </c>
      <c r="S375" s="95" t="str">
        <f t="shared" si="40"/>
        <v/>
      </c>
      <c r="T375" s="96">
        <f t="shared" si="41"/>
        <v>0</v>
      </c>
      <c r="U375" s="51"/>
    </row>
    <row r="376" spans="1:21" x14ac:dyDescent="0.25">
      <c r="A376" s="46">
        <f t="shared" si="3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8"/>
        <v>0</v>
      </c>
      <c r="P376" s="50"/>
      <c r="Q376" s="50"/>
      <c r="R376" s="95" t="str">
        <f t="shared" si="39"/>
        <v/>
      </c>
      <c r="S376" s="95" t="str">
        <f t="shared" si="40"/>
        <v/>
      </c>
      <c r="T376" s="96">
        <f t="shared" si="41"/>
        <v>0</v>
      </c>
      <c r="U376" s="51"/>
    </row>
    <row r="377" spans="1:21" x14ac:dyDescent="0.25">
      <c r="A377" s="46">
        <f t="shared" si="3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8"/>
        <v>0</v>
      </c>
      <c r="P377" s="50"/>
      <c r="Q377" s="50"/>
      <c r="R377" s="95" t="str">
        <f t="shared" si="39"/>
        <v/>
      </c>
      <c r="S377" s="95" t="str">
        <f t="shared" si="40"/>
        <v/>
      </c>
      <c r="T377" s="96">
        <f t="shared" si="41"/>
        <v>0</v>
      </c>
      <c r="U377" s="51"/>
    </row>
    <row r="378" spans="1:21" x14ac:dyDescent="0.25">
      <c r="A378" s="46">
        <f t="shared" si="3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8"/>
        <v>0</v>
      </c>
      <c r="P378" s="50"/>
      <c r="Q378" s="50"/>
      <c r="R378" s="95" t="str">
        <f t="shared" si="39"/>
        <v/>
      </c>
      <c r="S378" s="95" t="str">
        <f t="shared" si="40"/>
        <v/>
      </c>
      <c r="T378" s="96">
        <f t="shared" si="41"/>
        <v>0</v>
      </c>
      <c r="U378" s="51"/>
    </row>
    <row r="379" spans="1:21" x14ac:dyDescent="0.25">
      <c r="A379" s="46">
        <f t="shared" si="3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8"/>
        <v>0</v>
      </c>
      <c r="P379" s="50"/>
      <c r="Q379" s="50"/>
      <c r="R379" s="95" t="str">
        <f t="shared" si="39"/>
        <v/>
      </c>
      <c r="S379" s="95" t="str">
        <f t="shared" si="40"/>
        <v/>
      </c>
      <c r="T379" s="96">
        <f t="shared" si="41"/>
        <v>0</v>
      </c>
      <c r="U379" s="51"/>
    </row>
    <row r="380" spans="1:21" x14ac:dyDescent="0.25">
      <c r="A380" s="46">
        <f t="shared" si="3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8"/>
        <v>0</v>
      </c>
      <c r="P380" s="50"/>
      <c r="Q380" s="50"/>
      <c r="R380" s="95" t="str">
        <f t="shared" si="39"/>
        <v/>
      </c>
      <c r="S380" s="95" t="str">
        <f t="shared" si="40"/>
        <v/>
      </c>
      <c r="T380" s="96">
        <f t="shared" si="41"/>
        <v>0</v>
      </c>
      <c r="U380" s="51"/>
    </row>
    <row r="381" spans="1:21" x14ac:dyDescent="0.25">
      <c r="A381" s="46">
        <f t="shared" si="3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8"/>
        <v>0</v>
      </c>
      <c r="P381" s="50"/>
      <c r="Q381" s="50"/>
      <c r="R381" s="95" t="str">
        <f t="shared" si="39"/>
        <v/>
      </c>
      <c r="S381" s="95" t="str">
        <f t="shared" si="40"/>
        <v/>
      </c>
      <c r="T381" s="96">
        <f t="shared" si="41"/>
        <v>0</v>
      </c>
      <c r="U381" s="51"/>
    </row>
    <row r="382" spans="1:21" x14ac:dyDescent="0.25">
      <c r="A382" s="46">
        <f t="shared" si="3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8"/>
        <v>0</v>
      </c>
      <c r="P382" s="50"/>
      <c r="Q382" s="50"/>
      <c r="R382" s="95" t="str">
        <f t="shared" si="39"/>
        <v/>
      </c>
      <c r="S382" s="95" t="str">
        <f t="shared" si="40"/>
        <v/>
      </c>
      <c r="T382" s="96">
        <f t="shared" si="41"/>
        <v>0</v>
      </c>
      <c r="U382" s="51"/>
    </row>
    <row r="383" spans="1:21" x14ac:dyDescent="0.25">
      <c r="A383" s="46">
        <f t="shared" si="3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8"/>
        <v>0</v>
      </c>
      <c r="P383" s="50"/>
      <c r="Q383" s="50"/>
      <c r="R383" s="95" t="str">
        <f t="shared" si="39"/>
        <v/>
      </c>
      <c r="S383" s="95" t="str">
        <f t="shared" si="40"/>
        <v/>
      </c>
      <c r="T383" s="96">
        <f t="shared" si="41"/>
        <v>0</v>
      </c>
      <c r="U383" s="51"/>
    </row>
    <row r="384" spans="1:21" x14ac:dyDescent="0.25">
      <c r="A384" s="46">
        <f t="shared" si="3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8"/>
        <v>0</v>
      </c>
      <c r="P384" s="50"/>
      <c r="Q384" s="50"/>
      <c r="R384" s="95" t="str">
        <f t="shared" si="39"/>
        <v/>
      </c>
      <c r="S384" s="95" t="str">
        <f t="shared" si="40"/>
        <v/>
      </c>
      <c r="T384" s="96">
        <f t="shared" si="41"/>
        <v>0</v>
      </c>
      <c r="U384" s="51"/>
    </row>
    <row r="385" spans="1:21" x14ac:dyDescent="0.25">
      <c r="A385" s="46">
        <f t="shared" si="3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8"/>
        <v>0</v>
      </c>
      <c r="P385" s="50"/>
      <c r="Q385" s="50"/>
      <c r="R385" s="95" t="str">
        <f t="shared" si="39"/>
        <v/>
      </c>
      <c r="S385" s="95" t="str">
        <f t="shared" si="40"/>
        <v/>
      </c>
      <c r="T385" s="96">
        <f t="shared" si="41"/>
        <v>0</v>
      </c>
      <c r="U385" s="51"/>
    </row>
    <row r="386" spans="1:21" x14ac:dyDescent="0.25">
      <c r="A386" s="46">
        <f t="shared" si="3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8"/>
        <v>0</v>
      </c>
      <c r="P386" s="50"/>
      <c r="Q386" s="50"/>
      <c r="R386" s="95" t="str">
        <f t="shared" si="39"/>
        <v/>
      </c>
      <c r="S386" s="95" t="str">
        <f t="shared" si="40"/>
        <v/>
      </c>
      <c r="T386" s="96">
        <f t="shared" si="41"/>
        <v>0</v>
      </c>
      <c r="U386" s="51"/>
    </row>
    <row r="387" spans="1:21" x14ac:dyDescent="0.25">
      <c r="A387" s="46">
        <f t="shared" si="3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8"/>
        <v>0</v>
      </c>
      <c r="P387" s="50"/>
      <c r="Q387" s="50"/>
      <c r="R387" s="95" t="str">
        <f t="shared" si="39"/>
        <v/>
      </c>
      <c r="S387" s="95" t="str">
        <f t="shared" si="40"/>
        <v/>
      </c>
      <c r="T387" s="96">
        <f t="shared" si="41"/>
        <v>0</v>
      </c>
      <c r="U387" s="51"/>
    </row>
    <row r="388" spans="1:21" x14ac:dyDescent="0.25">
      <c r="A388" s="46">
        <f t="shared" si="3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8"/>
        <v>0</v>
      </c>
      <c r="P388" s="50"/>
      <c r="Q388" s="50"/>
      <c r="R388" s="95" t="str">
        <f t="shared" si="39"/>
        <v/>
      </c>
      <c r="S388" s="95" t="str">
        <f t="shared" si="40"/>
        <v/>
      </c>
      <c r="T388" s="96">
        <f t="shared" si="41"/>
        <v>0</v>
      </c>
      <c r="U388" s="51"/>
    </row>
    <row r="389" spans="1:21" x14ac:dyDescent="0.25">
      <c r="A389" s="46">
        <f t="shared" si="3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8"/>
        <v>0</v>
      </c>
      <c r="P389" s="50"/>
      <c r="Q389" s="50"/>
      <c r="R389" s="95" t="str">
        <f t="shared" si="39"/>
        <v/>
      </c>
      <c r="S389" s="95" t="str">
        <f t="shared" si="40"/>
        <v/>
      </c>
      <c r="T389" s="96">
        <f t="shared" si="41"/>
        <v>0</v>
      </c>
      <c r="U389" s="51"/>
    </row>
    <row r="390" spans="1:21" x14ac:dyDescent="0.25">
      <c r="A390" s="46">
        <f t="shared" si="3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8"/>
        <v>0</v>
      </c>
      <c r="P390" s="50"/>
      <c r="Q390" s="50"/>
      <c r="R390" s="95" t="str">
        <f t="shared" si="39"/>
        <v/>
      </c>
      <c r="S390" s="95" t="str">
        <f t="shared" si="40"/>
        <v/>
      </c>
      <c r="T390" s="96">
        <f t="shared" si="41"/>
        <v>0</v>
      </c>
      <c r="U390" s="51"/>
    </row>
    <row r="391" spans="1:21" x14ac:dyDescent="0.25">
      <c r="A391" s="46">
        <f t="shared" si="3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8"/>
        <v>0</v>
      </c>
      <c r="P391" s="50"/>
      <c r="Q391" s="50"/>
      <c r="R391" s="95" t="str">
        <f t="shared" si="39"/>
        <v/>
      </c>
      <c r="S391" s="95" t="str">
        <f t="shared" si="40"/>
        <v/>
      </c>
      <c r="T391" s="96">
        <f t="shared" si="41"/>
        <v>0</v>
      </c>
      <c r="U391" s="51"/>
    </row>
    <row r="392" spans="1:21" x14ac:dyDescent="0.25">
      <c r="A392" s="46">
        <f t="shared" si="3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8"/>
        <v>0</v>
      </c>
      <c r="P392" s="50"/>
      <c r="Q392" s="50"/>
      <c r="R392" s="95" t="str">
        <f t="shared" si="39"/>
        <v/>
      </c>
      <c r="S392" s="95" t="str">
        <f t="shared" si="40"/>
        <v/>
      </c>
      <c r="T392" s="96">
        <f t="shared" si="41"/>
        <v>0</v>
      </c>
      <c r="U392" s="51"/>
    </row>
    <row r="393" spans="1:21" x14ac:dyDescent="0.25">
      <c r="A393" s="46">
        <f t="shared" si="3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8"/>
        <v>0</v>
      </c>
      <c r="P393" s="50"/>
      <c r="Q393" s="50"/>
      <c r="R393" s="95" t="str">
        <f t="shared" si="39"/>
        <v/>
      </c>
      <c r="S393" s="95" t="str">
        <f t="shared" si="40"/>
        <v/>
      </c>
      <c r="T393" s="96">
        <f t="shared" si="41"/>
        <v>0</v>
      </c>
      <c r="U393" s="51"/>
    </row>
    <row r="394" spans="1:21" x14ac:dyDescent="0.25">
      <c r="A394" s="46">
        <f t="shared" si="3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8"/>
        <v>0</v>
      </c>
      <c r="P394" s="50"/>
      <c r="Q394" s="50"/>
      <c r="R394" s="95" t="str">
        <f t="shared" si="39"/>
        <v/>
      </c>
      <c r="S394" s="95" t="str">
        <f t="shared" si="40"/>
        <v/>
      </c>
      <c r="T394" s="96">
        <f t="shared" si="41"/>
        <v>0</v>
      </c>
      <c r="U394" s="51"/>
    </row>
    <row r="395" spans="1:21" x14ac:dyDescent="0.25">
      <c r="A395" s="46">
        <f t="shared" si="3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8"/>
        <v>0</v>
      </c>
      <c r="P395" s="50"/>
      <c r="Q395" s="50"/>
      <c r="R395" s="95" t="str">
        <f t="shared" si="39"/>
        <v/>
      </c>
      <c r="S395" s="95" t="str">
        <f t="shared" si="40"/>
        <v/>
      </c>
      <c r="T395" s="96">
        <f t="shared" si="41"/>
        <v>0</v>
      </c>
      <c r="U395" s="51"/>
    </row>
    <row r="396" spans="1:21" x14ac:dyDescent="0.25">
      <c r="A396" s="46">
        <f t="shared" ref="A396:A411" si="4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3">T396*N396</f>
        <v>0</v>
      </c>
      <c r="P396" s="50"/>
      <c r="Q396" s="50"/>
      <c r="R396" s="95" t="str">
        <f t="shared" ref="R396:R411" si="44">IF(OR(P396="c",P396="C"),+T396,"")</f>
        <v/>
      </c>
      <c r="S396" s="95" t="str">
        <f t="shared" ref="S396:S411" si="45">IF(OR(P396="$",N396=1),+T396,"")</f>
        <v/>
      </c>
      <c r="T396" s="96">
        <f t="shared" ref="T396:T411" si="4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3"/>
        <v>0</v>
      </c>
      <c r="P397" s="50"/>
      <c r="Q397" s="50"/>
      <c r="R397" s="95" t="str">
        <f t="shared" si="44"/>
        <v/>
      </c>
      <c r="S397" s="95" t="str">
        <f t="shared" si="45"/>
        <v/>
      </c>
      <c r="T397" s="96">
        <f t="shared" si="46"/>
        <v>0</v>
      </c>
      <c r="U397" s="51"/>
    </row>
    <row r="398" spans="1:21" x14ac:dyDescent="0.25">
      <c r="A398" s="46">
        <f t="shared" si="4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3"/>
        <v>0</v>
      </c>
      <c r="P398" s="50"/>
      <c r="Q398" s="50"/>
      <c r="R398" s="95" t="str">
        <f t="shared" si="44"/>
        <v/>
      </c>
      <c r="S398" s="95" t="str">
        <f t="shared" si="45"/>
        <v/>
      </c>
      <c r="T398" s="96">
        <f t="shared" si="46"/>
        <v>0</v>
      </c>
      <c r="U398" s="51"/>
    </row>
    <row r="399" spans="1:21" x14ac:dyDescent="0.25">
      <c r="A399" s="46">
        <f t="shared" si="4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3"/>
        <v>0</v>
      </c>
      <c r="P399" s="50"/>
      <c r="Q399" s="50"/>
      <c r="R399" s="95" t="str">
        <f t="shared" si="44"/>
        <v/>
      </c>
      <c r="S399" s="95" t="str">
        <f t="shared" si="45"/>
        <v/>
      </c>
      <c r="T399" s="96">
        <f t="shared" si="46"/>
        <v>0</v>
      </c>
      <c r="U399" s="51"/>
    </row>
    <row r="400" spans="1:21" x14ac:dyDescent="0.25">
      <c r="A400" s="46">
        <f t="shared" si="4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3"/>
        <v>0</v>
      </c>
      <c r="P400" s="50"/>
      <c r="Q400" s="50"/>
      <c r="R400" s="95" t="str">
        <f t="shared" si="44"/>
        <v/>
      </c>
      <c r="S400" s="95" t="str">
        <f t="shared" si="45"/>
        <v/>
      </c>
      <c r="T400" s="96">
        <f t="shared" si="46"/>
        <v>0</v>
      </c>
      <c r="U400" s="51"/>
    </row>
    <row r="401" spans="1:21" x14ac:dyDescent="0.25">
      <c r="A401" s="46">
        <f t="shared" si="4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3"/>
        <v>0</v>
      </c>
      <c r="P401" s="50"/>
      <c r="Q401" s="50"/>
      <c r="R401" s="95" t="str">
        <f t="shared" si="44"/>
        <v/>
      </c>
      <c r="S401" s="95" t="str">
        <f t="shared" si="45"/>
        <v/>
      </c>
      <c r="T401" s="96">
        <f t="shared" si="46"/>
        <v>0</v>
      </c>
      <c r="U401" s="51"/>
    </row>
    <row r="402" spans="1:21" x14ac:dyDescent="0.25">
      <c r="A402" s="46">
        <f t="shared" si="4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3"/>
        <v>0</v>
      </c>
      <c r="P402" s="50"/>
      <c r="Q402" s="50"/>
      <c r="R402" s="95" t="str">
        <f t="shared" si="44"/>
        <v/>
      </c>
      <c r="S402" s="95" t="str">
        <f t="shared" si="45"/>
        <v/>
      </c>
      <c r="T402" s="96">
        <f t="shared" si="46"/>
        <v>0</v>
      </c>
      <c r="U402" s="51"/>
    </row>
    <row r="403" spans="1:21" x14ac:dyDescent="0.25">
      <c r="A403" s="46">
        <f t="shared" si="4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3"/>
        <v>0</v>
      </c>
      <c r="P403" s="50"/>
      <c r="Q403" s="50"/>
      <c r="R403" s="95" t="str">
        <f t="shared" si="44"/>
        <v/>
      </c>
      <c r="S403" s="95" t="str">
        <f t="shared" si="45"/>
        <v/>
      </c>
      <c r="T403" s="96">
        <f t="shared" si="46"/>
        <v>0</v>
      </c>
      <c r="U403" s="51"/>
    </row>
    <row r="404" spans="1:21" x14ac:dyDescent="0.25">
      <c r="A404" s="46">
        <f t="shared" si="4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3"/>
        <v>0</v>
      </c>
      <c r="P404" s="50"/>
      <c r="Q404" s="50"/>
      <c r="R404" s="95" t="str">
        <f t="shared" si="44"/>
        <v/>
      </c>
      <c r="S404" s="95" t="str">
        <f t="shared" si="45"/>
        <v/>
      </c>
      <c r="T404" s="96">
        <f t="shared" si="46"/>
        <v>0</v>
      </c>
      <c r="U404" s="51"/>
    </row>
    <row r="405" spans="1:21" x14ac:dyDescent="0.25">
      <c r="A405" s="46">
        <f t="shared" si="4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3"/>
        <v>0</v>
      </c>
      <c r="P405" s="50"/>
      <c r="Q405" s="50"/>
      <c r="R405" s="95" t="str">
        <f t="shared" si="44"/>
        <v/>
      </c>
      <c r="S405" s="95" t="str">
        <f t="shared" si="45"/>
        <v/>
      </c>
      <c r="T405" s="96">
        <f t="shared" si="46"/>
        <v>0</v>
      </c>
      <c r="U405" s="51"/>
    </row>
    <row r="406" spans="1:21" x14ac:dyDescent="0.25">
      <c r="A406" s="46">
        <f t="shared" si="4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3"/>
        <v>0</v>
      </c>
      <c r="P406" s="50"/>
      <c r="Q406" s="50"/>
      <c r="R406" s="95" t="str">
        <f t="shared" si="44"/>
        <v/>
      </c>
      <c r="S406" s="95" t="str">
        <f t="shared" si="45"/>
        <v/>
      </c>
      <c r="T406" s="96">
        <f t="shared" si="46"/>
        <v>0</v>
      </c>
      <c r="U406" s="51"/>
    </row>
    <row r="407" spans="1:21" x14ac:dyDescent="0.25">
      <c r="A407" s="46">
        <f t="shared" si="4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3"/>
        <v>0</v>
      </c>
      <c r="P407" s="50"/>
      <c r="Q407" s="50"/>
      <c r="R407" s="95" t="str">
        <f t="shared" si="44"/>
        <v/>
      </c>
      <c r="S407" s="95" t="str">
        <f t="shared" si="45"/>
        <v/>
      </c>
      <c r="T407" s="96">
        <f t="shared" si="46"/>
        <v>0</v>
      </c>
      <c r="U407" s="51"/>
    </row>
    <row r="408" spans="1:21" x14ac:dyDescent="0.25">
      <c r="A408" s="46">
        <f t="shared" si="4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3"/>
        <v>0</v>
      </c>
      <c r="P408" s="50"/>
      <c r="Q408" s="50"/>
      <c r="R408" s="95" t="str">
        <f t="shared" si="44"/>
        <v/>
      </c>
      <c r="S408" s="95" t="str">
        <f t="shared" si="45"/>
        <v/>
      </c>
      <c r="T408" s="96">
        <f t="shared" si="46"/>
        <v>0</v>
      </c>
      <c r="U408" s="51"/>
    </row>
    <row r="409" spans="1:21" x14ac:dyDescent="0.25">
      <c r="A409" s="46">
        <f t="shared" si="4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3"/>
        <v>0</v>
      </c>
      <c r="P409" s="50"/>
      <c r="Q409" s="50"/>
      <c r="R409" s="95" t="str">
        <f t="shared" si="44"/>
        <v/>
      </c>
      <c r="S409" s="95" t="str">
        <f t="shared" si="45"/>
        <v/>
      </c>
      <c r="T409" s="96">
        <f t="shared" si="46"/>
        <v>0</v>
      </c>
      <c r="U409" s="51"/>
    </row>
    <row r="410" spans="1:21" x14ac:dyDescent="0.25">
      <c r="A410" s="46">
        <f t="shared" si="4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3"/>
        <v>0</v>
      </c>
      <c r="P410" s="50"/>
      <c r="Q410" s="50"/>
      <c r="R410" s="95" t="str">
        <f t="shared" si="44"/>
        <v/>
      </c>
      <c r="S410" s="95" t="str">
        <f t="shared" si="45"/>
        <v/>
      </c>
      <c r="T410" s="96">
        <f t="shared" si="46"/>
        <v>0</v>
      </c>
      <c r="U410" s="51"/>
    </row>
    <row r="411" spans="1:21" x14ac:dyDescent="0.25">
      <c r="A411" s="46">
        <f t="shared" si="4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3"/>
        <v>0</v>
      </c>
      <c r="P411" s="50"/>
      <c r="Q411" s="50"/>
      <c r="R411" s="95" t="str">
        <f t="shared" si="44"/>
        <v/>
      </c>
      <c r="S411" s="95" t="str">
        <f t="shared" si="45"/>
        <v/>
      </c>
      <c r="T411" s="96">
        <f t="shared" si="46"/>
        <v>0</v>
      </c>
      <c r="U411" s="51"/>
    </row>
  </sheetData>
  <sheetProtection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2026-04-14T23:32:32Z</dcterms:modified>
</cp:coreProperties>
</file>