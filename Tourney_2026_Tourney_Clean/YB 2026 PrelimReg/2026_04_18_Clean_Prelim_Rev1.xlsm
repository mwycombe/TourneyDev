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\YB 2026 PrelimReg\"/>
    </mc:Choice>
  </mc:AlternateContent>
  <xr:revisionPtr revIDLastSave="0" documentId="13_ncr:1_{170994E7-940B-463A-86ED-9238D6F284F8}" xr6:coauthVersionLast="47" xr6:coauthVersionMax="47" xr10:uidLastSave="{00000000-0000-0000-0000-000000000000}"/>
  <bookViews>
    <workbookView xWindow="-30" yWindow="330" windowWidth="27840" windowHeight="1443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Entries!$A$6:$O$85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94" i="1"/>
  <c r="R194" i="1"/>
  <c r="T194" i="1"/>
  <c r="S194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180" i="1"/>
  <c r="T180" i="1"/>
  <c r="O180" i="1" s="1"/>
  <c r="A57" i="1"/>
  <c r="T57" i="1"/>
  <c r="O57" i="1" s="1"/>
  <c r="A28" i="1"/>
  <c r="T28" i="1"/>
  <c r="O28" i="1" s="1"/>
  <c r="A33" i="1"/>
  <c r="R33" i="1"/>
  <c r="T33" i="1"/>
  <c r="O33" i="1" s="1"/>
  <c r="R32" i="1"/>
  <c r="S32" i="1"/>
  <c r="T32" i="1"/>
  <c r="O32" i="1" s="1"/>
  <c r="A181" i="1"/>
  <c r="R181" i="1"/>
  <c r="T181" i="1"/>
  <c r="O181" i="1" s="1"/>
  <c r="S124" i="1"/>
  <c r="T124" i="1"/>
  <c r="R124" i="1" s="1"/>
  <c r="A19" i="1"/>
  <c r="R19" i="1"/>
  <c r="T19" i="1"/>
  <c r="O19" i="1" s="1"/>
  <c r="A20" i="1"/>
  <c r="R20" i="1"/>
  <c r="T20" i="1"/>
  <c r="O20" i="1" s="1"/>
  <c r="A27" i="1"/>
  <c r="S27" i="1"/>
  <c r="T27" i="1"/>
  <c r="O27" i="1" s="1"/>
  <c r="V10" i="1"/>
  <c r="W10" i="1"/>
  <c r="X10" i="1"/>
  <c r="Y10" i="1"/>
  <c r="A54" i="1"/>
  <c r="R54" i="1"/>
  <c r="T54" i="1"/>
  <c r="O54" i="1" s="1"/>
  <c r="S16" i="1"/>
  <c r="S17" i="1"/>
  <c r="R18" i="1"/>
  <c r="S18" i="1"/>
  <c r="R24" i="1"/>
  <c r="S24" i="1"/>
  <c r="S26" i="1"/>
  <c r="R31" i="1"/>
  <c r="S31" i="1"/>
  <c r="R45" i="1"/>
  <c r="S45" i="1"/>
  <c r="R47" i="1"/>
  <c r="R48" i="1"/>
  <c r="S48" i="1"/>
  <c r="R50" i="1"/>
  <c r="S50" i="1"/>
  <c r="S55" i="1"/>
  <c r="S59" i="1"/>
  <c r="R62" i="1"/>
  <c r="S64" i="1"/>
  <c r="R78" i="1"/>
  <c r="R86" i="1"/>
  <c r="R87" i="1"/>
  <c r="S87" i="1"/>
  <c r="R91" i="1"/>
  <c r="S91" i="1"/>
  <c r="R94" i="1"/>
  <c r="S97" i="1"/>
  <c r="S101" i="1"/>
  <c r="S112" i="1"/>
  <c r="R114" i="1"/>
  <c r="S114" i="1"/>
  <c r="R120" i="1"/>
  <c r="S121" i="1"/>
  <c r="R122" i="1"/>
  <c r="S122" i="1"/>
  <c r="S126" i="1"/>
  <c r="R135" i="1"/>
  <c r="S135" i="1"/>
  <c r="S25" i="1"/>
  <c r="R138" i="1"/>
  <c r="R141" i="1"/>
  <c r="S141" i="1"/>
  <c r="R142" i="1"/>
  <c r="R146" i="1"/>
  <c r="S150" i="1"/>
  <c r="R151" i="1"/>
  <c r="S151" i="1"/>
  <c r="S160" i="1"/>
  <c r="R163" i="1"/>
  <c r="S163" i="1"/>
  <c r="S166" i="1"/>
  <c r="R167" i="1"/>
  <c r="S167" i="1"/>
  <c r="R169" i="1"/>
  <c r="S169" i="1"/>
  <c r="S172" i="1"/>
  <c r="S173" i="1"/>
  <c r="R183" i="1"/>
  <c r="R185" i="1"/>
  <c r="S185" i="1"/>
  <c r="R192" i="1"/>
  <c r="R193" i="1"/>
  <c r="S198" i="1"/>
  <c r="R203" i="1"/>
  <c r="S203" i="1"/>
  <c r="R210" i="1"/>
  <c r="S210" i="1"/>
  <c r="R211" i="1"/>
  <c r="S211" i="1"/>
  <c r="S216" i="1"/>
  <c r="R49" i="1"/>
  <c r="S49" i="1"/>
  <c r="R21" i="1"/>
  <c r="S21" i="1"/>
  <c r="R22" i="1"/>
  <c r="S22" i="1"/>
  <c r="R23" i="1"/>
  <c r="S23" i="1"/>
  <c r="R29" i="1"/>
  <c r="S29" i="1"/>
  <c r="R30" i="1"/>
  <c r="S30" i="1"/>
  <c r="R34" i="1"/>
  <c r="S34" i="1"/>
  <c r="R35" i="1"/>
  <c r="R36" i="1"/>
  <c r="S36" i="1"/>
  <c r="R37" i="1"/>
  <c r="S37" i="1"/>
  <c r="R38" i="1"/>
  <c r="S38" i="1"/>
  <c r="R39" i="1"/>
  <c r="S39" i="1"/>
  <c r="R40" i="1"/>
  <c r="S40" i="1"/>
  <c r="R41" i="1"/>
  <c r="R42" i="1"/>
  <c r="S42" i="1"/>
  <c r="R43" i="1"/>
  <c r="S43" i="1"/>
  <c r="R44" i="1"/>
  <c r="S44" i="1"/>
  <c r="R46" i="1"/>
  <c r="S46" i="1"/>
  <c r="S51" i="1"/>
  <c r="R52" i="1"/>
  <c r="S52" i="1"/>
  <c r="R53" i="1"/>
  <c r="S53" i="1"/>
  <c r="R56" i="1"/>
  <c r="S56" i="1"/>
  <c r="R58" i="1"/>
  <c r="S58" i="1"/>
  <c r="R60" i="1"/>
  <c r="S60" i="1"/>
  <c r="R61" i="1"/>
  <c r="S61" i="1"/>
  <c r="R63" i="1"/>
  <c r="S63" i="1"/>
  <c r="R65" i="1"/>
  <c r="S65" i="1"/>
  <c r="R66" i="1"/>
  <c r="S66" i="1"/>
  <c r="R67" i="1"/>
  <c r="S67" i="1"/>
  <c r="R68" i="1"/>
  <c r="R69" i="1"/>
  <c r="S69" i="1"/>
  <c r="S70" i="1"/>
  <c r="R71" i="1"/>
  <c r="S71" i="1"/>
  <c r="R72" i="1"/>
  <c r="S72" i="1"/>
  <c r="R74" i="1"/>
  <c r="S74" i="1"/>
  <c r="R75" i="1"/>
  <c r="S75" i="1"/>
  <c r="R76" i="1"/>
  <c r="S76" i="1"/>
  <c r="R77" i="1"/>
  <c r="S77" i="1"/>
  <c r="R79" i="1"/>
  <c r="S79" i="1"/>
  <c r="R80" i="1"/>
  <c r="S80" i="1"/>
  <c r="R81" i="1"/>
  <c r="S81" i="1"/>
  <c r="R82" i="1"/>
  <c r="S82" i="1"/>
  <c r="R83" i="1"/>
  <c r="S83" i="1"/>
  <c r="R84" i="1"/>
  <c r="S84" i="1"/>
  <c r="R85" i="1"/>
  <c r="S85" i="1"/>
  <c r="R88" i="1"/>
  <c r="S88" i="1"/>
  <c r="R89" i="1"/>
  <c r="S89" i="1"/>
  <c r="R90" i="1"/>
  <c r="S90" i="1"/>
  <c r="R92" i="1"/>
  <c r="S92" i="1"/>
  <c r="R93" i="1"/>
  <c r="S93" i="1"/>
  <c r="R95" i="1"/>
  <c r="S95" i="1"/>
  <c r="R96" i="1"/>
  <c r="S96" i="1"/>
  <c r="R98" i="1"/>
  <c r="S98" i="1"/>
  <c r="R99" i="1"/>
  <c r="R100" i="1"/>
  <c r="S100" i="1"/>
  <c r="R102" i="1"/>
  <c r="R103" i="1"/>
  <c r="S103" i="1"/>
  <c r="R104" i="1"/>
  <c r="S104" i="1"/>
  <c r="R105" i="1"/>
  <c r="S105" i="1"/>
  <c r="R106" i="1"/>
  <c r="S106" i="1"/>
  <c r="R107" i="1"/>
  <c r="S107" i="1"/>
  <c r="R108" i="1"/>
  <c r="S108" i="1"/>
  <c r="S109" i="1"/>
  <c r="R110" i="1"/>
  <c r="S110" i="1"/>
  <c r="R111" i="1"/>
  <c r="S111" i="1"/>
  <c r="R113" i="1"/>
  <c r="S113" i="1"/>
  <c r="R115" i="1"/>
  <c r="S115" i="1"/>
  <c r="R116" i="1"/>
  <c r="S116" i="1"/>
  <c r="R117" i="1"/>
  <c r="S117" i="1"/>
  <c r="R118" i="1"/>
  <c r="S118" i="1"/>
  <c r="R119" i="1"/>
  <c r="S119" i="1"/>
  <c r="S123" i="1"/>
  <c r="R125" i="1"/>
  <c r="S125" i="1"/>
  <c r="R127" i="1"/>
  <c r="S127" i="1"/>
  <c r="R128" i="1"/>
  <c r="S128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R136" i="1"/>
  <c r="S136" i="1"/>
  <c r="R137" i="1"/>
  <c r="S137" i="1"/>
  <c r="R140" i="1"/>
  <c r="S140" i="1"/>
  <c r="R143" i="1"/>
  <c r="S143" i="1"/>
  <c r="R144" i="1"/>
  <c r="S144" i="1"/>
  <c r="R145" i="1"/>
  <c r="S145" i="1"/>
  <c r="R147" i="1"/>
  <c r="S147" i="1"/>
  <c r="R148" i="1"/>
  <c r="S148" i="1"/>
  <c r="R149" i="1"/>
  <c r="S149" i="1"/>
  <c r="R152" i="1"/>
  <c r="S152" i="1"/>
  <c r="R153" i="1"/>
  <c r="S153" i="1"/>
  <c r="R154" i="1"/>
  <c r="S154" i="1"/>
  <c r="R155" i="1"/>
  <c r="S155" i="1"/>
  <c r="R156" i="1"/>
  <c r="S156" i="1"/>
  <c r="R157" i="1"/>
  <c r="S157" i="1"/>
  <c r="R158" i="1"/>
  <c r="S158" i="1"/>
  <c r="R159" i="1"/>
  <c r="S159" i="1"/>
  <c r="R162" i="1"/>
  <c r="S162" i="1"/>
  <c r="R164" i="1"/>
  <c r="S164" i="1"/>
  <c r="R165" i="1"/>
  <c r="S165" i="1"/>
  <c r="R168" i="1"/>
  <c r="S168" i="1"/>
  <c r="R170" i="1"/>
  <c r="S170" i="1"/>
  <c r="R171" i="1"/>
  <c r="S171" i="1"/>
  <c r="R174" i="1"/>
  <c r="S174" i="1"/>
  <c r="R175" i="1"/>
  <c r="S175" i="1"/>
  <c r="R176" i="1"/>
  <c r="S176" i="1"/>
  <c r="R177" i="1"/>
  <c r="S177" i="1"/>
  <c r="R178" i="1"/>
  <c r="S178" i="1"/>
  <c r="R179" i="1"/>
  <c r="S179" i="1"/>
  <c r="R182" i="1"/>
  <c r="S182" i="1"/>
  <c r="R186" i="1"/>
  <c r="S186" i="1"/>
  <c r="R187" i="1"/>
  <c r="S187" i="1"/>
  <c r="R188" i="1"/>
  <c r="S188" i="1"/>
  <c r="R190" i="1"/>
  <c r="S190" i="1"/>
  <c r="R191" i="1"/>
  <c r="S191" i="1"/>
  <c r="R195" i="1"/>
  <c r="S195" i="1"/>
  <c r="R196" i="1"/>
  <c r="S196" i="1"/>
  <c r="R197" i="1"/>
  <c r="S197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194" i="1" l="1"/>
  <c r="S15" i="1"/>
  <c r="S13" i="1"/>
  <c r="S14" i="1"/>
  <c r="R13" i="1"/>
  <c r="S33" i="1"/>
  <c r="S28" i="1"/>
  <c r="R28" i="1"/>
  <c r="S20" i="1"/>
  <c r="S181" i="1"/>
  <c r="S19" i="1"/>
  <c r="R27" i="1"/>
  <c r="S54" i="1"/>
  <c r="A75" i="1"/>
  <c r="T114" i="1"/>
  <c r="O114" i="1" s="1"/>
  <c r="B10" i="1"/>
  <c r="U10" i="1"/>
  <c r="X9" i="1" s="1"/>
  <c r="H10" i="1"/>
  <c r="I10" i="1"/>
  <c r="J10" i="1"/>
  <c r="K10" i="1"/>
  <c r="L10" i="1"/>
  <c r="M10" i="1"/>
  <c r="N10" i="1"/>
  <c r="A124" i="1"/>
  <c r="T48" i="1"/>
  <c r="A125" i="1"/>
  <c r="T151" i="1"/>
  <c r="O151" i="1" s="1"/>
  <c r="A12" i="1"/>
  <c r="T12" i="1"/>
  <c r="O12" i="1" s="1"/>
  <c r="A144" i="1"/>
  <c r="T163" i="1"/>
  <c r="O163" i="1" s="1"/>
  <c r="A122" i="1"/>
  <c r="T47" i="1"/>
  <c r="A120" i="1"/>
  <c r="T45" i="1"/>
  <c r="O45" i="1" s="1"/>
  <c r="A207" i="1"/>
  <c r="T210" i="1"/>
  <c r="O210" i="1" s="1"/>
  <c r="A149" i="1"/>
  <c r="T167" i="1"/>
  <c r="O167" i="1" s="1"/>
  <c r="A162" i="1"/>
  <c r="T179" i="1"/>
  <c r="O179" i="1" s="1"/>
  <c r="T16" i="1"/>
  <c r="T18" i="1"/>
  <c r="O18" i="1" s="1"/>
  <c r="T21" i="1"/>
  <c r="O21" i="1" s="1"/>
  <c r="T22" i="1"/>
  <c r="O22" i="1" s="1"/>
  <c r="T23" i="1"/>
  <c r="O23" i="1" s="1"/>
  <c r="T24" i="1"/>
  <c r="O24" i="1" s="1"/>
  <c r="T26" i="1"/>
  <c r="T29" i="1"/>
  <c r="O29" i="1" s="1"/>
  <c r="T30" i="1"/>
  <c r="O30" i="1" s="1"/>
  <c r="T31" i="1"/>
  <c r="O31" i="1" s="1"/>
  <c r="T34" i="1"/>
  <c r="O34" i="1" s="1"/>
  <c r="T35" i="1"/>
  <c r="T36" i="1"/>
  <c r="O36" i="1" s="1"/>
  <c r="T37" i="1"/>
  <c r="O37" i="1" s="1"/>
  <c r="T38" i="1"/>
  <c r="O38" i="1" s="1"/>
  <c r="T39" i="1"/>
  <c r="O39" i="1" s="1"/>
  <c r="T40" i="1"/>
  <c r="O40" i="1" s="1"/>
  <c r="T41" i="1"/>
  <c r="T42" i="1"/>
  <c r="O42" i="1" s="1"/>
  <c r="T43" i="1"/>
  <c r="O43" i="1" s="1"/>
  <c r="T44" i="1"/>
  <c r="O44" i="1" s="1"/>
  <c r="T46" i="1"/>
  <c r="O46" i="1" s="1"/>
  <c r="T50" i="1"/>
  <c r="O50" i="1" s="1"/>
  <c r="T51" i="1"/>
  <c r="T52" i="1"/>
  <c r="O52" i="1" s="1"/>
  <c r="T53" i="1"/>
  <c r="O53" i="1" s="1"/>
  <c r="T55" i="1"/>
  <c r="R55" i="1" s="1"/>
  <c r="T56" i="1"/>
  <c r="O56" i="1" s="1"/>
  <c r="T58" i="1"/>
  <c r="O58" i="1" s="1"/>
  <c r="T59" i="1"/>
  <c r="T60" i="1"/>
  <c r="O60" i="1" s="1"/>
  <c r="T61" i="1"/>
  <c r="O61" i="1" s="1"/>
  <c r="T62" i="1"/>
  <c r="T63" i="1"/>
  <c r="O63" i="1" s="1"/>
  <c r="T64" i="1"/>
  <c r="R64" i="1" s="1"/>
  <c r="T65" i="1"/>
  <c r="O65" i="1" s="1"/>
  <c r="T66" i="1"/>
  <c r="O66" i="1" s="1"/>
  <c r="T67" i="1"/>
  <c r="O67" i="1" s="1"/>
  <c r="T68" i="1"/>
  <c r="T69" i="1"/>
  <c r="O69" i="1" s="1"/>
  <c r="T70" i="1"/>
  <c r="T71" i="1"/>
  <c r="O71" i="1" s="1"/>
  <c r="T72" i="1"/>
  <c r="O72" i="1" s="1"/>
  <c r="T73" i="1"/>
  <c r="T74" i="1"/>
  <c r="O74" i="1" s="1"/>
  <c r="T75" i="1"/>
  <c r="O75" i="1" s="1"/>
  <c r="T76" i="1"/>
  <c r="O76" i="1" s="1"/>
  <c r="T77" i="1"/>
  <c r="O77" i="1" s="1"/>
  <c r="T78" i="1"/>
  <c r="S78" i="1" s="1"/>
  <c r="T79" i="1"/>
  <c r="O79" i="1" s="1"/>
  <c r="T80" i="1"/>
  <c r="O80" i="1" s="1"/>
  <c r="T81" i="1"/>
  <c r="O81" i="1" s="1"/>
  <c r="T82" i="1"/>
  <c r="O82" i="1" s="1"/>
  <c r="T83" i="1"/>
  <c r="O83" i="1" s="1"/>
  <c r="T84" i="1"/>
  <c r="O84" i="1" s="1"/>
  <c r="T85" i="1"/>
  <c r="O85" i="1" s="1"/>
  <c r="T86" i="1"/>
  <c r="S86" i="1" s="1"/>
  <c r="T87" i="1"/>
  <c r="O87" i="1" s="1"/>
  <c r="T88" i="1"/>
  <c r="O88" i="1" s="1"/>
  <c r="T89" i="1"/>
  <c r="O89" i="1" s="1"/>
  <c r="T90" i="1"/>
  <c r="O90" i="1" s="1"/>
  <c r="T91" i="1"/>
  <c r="O91" i="1" s="1"/>
  <c r="T92" i="1"/>
  <c r="O92" i="1" s="1"/>
  <c r="T93" i="1"/>
  <c r="O93" i="1" s="1"/>
  <c r="T94" i="1"/>
  <c r="T95" i="1"/>
  <c r="O95" i="1" s="1"/>
  <c r="T96" i="1"/>
  <c r="O96" i="1" s="1"/>
  <c r="T97" i="1"/>
  <c r="T98" i="1"/>
  <c r="O98" i="1" s="1"/>
  <c r="T99" i="1"/>
  <c r="T100" i="1"/>
  <c r="O100" i="1" s="1"/>
  <c r="T101" i="1"/>
  <c r="T102" i="1"/>
  <c r="T103" i="1"/>
  <c r="O103" i="1" s="1"/>
  <c r="T104" i="1"/>
  <c r="O104" i="1" s="1"/>
  <c r="T105" i="1"/>
  <c r="O105" i="1" s="1"/>
  <c r="T106" i="1"/>
  <c r="O106" i="1" s="1"/>
  <c r="T107" i="1"/>
  <c r="O107" i="1" s="1"/>
  <c r="T108" i="1"/>
  <c r="O108" i="1" s="1"/>
  <c r="T109" i="1"/>
  <c r="T110" i="1"/>
  <c r="O110" i="1" s="1"/>
  <c r="T111" i="1"/>
  <c r="O111" i="1" s="1"/>
  <c r="T112" i="1"/>
  <c r="T113" i="1"/>
  <c r="O113" i="1" s="1"/>
  <c r="T115" i="1"/>
  <c r="O115" i="1" s="1"/>
  <c r="T116" i="1"/>
  <c r="O116" i="1" s="1"/>
  <c r="T117" i="1"/>
  <c r="O117" i="1" s="1"/>
  <c r="T118" i="1"/>
  <c r="O118" i="1" s="1"/>
  <c r="T119" i="1"/>
  <c r="O119" i="1" s="1"/>
  <c r="T120" i="1"/>
  <c r="S120" i="1" s="1"/>
  <c r="T121" i="1"/>
  <c r="R121" i="1" s="1"/>
  <c r="T122" i="1"/>
  <c r="O122" i="1" s="1"/>
  <c r="T123" i="1"/>
  <c r="T125" i="1"/>
  <c r="O125" i="1" s="1"/>
  <c r="T126" i="1"/>
  <c r="T127" i="1"/>
  <c r="O127" i="1" s="1"/>
  <c r="T128" i="1"/>
  <c r="O128" i="1" s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135" i="1"/>
  <c r="O135" i="1" s="1"/>
  <c r="T25" i="1"/>
  <c r="T136" i="1"/>
  <c r="O136" i="1" s="1"/>
  <c r="T137" i="1"/>
  <c r="O137" i="1" s="1"/>
  <c r="T138" i="1"/>
  <c r="T139" i="1"/>
  <c r="T140" i="1"/>
  <c r="O140" i="1" s="1"/>
  <c r="T141" i="1"/>
  <c r="O141" i="1" s="1"/>
  <c r="T142" i="1"/>
  <c r="T143" i="1"/>
  <c r="O143" i="1" s="1"/>
  <c r="T144" i="1"/>
  <c r="O144" i="1" s="1"/>
  <c r="T145" i="1"/>
  <c r="O145" i="1" s="1"/>
  <c r="T146" i="1"/>
  <c r="T147" i="1"/>
  <c r="O147" i="1" s="1"/>
  <c r="T148" i="1"/>
  <c r="O148" i="1" s="1"/>
  <c r="T149" i="1"/>
  <c r="O149" i="1" s="1"/>
  <c r="T150" i="1"/>
  <c r="T152" i="1"/>
  <c r="O152" i="1" s="1"/>
  <c r="T153" i="1"/>
  <c r="O153" i="1" s="1"/>
  <c r="T154" i="1"/>
  <c r="O154" i="1" s="1"/>
  <c r="T155" i="1"/>
  <c r="O155" i="1" s="1"/>
  <c r="T156" i="1"/>
  <c r="O156" i="1" s="1"/>
  <c r="T157" i="1"/>
  <c r="O157" i="1" s="1"/>
  <c r="T158" i="1"/>
  <c r="O158" i="1" s="1"/>
  <c r="T159" i="1"/>
  <c r="O159" i="1" s="1"/>
  <c r="T160" i="1"/>
  <c r="T161" i="1"/>
  <c r="R161" i="1" s="1"/>
  <c r="T162" i="1"/>
  <c r="O162" i="1" s="1"/>
  <c r="T164" i="1"/>
  <c r="O164" i="1" s="1"/>
  <c r="T165" i="1"/>
  <c r="O165" i="1" s="1"/>
  <c r="T166" i="1"/>
  <c r="T168" i="1"/>
  <c r="O168" i="1" s="1"/>
  <c r="T169" i="1"/>
  <c r="O169" i="1" s="1"/>
  <c r="T170" i="1"/>
  <c r="O170" i="1" s="1"/>
  <c r="T171" i="1"/>
  <c r="O171" i="1" s="1"/>
  <c r="T172" i="1"/>
  <c r="T173" i="1"/>
  <c r="R173" i="1" s="1"/>
  <c r="T174" i="1"/>
  <c r="O174" i="1" s="1"/>
  <c r="T175" i="1"/>
  <c r="O175" i="1" s="1"/>
  <c r="T176" i="1"/>
  <c r="O176" i="1" s="1"/>
  <c r="T177" i="1"/>
  <c r="O177" i="1" s="1"/>
  <c r="T178" i="1"/>
  <c r="O178" i="1" s="1"/>
  <c r="T182" i="1"/>
  <c r="O182" i="1" s="1"/>
  <c r="T183" i="1"/>
  <c r="T184" i="1"/>
  <c r="S184" i="1" s="1"/>
  <c r="T185" i="1"/>
  <c r="O185" i="1" s="1"/>
  <c r="T186" i="1"/>
  <c r="O186" i="1" s="1"/>
  <c r="T187" i="1"/>
  <c r="O187" i="1" s="1"/>
  <c r="T188" i="1"/>
  <c r="O188" i="1" s="1"/>
  <c r="T189" i="1"/>
  <c r="S189" i="1" s="1"/>
  <c r="T190" i="1"/>
  <c r="O190" i="1" s="1"/>
  <c r="T191" i="1"/>
  <c r="O191" i="1" s="1"/>
  <c r="T192" i="1"/>
  <c r="S192" i="1" s="1"/>
  <c r="T193" i="1"/>
  <c r="T195" i="1"/>
  <c r="O195" i="1" s="1"/>
  <c r="T196" i="1"/>
  <c r="O196" i="1" s="1"/>
  <c r="T197" i="1"/>
  <c r="O197" i="1" s="1"/>
  <c r="T198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142" i="1" l="1"/>
  <c r="S142" i="1"/>
  <c r="O99" i="1"/>
  <c r="S99" i="1"/>
  <c r="O47" i="1"/>
  <c r="S47" i="1"/>
  <c r="S139" i="1"/>
  <c r="R139" i="1"/>
  <c r="O193" i="1"/>
  <c r="S193" i="1"/>
  <c r="O62" i="1"/>
  <c r="S62" i="1"/>
  <c r="O35" i="1"/>
  <c r="S35" i="1"/>
  <c r="R73" i="1"/>
  <c r="S73" i="1"/>
  <c r="S102" i="1"/>
  <c r="S161" i="1"/>
  <c r="O51" i="1"/>
  <c r="R51" i="1"/>
  <c r="O70" i="1"/>
  <c r="R70" i="1"/>
  <c r="O109" i="1"/>
  <c r="R109" i="1"/>
  <c r="O112" i="1"/>
  <c r="R112" i="1"/>
  <c r="O189" i="1"/>
  <c r="R189" i="1"/>
  <c r="O97" i="1"/>
  <c r="R97" i="1"/>
  <c r="O41" i="1"/>
  <c r="S41" i="1"/>
  <c r="O146" i="1"/>
  <c r="S146" i="1"/>
  <c r="O183" i="1"/>
  <c r="S183" i="1"/>
  <c r="O126" i="1"/>
  <c r="R126" i="1"/>
  <c r="O94" i="1"/>
  <c r="S94" i="1"/>
  <c r="O198" i="1"/>
  <c r="R198" i="1"/>
  <c r="O123" i="1"/>
  <c r="R123" i="1"/>
  <c r="O160" i="1"/>
  <c r="R160" i="1"/>
  <c r="O150" i="1"/>
  <c r="R150" i="1"/>
  <c r="O101" i="1"/>
  <c r="R101" i="1"/>
  <c r="O172" i="1"/>
  <c r="R172" i="1"/>
  <c r="O184" i="1"/>
  <c r="R184" i="1"/>
  <c r="O59" i="1"/>
  <c r="R59" i="1"/>
  <c r="O138" i="1"/>
  <c r="S138" i="1"/>
  <c r="O68" i="1"/>
  <c r="S68" i="1"/>
  <c r="O16" i="1"/>
  <c r="R16" i="1"/>
  <c r="O216" i="1"/>
  <c r="R216" i="1"/>
  <c r="O166" i="1"/>
  <c r="R166" i="1"/>
  <c r="O26" i="1"/>
  <c r="R26" i="1"/>
  <c r="O25" i="1"/>
  <c r="R25" i="1"/>
  <c r="O120" i="1"/>
  <c r="O121" i="1"/>
  <c r="O86" i="1"/>
  <c r="O73" i="1"/>
  <c r="O192" i="1"/>
  <c r="O173" i="1"/>
  <c r="O55" i="1"/>
  <c r="O203" i="1"/>
  <c r="O139" i="1"/>
  <c r="O64" i="1"/>
  <c r="O48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24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<sst xmlns="http://schemas.openxmlformats.org/spreadsheetml/2006/main" count="1071" uniqueCount="808">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</sst>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9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166" fontId="24" fillId="0" borderId="0" xfId="0" applyNumberFormat="1" applyFont="1" applyAlignment="1" applyProtection="1">
      <alignment horizontal="center"/>
      <protection locked="0"/>
    </xf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166" fontId="21" fillId="0" borderId="0" xfId="0" applyNumberFormat="1" applyFont="1" applyAlignment="1">
      <alignment horizontal="center"/>
    </xf>
    <xf numFmtId="0" fontId="21" fillId="0" borderId="1" xfId="0" applyFont="1" applyBorder="1" applyProtection="1">
      <protection locked="0"/>
    </xf>
    <xf numFmtId="1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166" fontId="21" fillId="0" borderId="0" xfId="0" applyNumberFormat="1" applyFont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0" fontId="25" fillId="0" borderId="1" xfId="1" applyFont="1" applyBorder="1" applyAlignment="1" applyProtection="1">
      <protection locked="0"/>
    </xf>
    <xf numFmtId="0" fontId="25" fillId="0" borderId="0" xfId="1" applyFont="1" applyBorder="1" applyAlignment="1" applyProtection="1"/>
    <xf numFmtId="0" fontId="25" fillId="0" borderId="1" xfId="1" applyFont="1" applyBorder="1" applyAlignment="1" applyProtection="1"/>
    <xf numFmtId="49" fontId="24" fillId="0" borderId="0" xfId="0" applyNumberFormat="1" applyFont="1" applyAlignment="1" applyProtection="1">
      <alignment horizontal="center"/>
      <protection locked="0"/>
    </xf>
    <xf numFmtId="49" fontId="21" fillId="0" borderId="0" xfId="0" applyNumberFormat="1" applyFont="1" applyAlignment="1" applyProtection="1">
      <alignment horizontal="center"/>
      <protection locked="0"/>
    </xf>
    <xf numFmtId="49" fontId="24" fillId="0" borderId="0" xfId="0" applyNumberFormat="1" applyFont="1" applyProtection="1">
      <protection locked="0"/>
    </xf>
    <xf numFmtId="0" fontId="25" fillId="0" borderId="0" xfId="1" applyFont="1" applyFill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1" fillId="0" borderId="13" xfId="0" applyFont="1" applyBorder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@mchsi.com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77" Type="http://schemas.openxmlformats.org/officeDocument/2006/relationships/ctrlProp" Target="../ctrlProps/ctrlProp12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35" t="s">
        <v>550</v>
      </c>
      <c r="D1" s="136"/>
      <c r="E1" s="137"/>
      <c r="F1" s="35"/>
      <c r="G1" s="35"/>
      <c r="H1" s="35"/>
    </row>
    <row r="2" spans="1:8" ht="15.75" thickBot="1"/>
    <row r="3" spans="1:8" ht="16.5" thickBot="1">
      <c r="A3" s="28" t="s">
        <v>532</v>
      </c>
      <c r="C3" s="140" t="s">
        <v>622</v>
      </c>
      <c r="D3" s="141"/>
      <c r="E3" s="141"/>
      <c r="F3" s="141"/>
      <c r="G3" s="142"/>
    </row>
    <row r="4" spans="1:8" ht="15.75" thickBot="1"/>
    <row r="5" spans="1:8" ht="16.5" thickBot="1">
      <c r="A5" s="28" t="s">
        <v>533</v>
      </c>
      <c r="C5" s="140" t="s">
        <v>623</v>
      </c>
      <c r="D5" s="141"/>
      <c r="E5" s="141"/>
      <c r="F5" s="141"/>
      <c r="G5" s="142"/>
    </row>
    <row r="6" spans="1:8" ht="15.75" thickBot="1"/>
    <row r="7" spans="1:8" ht="16.5" thickBot="1">
      <c r="A7" s="28" t="s">
        <v>534</v>
      </c>
      <c r="C7" s="140" t="s">
        <v>624</v>
      </c>
      <c r="D7" s="141"/>
      <c r="E7" s="141"/>
      <c r="F7" s="141"/>
      <c r="G7" s="142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38" t="s">
        <v>625</v>
      </c>
      <c r="D11" s="139"/>
      <c r="E11" s="138" t="s">
        <v>626</v>
      </c>
      <c r="F11" s="139"/>
      <c r="G11" s="138" t="s">
        <v>627</v>
      </c>
      <c r="H11" s="139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38" t="s">
        <v>628</v>
      </c>
      <c r="D13" s="139"/>
      <c r="E13" s="138" t="s">
        <v>629</v>
      </c>
      <c r="F13" s="139"/>
      <c r="G13" s="138" t="s">
        <v>630</v>
      </c>
      <c r="H13" s="139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38" t="s">
        <v>349</v>
      </c>
      <c r="D15" s="139"/>
      <c r="E15" s="138" t="s">
        <v>631</v>
      </c>
      <c r="F15" s="139"/>
      <c r="G15" s="138" t="s">
        <v>494</v>
      </c>
      <c r="H15" s="139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44" t="s">
        <v>550</v>
      </c>
      <c r="D2" s="145"/>
      <c r="E2" s="145"/>
      <c r="F2" s="145"/>
      <c r="G2" s="146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43" t="str">
        <f>Tourney!$C$3</f>
        <v>Napa Wine Country Open</v>
      </c>
      <c r="C4" s="143"/>
      <c r="D4" s="143"/>
      <c r="E4" s="143"/>
      <c r="F4" s="143"/>
    </row>
    <row r="5" spans="1:7">
      <c r="A5" s="19" t="s">
        <v>552</v>
      </c>
      <c r="B5" s="148" t="str">
        <f>Tourney!$C$5</f>
        <v>The Moose Lodge</v>
      </c>
      <c r="C5" s="148"/>
      <c r="D5" s="148"/>
      <c r="E5" s="148"/>
      <c r="F5" s="148"/>
    </row>
    <row r="6" spans="1:7">
      <c r="A6" s="19" t="s">
        <v>554</v>
      </c>
      <c r="B6" s="148" t="str">
        <f>Tourney!$C$7</f>
        <v>Napa, Ca, 94558</v>
      </c>
      <c r="C6" s="148"/>
      <c r="D6" s="148"/>
      <c r="E6" s="148"/>
      <c r="F6" s="148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47" t="s">
        <v>551</v>
      </c>
      <c r="D15" s="147"/>
      <c r="E15" s="147"/>
      <c r="F15" s="147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6"/>
  <sheetViews>
    <sheetView tabSelected="1" zoomScale="85" zoomScaleNormal="85" workbookViewId="0">
      <pane xSplit="1" ySplit="11" topLeftCell="E103" activePane="bottomRight" state="frozen"/>
      <selection pane="topRight" activeCell="B1" sqref="B1"/>
      <selection pane="bottomLeft" activeCell="A2" sqref="A2"/>
      <selection pane="bottomRight" activeCell="N212" sqref="N212"/>
    </sheetView>
  </sheetViews>
  <sheetFormatPr defaultColWidth="9.140625" defaultRowHeight="15"/>
  <cols>
    <col min="1" max="1" width="8.2851562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17.42578125" style="20" customWidth="1"/>
    <col min="6" max="6" width="25.7109375" style="20" customWidth="1"/>
    <col min="7" max="7" width="38.42578125" style="20" customWidth="1"/>
    <col min="8" max="8" width="10.8554687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11.425781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31" t="str">
        <f>Tourney!$C$3</f>
        <v>Napa Wine Country Open</v>
      </c>
      <c r="L2" s="131"/>
      <c r="M2" s="131"/>
      <c r="N2" s="131"/>
    </row>
    <row r="3" spans="1:26" ht="16.5" customHeight="1">
      <c r="A3" s="50" t="s">
        <v>526</v>
      </c>
      <c r="B3"/>
      <c r="C3"/>
      <c r="H3" s="11" t="s">
        <v>544</v>
      </c>
      <c r="I3" s="11"/>
      <c r="K3" s="131" t="str">
        <f>Tourney!$C$5</f>
        <v>The Moose Lodge</v>
      </c>
      <c r="L3" s="131"/>
      <c r="M3" s="131"/>
      <c r="N3" s="131"/>
    </row>
    <row r="4" spans="1:26" ht="16.5" customHeight="1">
      <c r="A4" s="9"/>
      <c r="H4" s="11" t="s">
        <v>543</v>
      </c>
      <c r="I4" s="11"/>
      <c r="K4" s="131" t="str">
        <f>Tourney!$C$7</f>
        <v>Napa, Ca, 94558</v>
      </c>
      <c r="L4" s="131"/>
      <c r="M4" s="131"/>
      <c r="N4" s="131"/>
    </row>
    <row r="5" spans="1:26" ht="16.5" customHeight="1">
      <c r="A5" s="9"/>
      <c r="H5" s="11" t="s">
        <v>535</v>
      </c>
      <c r="I5" s="11"/>
      <c r="K5" s="132">
        <f>Tourney!$C$9</f>
        <v>46130</v>
      </c>
      <c r="L5" s="132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33" t="s">
        <v>799</v>
      </c>
      <c r="V9" s="134"/>
      <c r="X9" s="130">
        <f>SUM(U10:Y10)</f>
        <v>57</v>
      </c>
    </row>
    <row r="10" spans="1:26" ht="15.75" customHeight="1">
      <c r="A10" s="65"/>
      <c r="B10" s="66">
        <f>COUNTIF(B12:B215,"&lt;&gt;" &amp; "")</f>
        <v>58</v>
      </c>
      <c r="C10" s="67"/>
      <c r="D10" s="67"/>
      <c r="E10" s="68"/>
      <c r="F10" s="68"/>
      <c r="G10" s="68"/>
      <c r="H10" s="66">
        <f t="shared" ref="H10:N10" si="0">COUNTIF(H12:H226,"&lt;&gt;" &amp; "")</f>
        <v>42</v>
      </c>
      <c r="I10" s="66">
        <f t="shared" si="0"/>
        <v>30</v>
      </c>
      <c r="J10" s="66">
        <f t="shared" si="0"/>
        <v>36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3010</v>
      </c>
      <c r="T10" s="72">
        <f>SUM(T12:T226)</f>
        <v>6470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54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>
      <c r="A12" s="88">
        <f t="shared" ref="A12:A36" si="1">ROW() - ROW(FRegentiresEneteredHdr)</f>
        <v>1</v>
      </c>
      <c r="B12" s="89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23" t="s">
        <v>744</v>
      </c>
      <c r="H12" s="94"/>
      <c r="I12" s="89"/>
      <c r="J12" s="89"/>
      <c r="K12" s="89"/>
      <c r="L12" s="89"/>
      <c r="M12" s="89"/>
      <c r="N12" s="89"/>
      <c r="O12" s="95">
        <f>T12*N12</f>
        <v>0</v>
      </c>
      <c r="P12" s="89" t="s">
        <v>692</v>
      </c>
      <c r="Q12" s="89">
        <v>3488</v>
      </c>
      <c r="R12" s="96">
        <f>IF(OR(P12="c",P12="C"),+T12,"")</f>
        <v>70</v>
      </c>
      <c r="S12" s="96" t="str">
        <f>IF(OR(P12="$",N12=1),+T12,"")</f>
        <v/>
      </c>
      <c r="T12" s="127">
        <f>H12*[0]!FMainPool1Fee+I12*[0]!FMainPool2Fee+J12*[0]!FMainPool3Fee+K12*[0]!FMainPool4Fee+B12*[0]!FMainEntryFee</f>
        <v>70</v>
      </c>
      <c r="U12" s="128"/>
      <c r="V12" s="129"/>
      <c r="W12" s="66"/>
      <c r="X12" s="97"/>
      <c r="Y12" s="97">
        <v>1</v>
      </c>
      <c r="Z12" s="98"/>
    </row>
    <row r="13" spans="1:26" ht="18.75">
      <c r="A13" s="88">
        <f t="shared" si="1"/>
        <v>2</v>
      </c>
      <c r="B13" s="89">
        <v>1</v>
      </c>
      <c r="C13" s="90" t="s">
        <v>789</v>
      </c>
      <c r="D13" s="90" t="s">
        <v>790</v>
      </c>
      <c r="E13" s="91" t="s">
        <v>584</v>
      </c>
      <c r="F13" s="92"/>
      <c r="G13" s="123"/>
      <c r="H13" s="94"/>
      <c r="I13" s="89"/>
      <c r="J13" s="89"/>
      <c r="K13" s="89"/>
      <c r="L13" s="89"/>
      <c r="M13" s="89"/>
      <c r="N13" s="89">
        <v>1</v>
      </c>
      <c r="O13" s="95">
        <f>T13*N13</f>
        <v>70</v>
      </c>
      <c r="P13" s="89" t="s">
        <v>741</v>
      </c>
      <c r="Q13" s="89" t="s">
        <v>526</v>
      </c>
      <c r="R13" s="96" t="str">
        <f>IF(OR(P13="c",P13="C"),+T13,"")</f>
        <v/>
      </c>
      <c r="S13" s="96">
        <f>IF(OR(P13="$",N13=1),+T13,"")</f>
        <v>70</v>
      </c>
      <c r="T13" s="127">
        <f>H13*[0]!FMainPool1Fee+I13*[0]!FMainPool2Fee+J13*[0]!FMainPool3Fee+K13*[0]!FMainPool4Fee+B13*[0]!FMainEntryFee</f>
        <v>70</v>
      </c>
      <c r="U13" s="128"/>
      <c r="V13" s="129"/>
      <c r="W13" s="66"/>
      <c r="X13" s="97">
        <v>1</v>
      </c>
      <c r="Y13" s="97"/>
      <c r="Z13" s="98"/>
    </row>
    <row r="14" spans="1:26" ht="18.75">
      <c r="A14" s="88">
        <f t="shared" si="1"/>
        <v>3</v>
      </c>
      <c r="B14" s="89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23" t="s">
        <v>793</v>
      </c>
      <c r="H14" s="94"/>
      <c r="I14" s="89"/>
      <c r="J14" s="89"/>
      <c r="K14" s="89"/>
      <c r="L14" s="89"/>
      <c r="M14" s="89"/>
      <c r="N14" s="89">
        <v>1</v>
      </c>
      <c r="O14" s="95">
        <f>T14*N14</f>
        <v>70</v>
      </c>
      <c r="P14" s="89" t="s">
        <v>741</v>
      </c>
      <c r="Q14" s="89" t="s">
        <v>526</v>
      </c>
      <c r="R14" s="96" t="str">
        <f>IF(OR(P14="c",P14="C"),+T14,"")</f>
        <v/>
      </c>
      <c r="S14" s="96">
        <f>IF(OR(P14="$",N14=1),+T14,"")</f>
        <v>70</v>
      </c>
      <c r="T14" s="127">
        <f>H14*[0]!FMainPool1Fee+I14*[0]!FMainPool2Fee+J14*[0]!FMainPool3Fee+K14*[0]!FMainPool4Fee+B14*[0]!FMainEntryFee</f>
        <v>70</v>
      </c>
      <c r="U14" s="128"/>
      <c r="V14" s="129"/>
      <c r="W14" s="66"/>
      <c r="X14" s="97">
        <v>1</v>
      </c>
      <c r="Y14" s="97"/>
      <c r="Z14" s="98"/>
    </row>
    <row r="15" spans="1:26" ht="18.75">
      <c r="A15" s="88">
        <f t="shared" si="1"/>
        <v>4</v>
      </c>
      <c r="B15" s="89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23" t="s">
        <v>796</v>
      </c>
      <c r="H15" s="94"/>
      <c r="I15" s="89"/>
      <c r="J15" s="89"/>
      <c r="K15" s="89"/>
      <c r="L15" s="89"/>
      <c r="M15" s="89"/>
      <c r="N15" s="89">
        <v>1</v>
      </c>
      <c r="O15" s="95">
        <f>T15*N15</f>
        <v>70</v>
      </c>
      <c r="P15" s="89" t="s">
        <v>741</v>
      </c>
      <c r="Q15" s="89" t="s">
        <v>526</v>
      </c>
      <c r="R15" s="96" t="str">
        <f>IF(OR(P15="c",P15="C"),+T15,"")</f>
        <v/>
      </c>
      <c r="S15" s="96">
        <f>IF(OR(P15="$",N15=1),+T15,"")</f>
        <v>70</v>
      </c>
      <c r="T15" s="127">
        <f>H15*[0]!FMainPool1Fee+I15*[0]!FMainPool2Fee+J15*[0]!FMainPool3Fee+K15*[0]!FMainPool4Fee+B15*[0]!FMainEntryFee</f>
        <v>70</v>
      </c>
      <c r="U15" s="128"/>
      <c r="V15" s="129"/>
      <c r="W15" s="66"/>
      <c r="X15" s="97">
        <v>1</v>
      </c>
      <c r="Y15" s="97"/>
      <c r="Z15" s="98"/>
    </row>
    <row r="16" spans="1:26" ht="15" customHeight="1">
      <c r="A16" s="88">
        <f t="shared" si="1"/>
        <v>5</v>
      </c>
      <c r="B16" s="89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94">
        <v>1</v>
      </c>
      <c r="I16" s="89"/>
      <c r="J16" s="89">
        <v>1</v>
      </c>
      <c r="K16" s="89"/>
      <c r="L16" s="89"/>
      <c r="M16" s="89"/>
      <c r="N16" s="89"/>
      <c r="O16" s="95">
        <f>T16*N16</f>
        <v>0</v>
      </c>
      <c r="P16" s="89" t="s">
        <v>692</v>
      </c>
      <c r="Q16" s="89">
        <v>968</v>
      </c>
      <c r="R16" s="96">
        <f>IF(OR(P16="c",P16="C"),+T16,"")</f>
        <v>100</v>
      </c>
      <c r="S16" s="96" t="str">
        <f>IF(OR(P16="$",N16=1),+T16,"")</f>
        <v/>
      </c>
      <c r="T16" s="127">
        <f>H16*[0]!FMainPool1Fee+I16*[0]!FMainPool2Fee+J16*[0]!FMainPool3Fee+K16*[0]!FMainPool4Fee+B16*[0]!FMainEntryFee</f>
        <v>100</v>
      </c>
      <c r="U16" s="128"/>
      <c r="V16" s="129"/>
      <c r="W16" s="66">
        <v>1</v>
      </c>
      <c r="X16" s="97"/>
      <c r="Y16" s="97"/>
      <c r="Z16" s="98" t="s">
        <v>745</v>
      </c>
    </row>
    <row r="17" spans="1:26" ht="15" customHeight="1">
      <c r="A17" s="88">
        <f t="shared" si="1"/>
        <v>6</v>
      </c>
      <c r="B17" s="89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1" t="s">
        <v>667</v>
      </c>
      <c r="H17" s="94">
        <v>1</v>
      </c>
      <c r="I17" s="89"/>
      <c r="J17" s="89">
        <v>1</v>
      </c>
      <c r="K17" s="89"/>
      <c r="L17" s="89"/>
      <c r="M17" s="89"/>
      <c r="N17" s="89"/>
      <c r="O17" s="95">
        <f>T17*N17</f>
        <v>0</v>
      </c>
      <c r="P17" s="89" t="s">
        <v>692</v>
      </c>
      <c r="Q17" s="89">
        <v>968</v>
      </c>
      <c r="R17" s="96">
        <f>IF(OR(P17="c",P17="C"),+T17,"")</f>
        <v>100</v>
      </c>
      <c r="S17" s="96" t="str">
        <f>IF(OR(P17="$",N17=1),+T17,"")</f>
        <v/>
      </c>
      <c r="T17" s="127">
        <f>H17*[0]!FMainPool1Fee+I17*[0]!FMainPool2Fee+J17*[0]!FMainPool3Fee+K17*[0]!FMainPool4Fee+B17*[0]!FMainEntryFee</f>
        <v>100</v>
      </c>
      <c r="U17" s="128"/>
      <c r="V17" s="129"/>
      <c r="W17" s="66"/>
      <c r="X17" s="97"/>
      <c r="Y17" s="97">
        <v>1</v>
      </c>
      <c r="Z17" s="98"/>
    </row>
    <row r="18" spans="1:26" ht="15" customHeight="1">
      <c r="A18" s="88">
        <f t="shared" si="1"/>
        <v>7</v>
      </c>
      <c r="B18" s="89"/>
      <c r="C18" s="102" t="s">
        <v>29</v>
      </c>
      <c r="D18" s="102" t="s">
        <v>30</v>
      </c>
      <c r="E18" s="103" t="s">
        <v>197</v>
      </c>
      <c r="F18" s="108" t="s">
        <v>511</v>
      </c>
      <c r="G18" s="124" t="s">
        <v>512</v>
      </c>
      <c r="H18" s="94"/>
      <c r="I18" s="89"/>
      <c r="J18" s="89"/>
      <c r="K18" s="89"/>
      <c r="L18" s="89"/>
      <c r="M18" s="89"/>
      <c r="N18" s="89"/>
      <c r="O18" s="95">
        <f>T18*N18</f>
        <v>0</v>
      </c>
      <c r="P18" s="89"/>
      <c r="Q18" s="89"/>
      <c r="R18" s="96" t="str">
        <f>IF(OR(P18="c",P18="C"),+T18,"")</f>
        <v/>
      </c>
      <c r="S18" s="96" t="str">
        <f>IF(OR(P18="$",N18=1),+T18,"")</f>
        <v/>
      </c>
      <c r="T18" s="127">
        <f>H18*[0]!FMainPool1Fee+I18*[0]!FMainPool2Fee+J18*[0]!FMainPool3Fee+K18*[0]!FMainPool4Fee+B18*[0]!FMainEntryFee</f>
        <v>0</v>
      </c>
      <c r="U18" s="128"/>
      <c r="V18" s="129"/>
      <c r="W18" s="66"/>
      <c r="X18" s="97"/>
      <c r="Y18" s="97"/>
      <c r="Z18" s="98"/>
    </row>
    <row r="19" spans="1:26" ht="15" customHeight="1">
      <c r="A19" s="88">
        <f t="shared" si="1"/>
        <v>8</v>
      </c>
      <c r="B19" s="89">
        <v>1</v>
      </c>
      <c r="C19" s="102" t="s">
        <v>757</v>
      </c>
      <c r="D19" s="102" t="s">
        <v>9</v>
      </c>
      <c r="E19" s="103" t="s">
        <v>759</v>
      </c>
      <c r="F19" s="108">
        <v>7076856206</v>
      </c>
      <c r="G19" s="125" t="s">
        <v>760</v>
      </c>
      <c r="H19" s="94"/>
      <c r="I19" s="89"/>
      <c r="J19" s="89"/>
      <c r="K19" s="89"/>
      <c r="L19" s="89"/>
      <c r="M19" s="89"/>
      <c r="N19" s="89"/>
      <c r="O19" s="95">
        <f>T19*N19</f>
        <v>0</v>
      </c>
      <c r="P19" s="89" t="s">
        <v>741</v>
      </c>
      <c r="Q19" s="89"/>
      <c r="R19" s="96" t="str">
        <f>IF(OR(P19="c",P19="C"),+T19,"")</f>
        <v/>
      </c>
      <c r="S19" s="96">
        <f>IF(OR(P19="$",N19=1),+T19,"")</f>
        <v>70</v>
      </c>
      <c r="T19" s="127">
        <f>H19*[0]!FMainPool1Fee+I19*[0]!FMainPool2Fee+J19*[0]!FMainPool3Fee+K19*[0]!FMainPool4Fee+B19*[0]!FMainEntryFee</f>
        <v>70</v>
      </c>
      <c r="U19" s="128"/>
      <c r="V19" s="129"/>
      <c r="W19" s="66"/>
      <c r="X19" s="97"/>
      <c r="Y19" s="97">
        <v>1</v>
      </c>
      <c r="Z19" s="98"/>
    </row>
    <row r="20" spans="1:26" ht="15" customHeight="1">
      <c r="A20" s="88">
        <f t="shared" si="1"/>
        <v>9</v>
      </c>
      <c r="B20" s="89">
        <v>1</v>
      </c>
      <c r="C20" s="102" t="s">
        <v>758</v>
      </c>
      <c r="D20" s="102" t="s">
        <v>9</v>
      </c>
      <c r="E20" s="103" t="s">
        <v>761</v>
      </c>
      <c r="F20" s="108">
        <v>7076856206</v>
      </c>
      <c r="G20" s="125" t="s">
        <v>760</v>
      </c>
      <c r="H20" s="94"/>
      <c r="I20" s="89"/>
      <c r="J20" s="89"/>
      <c r="K20" s="89"/>
      <c r="L20" s="89"/>
      <c r="M20" s="89"/>
      <c r="N20" s="89"/>
      <c r="O20" s="95">
        <f>T20*N20</f>
        <v>0</v>
      </c>
      <c r="P20" s="89" t="s">
        <v>741</v>
      </c>
      <c r="Q20" s="89"/>
      <c r="R20" s="96" t="str">
        <f>IF(OR(P20="c",P20="C"),+T20,"")</f>
        <v/>
      </c>
      <c r="S20" s="96">
        <f>IF(OR(P20="$",N20=1),+T20,"")</f>
        <v>70</v>
      </c>
      <c r="T20" s="127">
        <f>H20*[0]!FMainPool1Fee+I20*[0]!FMainPool2Fee+J20*[0]!FMainPool3Fee+K20*[0]!FMainPool4Fee+B20*[0]!FMainEntryFee</f>
        <v>70</v>
      </c>
      <c r="U20" s="128"/>
      <c r="V20" s="129"/>
      <c r="W20" s="66"/>
      <c r="X20" s="97"/>
      <c r="Y20" s="97">
        <v>1</v>
      </c>
      <c r="Z20" s="98"/>
    </row>
    <row r="21" spans="1:26" ht="15" customHeight="1">
      <c r="A21" s="88">
        <f t="shared" si="1"/>
        <v>10</v>
      </c>
      <c r="B21" s="106"/>
      <c r="C21" s="90" t="s">
        <v>260</v>
      </c>
      <c r="D21" s="90" t="s">
        <v>261</v>
      </c>
      <c r="E21" s="91" t="s">
        <v>262</v>
      </c>
      <c r="F21" s="92"/>
      <c r="G21" s="90" t="s">
        <v>338</v>
      </c>
      <c r="H21" s="94"/>
      <c r="I21" s="89"/>
      <c r="J21" s="89"/>
      <c r="K21" s="89"/>
      <c r="L21" s="89"/>
      <c r="M21" s="89"/>
      <c r="N21" s="89"/>
      <c r="O21" s="95">
        <f>T21*N21</f>
        <v>0</v>
      </c>
      <c r="P21" s="89"/>
      <c r="Q21" s="89"/>
      <c r="R21" s="96" t="str">
        <f>IF(OR(P21="c",P21="C"),+T21,"")</f>
        <v/>
      </c>
      <c r="S21" s="96" t="str">
        <f>IF(OR(P21="$",N21=1),+T21,"")</f>
        <v/>
      </c>
      <c r="T21" s="127">
        <f>H21*[0]!FMainPool1Fee+I21*[0]!FMainPool2Fee+J21*[0]!FMainPool3Fee+K21*[0]!FMainPool4Fee+B21*[0]!FMainEntryFee</f>
        <v>0</v>
      </c>
      <c r="U21" s="128"/>
      <c r="V21" s="129"/>
      <c r="W21" s="66"/>
      <c r="X21" s="97"/>
      <c r="Y21" s="97"/>
      <c r="Z21" s="98"/>
    </row>
    <row r="22" spans="1:26" ht="15" customHeight="1">
      <c r="A22" s="88">
        <f t="shared" si="1"/>
        <v>11</v>
      </c>
      <c r="B22" s="89"/>
      <c r="C22" s="90" t="s">
        <v>414</v>
      </c>
      <c r="D22" s="90" t="s">
        <v>464</v>
      </c>
      <c r="E22" s="91" t="s">
        <v>440</v>
      </c>
      <c r="F22" s="92">
        <v>9098875893</v>
      </c>
      <c r="G22" s="93" t="s">
        <v>513</v>
      </c>
      <c r="H22" s="94"/>
      <c r="I22" s="89"/>
      <c r="J22" s="89"/>
      <c r="K22" s="89"/>
      <c r="L22" s="89"/>
      <c r="M22" s="89"/>
      <c r="N22" s="89"/>
      <c r="O22" s="95">
        <f>T22*N22</f>
        <v>0</v>
      </c>
      <c r="P22" s="89"/>
      <c r="Q22" s="89"/>
      <c r="R22" s="96" t="str">
        <f>IF(OR(P22="c",P22="C"),+T22,"")</f>
        <v/>
      </c>
      <c r="S22" s="96" t="str">
        <f>IF(OR(P22="$",N22=1),+T22,"")</f>
        <v/>
      </c>
      <c r="T22" s="127">
        <f>H22*[0]!FMainPool1Fee+I22*[0]!FMainPool2Fee+J22*[0]!FMainPool3Fee+K22*[0]!FMainPool4Fee+B22*[0]!FMainEntryFee</f>
        <v>0</v>
      </c>
      <c r="U22" s="128"/>
      <c r="V22" s="129"/>
      <c r="W22" s="66"/>
      <c r="X22" s="97"/>
      <c r="Y22" s="97"/>
      <c r="Z22" s="98"/>
    </row>
    <row r="23" spans="1:26" ht="15" customHeight="1">
      <c r="A23" s="88">
        <f t="shared" si="1"/>
        <v>12</v>
      </c>
      <c r="B23" s="89"/>
      <c r="C23" s="90" t="s">
        <v>283</v>
      </c>
      <c r="D23" s="90" t="s">
        <v>14</v>
      </c>
      <c r="E23" s="91" t="s">
        <v>284</v>
      </c>
      <c r="F23" s="92"/>
      <c r="G23" s="105" t="s">
        <v>346</v>
      </c>
      <c r="H23" s="94"/>
      <c r="I23" s="89"/>
      <c r="J23" s="89"/>
      <c r="K23" s="89"/>
      <c r="L23" s="89"/>
      <c r="M23" s="89"/>
      <c r="N23" s="89"/>
      <c r="O23" s="95">
        <f>T23*N23</f>
        <v>0</v>
      </c>
      <c r="P23" s="89"/>
      <c r="Q23" s="89"/>
      <c r="R23" s="96" t="str">
        <f>IF(OR(P23="c",P23="C"),+T23,"")</f>
        <v/>
      </c>
      <c r="S23" s="96" t="str">
        <f>IF(OR(P23="$",N23=1),+T23,"")</f>
        <v/>
      </c>
      <c r="T23" s="127">
        <f>H23*[0]!FMainPool1Fee+I23*[0]!FMainPool2Fee+J23*[0]!FMainPool3Fee+K23*[0]!FMainPool4Fee+B23*[0]!FMainEntryFee</f>
        <v>0</v>
      </c>
      <c r="U23" s="128"/>
      <c r="V23" s="129"/>
      <c r="W23" s="66"/>
      <c r="X23" s="97"/>
      <c r="Y23" s="97"/>
      <c r="Z23" s="98"/>
    </row>
    <row r="24" spans="1:26" ht="15" customHeight="1">
      <c r="A24" s="88">
        <f t="shared" si="1"/>
        <v>13</v>
      </c>
      <c r="B24" s="89"/>
      <c r="C24" s="102" t="s">
        <v>13</v>
      </c>
      <c r="D24" s="102" t="s">
        <v>14</v>
      </c>
      <c r="E24" s="103" t="s">
        <v>168</v>
      </c>
      <c r="F24" s="107">
        <v>9168138609</v>
      </c>
      <c r="G24" s="105" t="s">
        <v>347</v>
      </c>
      <c r="H24" s="94"/>
      <c r="I24" s="89"/>
      <c r="J24" s="89"/>
      <c r="K24" s="89"/>
      <c r="L24" s="89"/>
      <c r="M24" s="89"/>
      <c r="N24" s="89"/>
      <c r="O24" s="95">
        <f>T24*N24</f>
        <v>0</v>
      </c>
      <c r="P24" s="89"/>
      <c r="Q24" s="89"/>
      <c r="R24" s="96" t="str">
        <f>IF(OR(P24="c",P24="C"),+T24,"")</f>
        <v/>
      </c>
      <c r="S24" s="96" t="str">
        <f>IF(OR(P24="$",N24=1),+T24,"")</f>
        <v/>
      </c>
      <c r="T24" s="127">
        <f>H24*[0]!FMainPool1Fee+I24*[0]!FMainPool2Fee+J24*[0]!FMainPool3Fee+K24*[0]!FMainPool4Fee+B24*[0]!FMainEntryFee</f>
        <v>0</v>
      </c>
      <c r="U24" s="128"/>
      <c r="V24" s="129"/>
      <c r="W24" s="66"/>
      <c r="X24" s="97"/>
      <c r="Y24" s="97"/>
      <c r="Z24" s="98"/>
    </row>
    <row r="25" spans="1:26" ht="15" customHeight="1">
      <c r="A25" s="88">
        <f t="shared" si="1"/>
        <v>14</v>
      </c>
      <c r="B25" s="89">
        <v>1</v>
      </c>
      <c r="C25" s="90" t="s">
        <v>734</v>
      </c>
      <c r="D25" s="90" t="s">
        <v>87</v>
      </c>
      <c r="E25" s="91" t="s">
        <v>457</v>
      </c>
      <c r="F25" s="108" t="s">
        <v>490</v>
      </c>
      <c r="G25" s="99" t="s">
        <v>491</v>
      </c>
      <c r="H25" s="94">
        <v>1</v>
      </c>
      <c r="I25" s="89">
        <v>1</v>
      </c>
      <c r="J25" s="89">
        <v>1</v>
      </c>
      <c r="K25" s="89">
        <v>1</v>
      </c>
      <c r="L25" s="89"/>
      <c r="M25" s="89"/>
      <c r="N25" s="89"/>
      <c r="O25" s="95">
        <f>T25*N25</f>
        <v>0</v>
      </c>
      <c r="P25" s="89" t="s">
        <v>692</v>
      </c>
      <c r="Q25" s="89">
        <v>1886</v>
      </c>
      <c r="R25" s="96">
        <f>IF(OR(P25="c",P25="C"),+T25,"")</f>
        <v>160</v>
      </c>
      <c r="S25" s="96" t="str">
        <f>IF(OR(P25="$",N25=1),+T25,"")</f>
        <v/>
      </c>
      <c r="T25" s="127">
        <f>H25*[0]!FMainPool1Fee+I25*[0]!FMainPool2Fee+J25*[0]!FMainPool3Fee+K25*[0]!FMainPool4Fee+B25*[0]!FMainEntryFee</f>
        <v>160</v>
      </c>
      <c r="U25" s="128"/>
      <c r="V25" s="129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89">
        <v>1</v>
      </c>
      <c r="C26" s="90" t="s">
        <v>415</v>
      </c>
      <c r="D26" s="90" t="s">
        <v>87</v>
      </c>
      <c r="E26" s="91" t="s">
        <v>441</v>
      </c>
      <c r="F26" s="109">
        <v>5302775321</v>
      </c>
      <c r="G26" s="93" t="s">
        <v>514</v>
      </c>
      <c r="H26" s="94">
        <v>1</v>
      </c>
      <c r="I26" s="89">
        <v>1</v>
      </c>
      <c r="J26" s="89">
        <v>1</v>
      </c>
      <c r="K26" s="89">
        <v>1</v>
      </c>
      <c r="L26" s="89"/>
      <c r="M26" s="89"/>
      <c r="N26" s="89"/>
      <c r="O26" s="95">
        <f>T26*N26</f>
        <v>0</v>
      </c>
      <c r="P26" s="89" t="s">
        <v>692</v>
      </c>
      <c r="Q26" s="89">
        <v>1886</v>
      </c>
      <c r="R26" s="96">
        <f>IF(OR(P26="c",P26="C"),+T26,"")</f>
        <v>160</v>
      </c>
      <c r="S26" s="96" t="str">
        <f>IF(OR(P26="$",N26=1),+T26,"")</f>
        <v/>
      </c>
      <c r="T26" s="127">
        <f>H26*[0]!FMainPool1Fee+I26*[0]!FMainPool2Fee+J26*[0]!FMainPool3Fee+K26*[0]!FMainPool4Fee+B26*[0]!FMainEntryFee</f>
        <v>160</v>
      </c>
      <c r="U26" s="128"/>
      <c r="V26" s="129"/>
      <c r="W26" s="66">
        <v>1</v>
      </c>
      <c r="X26" s="97"/>
      <c r="Y26" s="97"/>
      <c r="Z26" s="98" t="s">
        <v>735</v>
      </c>
    </row>
    <row r="27" spans="1:26" ht="15" customHeight="1">
      <c r="A27" s="88">
        <f t="shared" si="1"/>
        <v>16</v>
      </c>
      <c r="B27" s="89">
        <v>1</v>
      </c>
      <c r="C27" s="90" t="s">
        <v>754</v>
      </c>
      <c r="D27" s="90" t="s">
        <v>25</v>
      </c>
      <c r="E27" s="91" t="s">
        <v>755</v>
      </c>
      <c r="F27" s="109">
        <v>9252853734</v>
      </c>
      <c r="G27" s="123" t="s">
        <v>756</v>
      </c>
      <c r="H27" s="94">
        <v>1</v>
      </c>
      <c r="I27" s="89"/>
      <c r="J27" s="89"/>
      <c r="K27" s="89"/>
      <c r="L27" s="89"/>
      <c r="M27" s="89"/>
      <c r="N27" s="89"/>
      <c r="O27" s="95">
        <f>T27*N27</f>
        <v>0</v>
      </c>
      <c r="P27" s="89" t="s">
        <v>692</v>
      </c>
      <c r="Q27" s="89">
        <v>109</v>
      </c>
      <c r="R27" s="96">
        <f>IF(OR(P27="c",P27="C"),+T27,"")</f>
        <v>80</v>
      </c>
      <c r="S27" s="96" t="str">
        <f>IF(OR(P27="$",N27=1),+T27,"")</f>
        <v/>
      </c>
      <c r="T27" s="127">
        <f>H27*[0]!FMainPool1Fee+I27*[0]!FMainPool2Fee+J27*[0]!FMainPool3Fee+K27*[0]!FMainPool4Fee+B27*[0]!FMainEntryFee</f>
        <v>80</v>
      </c>
      <c r="U27" s="128"/>
      <c r="V27" s="129"/>
      <c r="W27" s="66"/>
      <c r="X27" s="97"/>
      <c r="Y27" s="97">
        <v>1</v>
      </c>
      <c r="Z27" s="98"/>
    </row>
    <row r="28" spans="1:26" ht="15" customHeight="1">
      <c r="A28" s="88">
        <f t="shared" si="1"/>
        <v>17</v>
      </c>
      <c r="B28" s="89">
        <v>1</v>
      </c>
      <c r="C28" s="90" t="s">
        <v>779</v>
      </c>
      <c r="D28" s="90" t="s">
        <v>30</v>
      </c>
      <c r="E28" s="91" t="s">
        <v>777</v>
      </c>
      <c r="F28" s="109">
        <v>4085956255</v>
      </c>
      <c r="G28" s="123" t="s">
        <v>778</v>
      </c>
      <c r="H28" s="94">
        <v>0</v>
      </c>
      <c r="I28" s="89"/>
      <c r="J28" s="89"/>
      <c r="K28" s="89"/>
      <c r="L28" s="89"/>
      <c r="M28" s="89"/>
      <c r="N28" s="89"/>
      <c r="O28" s="95">
        <f>T28*N28</f>
        <v>0</v>
      </c>
      <c r="P28" s="89" t="s">
        <v>741</v>
      </c>
      <c r="Q28" s="89"/>
      <c r="R28" s="96" t="str">
        <f>IF(OR(P28="c",P28="C"),+T28,"")</f>
        <v/>
      </c>
      <c r="S28" s="96">
        <f>IF(OR(P28="$",N28=1),+T28,"")</f>
        <v>70</v>
      </c>
      <c r="T28" s="127">
        <f>H28*[0]!FMainPool1Fee+I28*[0]!FMainPool2Fee+J28*[0]!FMainPool3Fee+K28*[0]!FMainPool4Fee+B28*[0]!FMainEntryFee</f>
        <v>70</v>
      </c>
      <c r="U28" s="128"/>
      <c r="V28" s="129"/>
      <c r="W28" s="66"/>
      <c r="X28" s="97">
        <v>1</v>
      </c>
      <c r="Y28" s="97"/>
      <c r="Z28" s="98" t="s">
        <v>780</v>
      </c>
    </row>
    <row r="29" spans="1:26" ht="15" customHeight="1">
      <c r="A29" s="88">
        <f t="shared" si="1"/>
        <v>18</v>
      </c>
      <c r="B29" s="89"/>
      <c r="C29" s="99" t="s">
        <v>621</v>
      </c>
      <c r="D29" s="99"/>
      <c r="E29" s="66" t="s">
        <v>566</v>
      </c>
      <c r="F29" s="110"/>
      <c r="G29" s="99"/>
      <c r="H29" s="94"/>
      <c r="I29" s="89"/>
      <c r="J29" s="89"/>
      <c r="K29" s="89"/>
      <c r="L29" s="89"/>
      <c r="M29" s="89"/>
      <c r="N29" s="89"/>
      <c r="O29" s="95">
        <f>T29*N29</f>
        <v>0</v>
      </c>
      <c r="P29" s="89"/>
      <c r="Q29" s="89"/>
      <c r="R29" s="96" t="str">
        <f>IF(OR(P29="c",P29="C"),+T29,"")</f>
        <v/>
      </c>
      <c r="S29" s="96" t="str">
        <f>IF(OR(P29="$",N29=1),+T29,"")</f>
        <v/>
      </c>
      <c r="T29" s="127">
        <f>H29*[0]!FMainPool1Fee+I29*[0]!FMainPool2Fee+J29*[0]!FMainPool3Fee+K29*[0]!FMainPool4Fee+B29*[0]!FMainEntryFee</f>
        <v>0</v>
      </c>
      <c r="U29" s="128"/>
      <c r="V29" s="129"/>
      <c r="W29" s="66"/>
      <c r="X29" s="97"/>
      <c r="Y29" s="97"/>
      <c r="Z29" s="98"/>
    </row>
    <row r="30" spans="1:26" ht="15" customHeight="1">
      <c r="A30" s="88">
        <f t="shared" si="1"/>
        <v>19</v>
      </c>
      <c r="B30" s="89"/>
      <c r="C30" s="99" t="s">
        <v>567</v>
      </c>
      <c r="D30" s="99" t="s">
        <v>568</v>
      </c>
      <c r="E30" s="66" t="s">
        <v>569</v>
      </c>
      <c r="F30" s="110"/>
      <c r="G30" s="99"/>
      <c r="H30" s="94"/>
      <c r="I30" s="89"/>
      <c r="J30" s="89"/>
      <c r="K30" s="89"/>
      <c r="L30" s="89"/>
      <c r="M30" s="89"/>
      <c r="N30" s="89"/>
      <c r="O30" s="95">
        <f>T30*N30</f>
        <v>0</v>
      </c>
      <c r="P30" s="89"/>
      <c r="Q30" s="89"/>
      <c r="R30" s="96" t="str">
        <f>IF(OR(P30="c",P30="C"),+T30,"")</f>
        <v/>
      </c>
      <c r="S30" s="96" t="str">
        <f>IF(OR(P30="$",N30=1),+T30,"")</f>
        <v/>
      </c>
      <c r="T30" s="127">
        <f>H30*[0]!FMainPool1Fee+I30*[0]!FMainPool2Fee+J30*[0]!FMainPool3Fee+K30*[0]!FMainPool4Fee+B30*[0]!FMainEntryFee</f>
        <v>0</v>
      </c>
      <c r="U30" s="128"/>
      <c r="V30" s="129"/>
      <c r="W30" s="66"/>
      <c r="X30" s="97"/>
      <c r="Y30" s="97"/>
      <c r="Z30" s="98"/>
    </row>
    <row r="31" spans="1:26" ht="15" customHeight="1">
      <c r="A31" s="88">
        <f t="shared" si="1"/>
        <v>20</v>
      </c>
      <c r="B31" s="89"/>
      <c r="C31" s="90" t="s">
        <v>327</v>
      </c>
      <c r="D31" s="90" t="s">
        <v>328</v>
      </c>
      <c r="E31" s="91" t="s">
        <v>651</v>
      </c>
      <c r="F31" s="109">
        <v>4087325550</v>
      </c>
      <c r="G31" s="105" t="s">
        <v>329</v>
      </c>
      <c r="H31" s="94"/>
      <c r="I31" s="89"/>
      <c r="J31" s="89"/>
      <c r="K31" s="89"/>
      <c r="L31" s="89"/>
      <c r="M31" s="89"/>
      <c r="N31" s="89"/>
      <c r="O31" s="95">
        <f>T31*N31</f>
        <v>0</v>
      </c>
      <c r="P31" s="89"/>
      <c r="Q31" s="89"/>
      <c r="R31" s="96" t="str">
        <f>IF(OR(P31="c",P31="C"),+T31,"")</f>
        <v/>
      </c>
      <c r="S31" s="96" t="str">
        <f>IF(OR(P31="$",N31=1),+T31,"")</f>
        <v/>
      </c>
      <c r="T31" s="127">
        <f>H31*[0]!FMainPool1Fee+I31*[0]!FMainPool2Fee+J31*[0]!FMainPool3Fee+K31*[0]!FMainPool4Fee+B31*[0]!FMainEntryFee</f>
        <v>0</v>
      </c>
      <c r="U31" s="128"/>
      <c r="V31" s="129"/>
      <c r="W31" s="66"/>
      <c r="X31" s="97"/>
      <c r="Y31" s="97"/>
      <c r="Z31" s="98"/>
    </row>
    <row r="32" spans="1:26" ht="15" customHeight="1">
      <c r="A32" s="88">
        <f t="shared" si="1"/>
        <v>21</v>
      </c>
      <c r="B32" s="89"/>
      <c r="C32" s="90" t="s">
        <v>288</v>
      </c>
      <c r="D32" s="90" t="s">
        <v>14</v>
      </c>
      <c r="E32" s="91" t="s">
        <v>289</v>
      </c>
      <c r="F32" s="109">
        <v>9162036636</v>
      </c>
      <c r="G32" s="105" t="s">
        <v>290</v>
      </c>
      <c r="H32" s="94"/>
      <c r="I32" s="89"/>
      <c r="J32" s="89"/>
      <c r="K32" s="89"/>
      <c r="L32" s="89"/>
      <c r="M32" s="89"/>
      <c r="N32" s="89"/>
      <c r="O32" s="95">
        <f>T32*N32</f>
        <v>0</v>
      </c>
      <c r="P32" s="89"/>
      <c r="Q32" s="89"/>
      <c r="R32" s="96" t="str">
        <f>IF(OR(P32="c",P32="C"),+T32,"")</f>
        <v/>
      </c>
      <c r="S32" s="96" t="str">
        <f>IF(OR(P32="$",N32=1),+T32,"")</f>
        <v/>
      </c>
      <c r="T32" s="127">
        <f>H32*[0]!FMainPool1Fee+I32*[0]!FMainPool2Fee+J32*[0]!FMainPool3Fee+K32*[0]!FMainPool4Fee+B32*[0]!FMainEntryFee</f>
        <v>0</v>
      </c>
      <c r="U32" s="128"/>
      <c r="V32" s="129"/>
      <c r="W32" s="66"/>
      <c r="X32" s="97"/>
      <c r="Y32" s="97"/>
      <c r="Z32" s="98"/>
    </row>
    <row r="33" spans="1:26" ht="15" customHeight="1">
      <c r="A33" s="88">
        <f t="shared" si="1"/>
        <v>22</v>
      </c>
      <c r="B33" s="89">
        <v>1</v>
      </c>
      <c r="C33" s="90" t="s">
        <v>769</v>
      </c>
      <c r="D33" s="90" t="s">
        <v>770</v>
      </c>
      <c r="E33" s="91" t="s">
        <v>771</v>
      </c>
      <c r="F33" s="109">
        <v>8312771414</v>
      </c>
      <c r="G33" s="126" t="s">
        <v>772</v>
      </c>
      <c r="H33" s="94">
        <v>1</v>
      </c>
      <c r="I33" s="89"/>
      <c r="J33" s="89"/>
      <c r="K33" s="89"/>
      <c r="L33" s="89">
        <v>1</v>
      </c>
      <c r="M33" s="89"/>
      <c r="N33" s="89"/>
      <c r="O33" s="95">
        <f>T33*N33</f>
        <v>0</v>
      </c>
      <c r="P33" s="89" t="s">
        <v>741</v>
      </c>
      <c r="Q33" s="89"/>
      <c r="R33" s="96" t="str">
        <f>IF(OR(P33="c",P33="C"),+T33,"")</f>
        <v/>
      </c>
      <c r="S33" s="96">
        <f>IF(OR(P33="$",N33=1),+T33,"")</f>
        <v>80</v>
      </c>
      <c r="T33" s="127">
        <f>H33*[0]!FMainPool1Fee+I33*[0]!FMainPool2Fee+J33*[0]!FMainPool3Fee+K33*[0]!FMainPool4Fee+B33*[0]!FMainEntryFee</f>
        <v>80</v>
      </c>
      <c r="U33" s="128"/>
      <c r="V33" s="129"/>
      <c r="W33" s="66"/>
      <c r="X33" s="97"/>
      <c r="Y33" s="97">
        <v>1</v>
      </c>
      <c r="Z33" s="98" t="s">
        <v>787</v>
      </c>
    </row>
    <row r="34" spans="1:26" ht="15" customHeight="1">
      <c r="A34" s="88">
        <f t="shared" si="1"/>
        <v>23</v>
      </c>
      <c r="B34" s="89"/>
      <c r="C34" s="102" t="s">
        <v>6</v>
      </c>
      <c r="D34" s="102" t="s">
        <v>7</v>
      </c>
      <c r="E34" s="103" t="s">
        <v>170</v>
      </c>
      <c r="F34" s="111">
        <v>7078430109</v>
      </c>
      <c r="G34" s="93" t="s">
        <v>515</v>
      </c>
      <c r="H34" s="94"/>
      <c r="I34" s="89"/>
      <c r="J34" s="89"/>
      <c r="K34" s="89"/>
      <c r="L34" s="89"/>
      <c r="M34" s="89"/>
      <c r="N34" s="89"/>
      <c r="O34" s="95">
        <f>T34*N34</f>
        <v>0</v>
      </c>
      <c r="P34" s="89"/>
      <c r="Q34" s="89"/>
      <c r="R34" s="96" t="str">
        <f>IF(OR(P34="c",P34="C"),+T34,"")</f>
        <v/>
      </c>
      <c r="S34" s="96" t="str">
        <f>IF(OR(P34="$",N34=1),+T34,"")</f>
        <v/>
      </c>
      <c r="T34" s="127">
        <f>H34*[0]!FMainPool1Fee+I34*[0]!FMainPool2Fee+J34*[0]!FMainPool3Fee+K34*[0]!FMainPool4Fee+B34*[0]!FMainEntryFee</f>
        <v>0</v>
      </c>
      <c r="U34" s="128"/>
      <c r="V34" s="129"/>
      <c r="W34" s="66"/>
      <c r="X34" s="97"/>
      <c r="Y34" s="97"/>
      <c r="Z34" s="98"/>
    </row>
    <row r="35" spans="1:26" ht="15" customHeight="1">
      <c r="A35" s="88">
        <f t="shared" si="1"/>
        <v>24</v>
      </c>
      <c r="B35" s="89">
        <v>1</v>
      </c>
      <c r="C35" s="105" t="s">
        <v>570</v>
      </c>
      <c r="D35" s="105" t="s">
        <v>97</v>
      </c>
      <c r="E35" s="112" t="s">
        <v>571</v>
      </c>
      <c r="F35" s="110">
        <v>5305666454</v>
      </c>
      <c r="G35" s="113" t="s">
        <v>675</v>
      </c>
      <c r="H35" s="94">
        <v>1</v>
      </c>
      <c r="I35" s="89">
        <v>1</v>
      </c>
      <c r="J35" s="89">
        <v>1</v>
      </c>
      <c r="K35" s="89">
        <v>1</v>
      </c>
      <c r="L35" s="89">
        <v>1</v>
      </c>
      <c r="M35" s="89"/>
      <c r="N35" s="89"/>
      <c r="O35" s="95">
        <f>T35*N35</f>
        <v>0</v>
      </c>
      <c r="P35" s="89" t="s">
        <v>741</v>
      </c>
      <c r="Q35" s="89"/>
      <c r="R35" s="96" t="str">
        <f>IF(OR(P35="c",P35="C"),+T35,"")</f>
        <v/>
      </c>
      <c r="S35" s="96">
        <f>IF(OR(P35="$",N35=1),+T35,"")</f>
        <v>160</v>
      </c>
      <c r="T35" s="127">
        <f>H35*[0]!FMainPool1Fee+I35*[0]!FMainPool2Fee+J35*[0]!FMainPool3Fee+K35*[0]!FMainPool4Fee+B35*[0]!FMainEntryFee</f>
        <v>160</v>
      </c>
      <c r="U35" s="128"/>
      <c r="V35" s="129"/>
      <c r="W35" s="66"/>
      <c r="X35" s="97">
        <v>1</v>
      </c>
      <c r="Y35" s="97"/>
      <c r="Z35" s="98" t="s">
        <v>802</v>
      </c>
    </row>
    <row r="36" spans="1:26" ht="18">
      <c r="A36" s="88">
        <f t="shared" si="1"/>
        <v>25</v>
      </c>
      <c r="B36" s="89"/>
      <c r="C36" s="90" t="s">
        <v>276</v>
      </c>
      <c r="D36" s="90" t="s">
        <v>277</v>
      </c>
      <c r="E36" s="91" t="s">
        <v>278</v>
      </c>
      <c r="F36" s="109">
        <v>9167055602</v>
      </c>
      <c r="G36" s="105" t="s">
        <v>281</v>
      </c>
      <c r="H36" s="94"/>
      <c r="I36" s="89"/>
      <c r="J36" s="89"/>
      <c r="K36" s="89"/>
      <c r="L36" s="89"/>
      <c r="M36" s="89"/>
      <c r="N36" s="89"/>
      <c r="O36" s="95">
        <f>T36*N36</f>
        <v>0</v>
      </c>
      <c r="P36" s="89"/>
      <c r="Q36" s="89"/>
      <c r="R36" s="96" t="str">
        <f>IF(OR(P36="c",P36="C"),+T36,"")</f>
        <v/>
      </c>
      <c r="S36" s="96" t="str">
        <f>IF(OR(P36="$",N36=1),+T36,"")</f>
        <v/>
      </c>
      <c r="T36" s="127">
        <f>H36*[0]!FMainPool1Fee+I36*[0]!FMainPool2Fee+J36*[0]!FMainPool3Fee+K36*[0]!FMainPool4Fee+B36*[0]!FMainEntryFee</f>
        <v>0</v>
      </c>
      <c r="U36" s="128"/>
      <c r="V36" s="129"/>
      <c r="W36" s="66"/>
      <c r="X36" s="97"/>
      <c r="Y36" s="97"/>
      <c r="Z36" s="98"/>
    </row>
    <row r="37" spans="1:26" ht="18">
      <c r="A37" s="88">
        <v>22</v>
      </c>
      <c r="B37" s="89"/>
      <c r="C37" s="99" t="s">
        <v>632</v>
      </c>
      <c r="D37" s="99" t="s">
        <v>277</v>
      </c>
      <c r="E37" s="66" t="s">
        <v>633</v>
      </c>
      <c r="F37" s="110"/>
      <c r="G37" s="99"/>
      <c r="H37" s="94"/>
      <c r="I37" s="89"/>
      <c r="J37" s="89"/>
      <c r="K37" s="89"/>
      <c r="L37" s="89"/>
      <c r="M37" s="89"/>
      <c r="N37" s="89"/>
      <c r="O37" s="95">
        <f>T37*N37</f>
        <v>0</v>
      </c>
      <c r="P37" s="89"/>
      <c r="Q37" s="89"/>
      <c r="R37" s="96" t="str">
        <f>IF(OR(P37="c",P37="C"),+T37,"")</f>
        <v/>
      </c>
      <c r="S37" s="96" t="str">
        <f>IF(OR(P37="$",N37=1),+T37,"")</f>
        <v/>
      </c>
      <c r="T37" s="127">
        <f>H37*[0]!FMainPool1Fee+I37*[0]!FMainPool2Fee+J37*[0]!FMainPool3Fee+K37*[0]!FMainPool4Fee+B37*[0]!FMainEntryFee</f>
        <v>0</v>
      </c>
      <c r="U37" s="128"/>
      <c r="V37" s="129"/>
      <c r="W37" s="66"/>
      <c r="X37" s="97"/>
      <c r="Y37" s="97"/>
      <c r="Z37" s="98"/>
    </row>
    <row r="38" spans="1:26" ht="18">
      <c r="A38" s="88">
        <v>23</v>
      </c>
      <c r="B38" s="89"/>
      <c r="C38" s="90" t="s">
        <v>465</v>
      </c>
      <c r="D38" s="90" t="s">
        <v>111</v>
      </c>
      <c r="E38" s="91" t="s">
        <v>442</v>
      </c>
      <c r="F38" s="110" t="s">
        <v>516</v>
      </c>
      <c r="G38" s="99" t="s">
        <v>517</v>
      </c>
      <c r="H38" s="94"/>
      <c r="I38" s="89"/>
      <c r="J38" s="89"/>
      <c r="K38" s="89"/>
      <c r="L38" s="89"/>
      <c r="M38" s="89"/>
      <c r="N38" s="89"/>
      <c r="O38" s="95">
        <f>T38*N38</f>
        <v>0</v>
      </c>
      <c r="P38" s="89"/>
      <c r="Q38" s="89"/>
      <c r="R38" s="96" t="str">
        <f>IF(OR(P38="c",P38="C"),+T38,"")</f>
        <v/>
      </c>
      <c r="S38" s="96" t="str">
        <f>IF(OR(P38="$",N38=1),+T38,"")</f>
        <v/>
      </c>
      <c r="T38" s="127">
        <f>H38*[0]!FMainPool1Fee+I38*[0]!FMainPool2Fee+J38*[0]!FMainPool3Fee+K38*[0]!FMainPool4Fee+B38*[0]!FMainEntryFee</f>
        <v>0</v>
      </c>
      <c r="U38" s="128"/>
      <c r="V38" s="129"/>
      <c r="W38" s="66"/>
      <c r="X38" s="97"/>
      <c r="Y38" s="97"/>
      <c r="Z38" s="98"/>
    </row>
    <row r="39" spans="1:26" ht="18">
      <c r="A39" s="88">
        <f t="shared" ref="A39:A71" si="2">ROW() - ROW(FRegentiresEneteredHdr)</f>
        <v>28</v>
      </c>
      <c r="B39" s="89"/>
      <c r="C39" s="102" t="s">
        <v>43</v>
      </c>
      <c r="D39" s="102" t="s">
        <v>5</v>
      </c>
      <c r="E39" s="103" t="s">
        <v>171</v>
      </c>
      <c r="F39" s="114" t="s">
        <v>518</v>
      </c>
      <c r="G39" s="105" t="s">
        <v>370</v>
      </c>
      <c r="H39" s="94"/>
      <c r="I39" s="89"/>
      <c r="J39" s="89"/>
      <c r="K39" s="89"/>
      <c r="L39" s="89"/>
      <c r="M39" s="89"/>
      <c r="N39" s="89"/>
      <c r="O39" s="95">
        <f>T39*N39</f>
        <v>0</v>
      </c>
      <c r="P39" s="89"/>
      <c r="Q39" s="89"/>
      <c r="R39" s="96" t="str">
        <f>IF(OR(P39="c",P39="C"),+T39,"")</f>
        <v/>
      </c>
      <c r="S39" s="96" t="str">
        <f>IF(OR(P39="$",N39=1),+T39,"")</f>
        <v/>
      </c>
      <c r="T39" s="127">
        <f>H39*[0]!FMainPool1Fee+I39*[0]!FMainPool2Fee+J39*[0]!FMainPool3Fee+K39*[0]!FMainPool4Fee+B39*[0]!FMainEntryFee</f>
        <v>0</v>
      </c>
      <c r="U39" s="128"/>
      <c r="V39" s="129"/>
      <c r="W39" s="66"/>
      <c r="X39" s="97"/>
      <c r="Y39" s="97"/>
      <c r="Z39" s="98"/>
    </row>
    <row r="40" spans="1:26" ht="18">
      <c r="A40" s="88">
        <f t="shared" si="2"/>
        <v>29</v>
      </c>
      <c r="B40" s="89"/>
      <c r="C40" s="102" t="s">
        <v>44</v>
      </c>
      <c r="D40" s="102" t="s">
        <v>5</v>
      </c>
      <c r="E40" s="103" t="s">
        <v>172</v>
      </c>
      <c r="F40" s="114" t="s">
        <v>518</v>
      </c>
      <c r="G40" s="115" t="s">
        <v>370</v>
      </c>
      <c r="H40" s="94"/>
      <c r="I40" s="89"/>
      <c r="J40" s="89"/>
      <c r="K40" s="89"/>
      <c r="L40" s="89"/>
      <c r="M40" s="89"/>
      <c r="N40" s="89"/>
      <c r="O40" s="95">
        <f>T40*N40</f>
        <v>0</v>
      </c>
      <c r="P40" s="89"/>
      <c r="Q40" s="89"/>
      <c r="R40" s="96" t="str">
        <f>IF(OR(P40="c",P40="C"),+T40,"")</f>
        <v/>
      </c>
      <c r="S40" s="96" t="str">
        <f>IF(OR(P40="$",N40=1),+T40,"")</f>
        <v/>
      </c>
      <c r="T40" s="127">
        <f>H40*[0]!FMainPool1Fee+I40*[0]!FMainPool2Fee+J40*[0]!FMainPool3Fee+K40*[0]!FMainPool4Fee+B40*[0]!FMainEntryFee</f>
        <v>0</v>
      </c>
      <c r="U40" s="128"/>
      <c r="V40" s="129"/>
      <c r="W40" s="66"/>
      <c r="X40" s="97"/>
      <c r="Y40" s="97"/>
      <c r="Z40" s="98"/>
    </row>
    <row r="41" spans="1:26" ht="18">
      <c r="A41" s="88">
        <f t="shared" si="2"/>
        <v>30</v>
      </c>
      <c r="B41" s="89">
        <v>1</v>
      </c>
      <c r="C41" s="102" t="s">
        <v>645</v>
      </c>
      <c r="D41" s="102" t="s">
        <v>40</v>
      </c>
      <c r="E41" s="103" t="s">
        <v>646</v>
      </c>
      <c r="F41" s="114">
        <v>7075994896</v>
      </c>
      <c r="G41" s="113" t="s">
        <v>647</v>
      </c>
      <c r="H41" s="94">
        <v>1</v>
      </c>
      <c r="I41" s="89">
        <v>1</v>
      </c>
      <c r="J41" s="89">
        <v>1</v>
      </c>
      <c r="K41" s="89"/>
      <c r="L41" s="89">
        <v>1</v>
      </c>
      <c r="M41" s="89"/>
      <c r="N41" s="89"/>
      <c r="O41" s="95">
        <f>T41*N41</f>
        <v>0</v>
      </c>
      <c r="P41" s="89" t="s">
        <v>741</v>
      </c>
      <c r="Q41" s="89"/>
      <c r="R41" s="96" t="str">
        <f>IF(OR(P41="c",P41="C"),+T41,"")</f>
        <v/>
      </c>
      <c r="S41" s="96">
        <f>IF(OR(P41="$",N41=1),+T41,"")</f>
        <v>110</v>
      </c>
      <c r="T41" s="127">
        <f>H41*[0]!FMainPool1Fee+I41*[0]!FMainPool2Fee+J41*[0]!FMainPool3Fee+K41*[0]!FMainPool4Fee+B41*[0]!FMainEntryFee</f>
        <v>110</v>
      </c>
      <c r="U41" s="128"/>
      <c r="V41" s="129"/>
      <c r="W41" s="66"/>
      <c r="X41" s="97"/>
      <c r="Y41" s="97">
        <v>1</v>
      </c>
      <c r="Z41" s="98" t="s">
        <v>742</v>
      </c>
    </row>
    <row r="42" spans="1:26" ht="18">
      <c r="A42" s="88">
        <f t="shared" si="2"/>
        <v>31</v>
      </c>
      <c r="B42" s="89"/>
      <c r="C42" s="90" t="s">
        <v>147</v>
      </c>
      <c r="D42" s="90" t="s">
        <v>99</v>
      </c>
      <c r="E42" s="91" t="s">
        <v>189</v>
      </c>
      <c r="F42" s="109"/>
      <c r="G42" s="105" t="s">
        <v>148</v>
      </c>
      <c r="H42" s="94"/>
      <c r="I42" s="89"/>
      <c r="J42" s="89"/>
      <c r="K42" s="89"/>
      <c r="L42" s="89"/>
      <c r="M42" s="89"/>
      <c r="N42" s="89"/>
      <c r="O42" s="95">
        <f>T42*N42</f>
        <v>0</v>
      </c>
      <c r="P42" s="89"/>
      <c r="Q42" s="89"/>
      <c r="R42" s="96" t="str">
        <f>IF(OR(P42="c",P42="C"),+T42,"")</f>
        <v/>
      </c>
      <c r="S42" s="96" t="str">
        <f>IF(OR(P42="$",N42=1),+T42,"")</f>
        <v/>
      </c>
      <c r="T42" s="127">
        <f>H42*[0]!FMainPool1Fee+I42*[0]!FMainPool2Fee+J42*[0]!FMainPool3Fee+K42*[0]!FMainPool4Fee+B42*[0]!FMainEntryFee</f>
        <v>0</v>
      </c>
      <c r="U42" s="128"/>
      <c r="V42" s="129"/>
      <c r="W42" s="66"/>
      <c r="X42" s="97"/>
      <c r="Y42" s="97"/>
      <c r="Z42" s="98"/>
    </row>
    <row r="43" spans="1:26" ht="18">
      <c r="A43" s="88">
        <f t="shared" si="2"/>
        <v>32</v>
      </c>
      <c r="B43" s="89"/>
      <c r="C43" s="90" t="s">
        <v>123</v>
      </c>
      <c r="D43" s="102" t="s">
        <v>5</v>
      </c>
      <c r="E43" s="91" t="s">
        <v>198</v>
      </c>
      <c r="F43" s="92" t="s">
        <v>519</v>
      </c>
      <c r="G43" s="105" t="s">
        <v>520</v>
      </c>
      <c r="H43" s="94"/>
      <c r="I43" s="89"/>
      <c r="J43" s="89"/>
      <c r="K43" s="89"/>
      <c r="L43" s="89"/>
      <c r="M43" s="89"/>
      <c r="N43" s="89"/>
      <c r="O43" s="95">
        <f>T43*N43</f>
        <v>0</v>
      </c>
      <c r="P43" s="89"/>
      <c r="Q43" s="89"/>
      <c r="R43" s="96" t="str">
        <f>IF(OR(P43="c",P43="C"),+T43,"")</f>
        <v/>
      </c>
      <c r="S43" s="96" t="str">
        <f>IF(OR(P43="$",N43=1),+T43,"")</f>
        <v/>
      </c>
      <c r="T43" s="127">
        <f>H43*[0]!FMainPool1Fee+I43*[0]!FMainPool2Fee+J43*[0]!FMainPool3Fee+K43*[0]!FMainPool4Fee+B43*[0]!FMainEntryFee</f>
        <v>0</v>
      </c>
      <c r="U43" s="128"/>
      <c r="V43" s="129"/>
      <c r="W43" s="66"/>
      <c r="X43" s="97"/>
      <c r="Y43" s="97"/>
      <c r="Z43" s="98"/>
    </row>
    <row r="44" spans="1:26" ht="18">
      <c r="A44" s="88">
        <f t="shared" si="2"/>
        <v>33</v>
      </c>
      <c r="B44" s="89"/>
      <c r="C44" s="90" t="s">
        <v>271</v>
      </c>
      <c r="D44" s="90" t="s">
        <v>269</v>
      </c>
      <c r="E44" s="91" t="s">
        <v>272</v>
      </c>
      <c r="F44" s="92"/>
      <c r="G44" s="105" t="s">
        <v>371</v>
      </c>
      <c r="H44" s="94"/>
      <c r="I44" s="89"/>
      <c r="J44" s="89"/>
      <c r="K44" s="89"/>
      <c r="L44" s="89"/>
      <c r="M44" s="89"/>
      <c r="N44" s="89"/>
      <c r="O44" s="95">
        <f>T44*N44</f>
        <v>0</v>
      </c>
      <c r="P44" s="89"/>
      <c r="Q44" s="89"/>
      <c r="R44" s="96" t="str">
        <f>IF(OR(P44="c",P44="C"),+T44,"")</f>
        <v/>
      </c>
      <c r="S44" s="96" t="str">
        <f>IF(OR(P44="$",N44=1),+T44,"")</f>
        <v/>
      </c>
      <c r="T44" s="127">
        <f>H44*[0]!FMainPool1Fee+I44*[0]!FMainPool2Fee+J44*[0]!FMainPool3Fee+K44*[0]!FMainPool4Fee+B44*[0]!FMainEntryFee</f>
        <v>0</v>
      </c>
      <c r="U44" s="128"/>
      <c r="V44" s="129"/>
      <c r="W44" s="66"/>
      <c r="X44" s="97"/>
      <c r="Y44" s="97"/>
      <c r="Z44" s="98"/>
    </row>
    <row r="45" spans="1:26" ht="18">
      <c r="A45" s="88">
        <f t="shared" si="2"/>
        <v>34</v>
      </c>
      <c r="B45" s="89"/>
      <c r="C45" s="90" t="s">
        <v>703</v>
      </c>
      <c r="D45" s="90" t="s">
        <v>704</v>
      </c>
      <c r="E45" s="91" t="s">
        <v>705</v>
      </c>
      <c r="F45" s="92">
        <v>9255487664</v>
      </c>
      <c r="G45" s="116" t="s">
        <v>706</v>
      </c>
      <c r="H45" s="94"/>
      <c r="I45" s="89"/>
      <c r="J45" s="89"/>
      <c r="K45" s="89"/>
      <c r="L45" s="89"/>
      <c r="M45" s="89"/>
      <c r="N45" s="89"/>
      <c r="O45" s="95">
        <f>T45*N45</f>
        <v>0</v>
      </c>
      <c r="P45" s="89"/>
      <c r="Q45" s="89"/>
      <c r="R45" s="96" t="str">
        <f>IF(OR(P45="c",P45="C"),+T45,"")</f>
        <v/>
      </c>
      <c r="S45" s="96" t="str">
        <f>IF(OR(P45="$",N45=1),+T45,"")</f>
        <v/>
      </c>
      <c r="T45" s="127">
        <f>H45*[0]!FMainPool1Fee+I45*[0]!FMainPool2Fee+J45*[0]!FMainPool3Fee+K45*[0]!FMainPool4Fee+B45*[0]!FMainEntryFee</f>
        <v>0</v>
      </c>
      <c r="U45" s="128"/>
      <c r="V45" s="129"/>
      <c r="W45" s="66"/>
      <c r="X45" s="97"/>
      <c r="Y45" s="97"/>
      <c r="Z45" s="98"/>
    </row>
    <row r="46" spans="1:26" ht="18">
      <c r="A46" s="88">
        <f t="shared" si="2"/>
        <v>35</v>
      </c>
      <c r="B46" s="89"/>
      <c r="C46" s="90" t="s">
        <v>672</v>
      </c>
      <c r="D46" s="90" t="s">
        <v>45</v>
      </c>
      <c r="E46" s="91" t="s">
        <v>673</v>
      </c>
      <c r="F46" s="92">
        <v>9254322030</v>
      </c>
      <c r="G46" s="115" t="s">
        <v>474</v>
      </c>
      <c r="H46" s="94"/>
      <c r="I46" s="89"/>
      <c r="J46" s="89"/>
      <c r="K46" s="89"/>
      <c r="L46" s="89"/>
      <c r="M46" s="89"/>
      <c r="N46" s="89"/>
      <c r="O46" s="95">
        <f>T46*N46</f>
        <v>0</v>
      </c>
      <c r="P46" s="89"/>
      <c r="Q46" s="89"/>
      <c r="R46" s="96" t="str">
        <f>IF(OR(P46="c",P46="C"),+T46,"")</f>
        <v/>
      </c>
      <c r="S46" s="96" t="str">
        <f>IF(OR(P46="$",N46=1),+T46,"")</f>
        <v/>
      </c>
      <c r="T46" s="127">
        <f>H46*[0]!FMainPool1Fee+I46*[0]!FMainPool2Fee+J46*[0]!FMainPool3Fee+K46*[0]!FMainPool4Fee+B46*[0]!FMainEntryFee</f>
        <v>0</v>
      </c>
      <c r="U46" s="128"/>
      <c r="V46" s="129"/>
      <c r="W46" s="66"/>
      <c r="X46" s="97"/>
      <c r="Y46" s="97"/>
      <c r="Z46" s="98"/>
    </row>
    <row r="47" spans="1:26" ht="18">
      <c r="A47" s="88">
        <f t="shared" si="2"/>
        <v>36</v>
      </c>
      <c r="B47" s="89">
        <v>1</v>
      </c>
      <c r="C47" s="90" t="s">
        <v>707</v>
      </c>
      <c r="D47" s="90" t="s">
        <v>708</v>
      </c>
      <c r="E47" s="91" t="s">
        <v>709</v>
      </c>
      <c r="F47" s="92">
        <v>9257272271</v>
      </c>
      <c r="G47" s="117" t="s">
        <v>710</v>
      </c>
      <c r="H47" s="94"/>
      <c r="I47" s="89"/>
      <c r="J47" s="89"/>
      <c r="K47" s="89"/>
      <c r="L47" s="89"/>
      <c r="M47" s="89"/>
      <c r="N47" s="89">
        <v>1</v>
      </c>
      <c r="O47" s="95">
        <f>T47*N47</f>
        <v>70</v>
      </c>
      <c r="P47" s="89" t="s">
        <v>741</v>
      </c>
      <c r="Q47" s="89"/>
      <c r="R47" s="96" t="str">
        <f>IF(OR(P47="c",P47="C"),+T47,"")</f>
        <v/>
      </c>
      <c r="S47" s="96">
        <f>IF(OR(P47="$",N47=1),+T47,"")</f>
        <v>70</v>
      </c>
      <c r="T47" s="127">
        <f>H47*[0]!FMainPool1Fee+I47*[0]!FMainPool2Fee+J47*[0]!FMainPool3Fee+K47*[0]!FMainPool4Fee+B47*[0]!FMainEntryFee</f>
        <v>70</v>
      </c>
      <c r="U47" s="128"/>
      <c r="V47" s="129"/>
      <c r="W47" s="66"/>
      <c r="X47" s="97"/>
      <c r="Y47" s="97">
        <v>1</v>
      </c>
      <c r="Z47" s="98"/>
    </row>
    <row r="48" spans="1:26" ht="18">
      <c r="A48" s="88">
        <f t="shared" si="2"/>
        <v>37</v>
      </c>
      <c r="B48" s="89"/>
      <c r="C48" s="90" t="s">
        <v>721</v>
      </c>
      <c r="D48" s="90" t="s">
        <v>15</v>
      </c>
      <c r="E48" s="91" t="s">
        <v>722</v>
      </c>
      <c r="F48" s="92">
        <v>7078430341</v>
      </c>
      <c r="G48" s="118" t="s">
        <v>723</v>
      </c>
      <c r="H48" s="94"/>
      <c r="I48" s="89"/>
      <c r="J48" s="89"/>
      <c r="K48" s="89"/>
      <c r="L48" s="89"/>
      <c r="M48" s="89"/>
      <c r="N48" s="89"/>
      <c r="O48" s="95">
        <f>T48*N48</f>
        <v>0</v>
      </c>
      <c r="P48" s="89"/>
      <c r="Q48" s="89"/>
      <c r="R48" s="96" t="str">
        <f>IF(OR(P48="c",P48="C"),+T48,"")</f>
        <v/>
      </c>
      <c r="S48" s="96" t="str">
        <f>IF(OR(P48="$",N48=1),+T48,"")</f>
        <v/>
      </c>
      <c r="T48" s="127">
        <f>H48*[0]!FMainPool1Fee+I48*[0]!FMainPool2Fee+J48*[0]!FMainPool3Fee+K48*[0]!FMainPool4Fee+B48*[0]!FMainEntryFee</f>
        <v>0</v>
      </c>
      <c r="U48" s="128"/>
      <c r="V48" s="129"/>
      <c r="W48" s="66"/>
      <c r="X48" s="97"/>
      <c r="Y48" s="97"/>
      <c r="Z48" s="98"/>
    </row>
    <row r="49" spans="1:26" ht="18">
      <c r="A49" s="88">
        <f t="shared" si="2"/>
        <v>38</v>
      </c>
      <c r="B49" s="89"/>
      <c r="C49" s="90" t="s">
        <v>324</v>
      </c>
      <c r="D49" s="90" t="s">
        <v>325</v>
      </c>
      <c r="E49" s="91" t="s">
        <v>200</v>
      </c>
      <c r="F49" s="92"/>
      <c r="G49" s="105" t="s">
        <v>326</v>
      </c>
      <c r="H49" s="94"/>
      <c r="I49" s="89"/>
      <c r="J49" s="89"/>
      <c r="K49" s="89"/>
      <c r="L49" s="89"/>
      <c r="M49" s="89"/>
      <c r="N49" s="89"/>
      <c r="O49" s="95"/>
      <c r="P49" s="89"/>
      <c r="Q49" s="89"/>
      <c r="R49" s="96" t="str">
        <f>IF(OR(P49="c",P49="C"),+T49,"")</f>
        <v/>
      </c>
      <c r="S49" s="96" t="str">
        <f>IF(OR(P49="$",N49=1),+T49,"")</f>
        <v/>
      </c>
      <c r="T49" s="127"/>
      <c r="U49" s="128"/>
      <c r="V49" s="129"/>
      <c r="W49" s="66"/>
      <c r="X49" s="97"/>
      <c r="Y49" s="97"/>
      <c r="Z49" s="98"/>
    </row>
    <row r="50" spans="1:26" ht="18">
      <c r="A50" s="88">
        <f t="shared" si="2"/>
        <v>39</v>
      </c>
      <c r="B50" s="89"/>
      <c r="C50" s="102" t="s">
        <v>11</v>
      </c>
      <c r="D50" s="102" t="s">
        <v>12</v>
      </c>
      <c r="E50" s="103" t="s">
        <v>167</v>
      </c>
      <c r="F50" s="107">
        <v>9253213485</v>
      </c>
      <c r="G50" s="105" t="s">
        <v>95</v>
      </c>
      <c r="H50" s="94"/>
      <c r="I50" s="89"/>
      <c r="J50" s="89"/>
      <c r="K50" s="89"/>
      <c r="L50" s="89"/>
      <c r="M50" s="89"/>
      <c r="N50" s="89"/>
      <c r="O50" s="95">
        <f>T50*N50</f>
        <v>0</v>
      </c>
      <c r="P50" s="89"/>
      <c r="Q50" s="89"/>
      <c r="R50" s="96" t="str">
        <f>IF(OR(P50="c",P50="C"),+T50,"")</f>
        <v/>
      </c>
      <c r="S50" s="96" t="str">
        <f>IF(OR(P50="$",N50=1),+T50,"")</f>
        <v/>
      </c>
      <c r="T50" s="127">
        <f>H50*[0]!FMainPool1Fee+I50*[0]!FMainPool2Fee+J50*[0]!FMainPool3Fee+K50*[0]!FMainPool4Fee+B50*[0]!FMainEntryFee</f>
        <v>0</v>
      </c>
      <c r="U50" s="128"/>
      <c r="V50" s="129"/>
      <c r="W50" s="66"/>
      <c r="X50" s="97"/>
      <c r="Y50" s="97"/>
      <c r="Z50" s="98"/>
    </row>
    <row r="51" spans="1:26" ht="18.75">
      <c r="A51" s="88">
        <f t="shared" si="2"/>
        <v>40</v>
      </c>
      <c r="B51" s="89">
        <v>1</v>
      </c>
      <c r="C51" s="90" t="s">
        <v>263</v>
      </c>
      <c r="D51" s="90" t="s">
        <v>32</v>
      </c>
      <c r="E51" s="91" t="s">
        <v>264</v>
      </c>
      <c r="F51" s="92">
        <v>7074168199</v>
      </c>
      <c r="G51" s="126" t="s">
        <v>775</v>
      </c>
      <c r="H51" s="94">
        <v>1</v>
      </c>
      <c r="I51" s="89">
        <v>1</v>
      </c>
      <c r="J51" s="89">
        <v>0</v>
      </c>
      <c r="K51" s="89"/>
      <c r="L51" s="89"/>
      <c r="M51" s="89"/>
      <c r="N51" s="89"/>
      <c r="O51" s="95">
        <f>T51*N51</f>
        <v>0</v>
      </c>
      <c r="P51" s="89" t="s">
        <v>692</v>
      </c>
      <c r="Q51" s="89">
        <v>227</v>
      </c>
      <c r="R51" s="96">
        <f>IF(OR(P51="c",P51="C"),+T51,"")</f>
        <v>90</v>
      </c>
      <c r="S51" s="96" t="str">
        <f>IF(OR(P51="$",N51=1),+T51,"")</f>
        <v/>
      </c>
      <c r="T51" s="127">
        <f>H51*[0]!FMainPool1Fee+I51*[0]!FMainPool2Fee+J51*[0]!FMainPool3Fee+K51*[0]!FMainPool4Fee+B51*[0]!FMainEntryFee</f>
        <v>90</v>
      </c>
      <c r="U51" s="128"/>
      <c r="V51" s="129"/>
      <c r="W51" s="66"/>
      <c r="X51" s="97"/>
      <c r="Y51" s="97">
        <v>1</v>
      </c>
      <c r="Z51" s="98" t="s">
        <v>788</v>
      </c>
    </row>
    <row r="52" spans="1:26" ht="18">
      <c r="A52" s="88">
        <f t="shared" si="2"/>
        <v>41</v>
      </c>
      <c r="B52" s="89"/>
      <c r="C52" s="90" t="s">
        <v>246</v>
      </c>
      <c r="D52" s="90" t="s">
        <v>40</v>
      </c>
      <c r="E52" s="91" t="s">
        <v>247</v>
      </c>
      <c r="F52" s="92"/>
      <c r="G52" s="105"/>
      <c r="H52" s="94"/>
      <c r="I52" s="89"/>
      <c r="J52" s="89"/>
      <c r="K52" s="89"/>
      <c r="L52" s="89"/>
      <c r="M52" s="89"/>
      <c r="N52" s="89"/>
      <c r="O52" s="95">
        <f>T52*N52</f>
        <v>0</v>
      </c>
      <c r="P52" s="89"/>
      <c r="Q52" s="89"/>
      <c r="R52" s="96" t="str">
        <f>IF(OR(P52="c",P52="C"),+T52,"")</f>
        <v/>
      </c>
      <c r="S52" s="96" t="str">
        <f>IF(OR(P52="$",N52=1),+T52,"")</f>
        <v/>
      </c>
      <c r="T52" s="127">
        <f>H52*[0]!FMainPool1Fee+I52*[0]!FMainPool2Fee+J52*[0]!FMainPool3Fee+K52*[0]!FMainPool4Fee+B52*[0]!FMainEntryFee</f>
        <v>0</v>
      </c>
      <c r="U52" s="128"/>
      <c r="V52" s="129"/>
      <c r="W52" s="66"/>
      <c r="X52" s="97"/>
      <c r="Y52" s="97"/>
      <c r="Z52" s="98"/>
    </row>
    <row r="53" spans="1:26" ht="18">
      <c r="A53" s="88">
        <f t="shared" si="2"/>
        <v>42</v>
      </c>
      <c r="B53" s="89"/>
      <c r="C53" s="90" t="s">
        <v>244</v>
      </c>
      <c r="D53" s="90" t="s">
        <v>40</v>
      </c>
      <c r="E53" s="91" t="s">
        <v>245</v>
      </c>
      <c r="F53" s="92"/>
      <c r="G53" s="93" t="s">
        <v>248</v>
      </c>
      <c r="H53" s="94"/>
      <c r="I53" s="89"/>
      <c r="J53" s="89"/>
      <c r="K53" s="89"/>
      <c r="L53" s="89"/>
      <c r="M53" s="89"/>
      <c r="N53" s="89"/>
      <c r="O53" s="95">
        <f>T53*N53</f>
        <v>0</v>
      </c>
      <c r="P53" s="89"/>
      <c r="Q53" s="89"/>
      <c r="R53" s="96" t="str">
        <f>IF(OR(P53="c",P53="C"),+T53,"")</f>
        <v/>
      </c>
      <c r="S53" s="96" t="str">
        <f>IF(OR(P53="$",N53=1),+T53,"")</f>
        <v/>
      </c>
      <c r="T53" s="127">
        <f>H53*[0]!FMainPool1Fee+I53*[0]!FMainPool2Fee+J53*[0]!FMainPool3Fee+K53*[0]!FMainPool4Fee+B53*[0]!FMainEntryFee</f>
        <v>0</v>
      </c>
      <c r="U53" s="128"/>
      <c r="V53" s="129"/>
      <c r="W53" s="66"/>
      <c r="X53" s="97"/>
      <c r="Y53" s="97"/>
      <c r="Z53" s="98"/>
    </row>
    <row r="54" spans="1:26" ht="18.75">
      <c r="A54" s="88">
        <f t="shared" si="2"/>
        <v>43</v>
      </c>
      <c r="B54" s="89">
        <v>1</v>
      </c>
      <c r="C54" s="90" t="s">
        <v>738</v>
      </c>
      <c r="D54" s="90" t="s">
        <v>5</v>
      </c>
      <c r="E54" s="91" t="s">
        <v>739</v>
      </c>
      <c r="F54" s="92">
        <v>7072252742</v>
      </c>
      <c r="G54" s="123" t="s">
        <v>740</v>
      </c>
      <c r="H54" s="94">
        <v>1</v>
      </c>
      <c r="I54" s="89">
        <v>1</v>
      </c>
      <c r="J54" s="89">
        <v>1</v>
      </c>
      <c r="K54" s="89">
        <v>1</v>
      </c>
      <c r="L54" s="89"/>
      <c r="M54" s="89"/>
      <c r="N54" s="89"/>
      <c r="O54" s="95">
        <f>T54*N54</f>
        <v>0</v>
      </c>
      <c r="P54" s="89" t="s">
        <v>741</v>
      </c>
      <c r="Q54" s="89"/>
      <c r="R54" s="96" t="str">
        <f>IF(OR(P54="c",P54="C"),+T54,"")</f>
        <v/>
      </c>
      <c r="S54" s="96">
        <f>IF(OR(P54="$",N54=1),+T54,"")</f>
        <v>160</v>
      </c>
      <c r="T54" s="127">
        <f>H54*[0]!FMainPool1Fee+I54*[0]!FMainPool2Fee+J54*[0]!FMainPool3Fee+K54*[0]!FMainPool4Fee+B54*[0]!FMainEntryFee</f>
        <v>160</v>
      </c>
      <c r="U54" s="128">
        <v>1</v>
      </c>
      <c r="V54" s="129"/>
      <c r="W54" s="66"/>
      <c r="X54" s="97"/>
      <c r="Y54" s="97"/>
      <c r="Z54" s="98"/>
    </row>
    <row r="55" spans="1:26" ht="18">
      <c r="A55" s="88">
        <f t="shared" si="2"/>
        <v>44</v>
      </c>
      <c r="B55" s="89">
        <v>1</v>
      </c>
      <c r="C55" s="102" t="s">
        <v>53</v>
      </c>
      <c r="D55" s="102" t="s">
        <v>15</v>
      </c>
      <c r="E55" s="103" t="s">
        <v>199</v>
      </c>
      <c r="F55" s="107">
        <v>9705539123</v>
      </c>
      <c r="G55" s="105" t="s">
        <v>474</v>
      </c>
      <c r="H55" s="94">
        <v>1</v>
      </c>
      <c r="I55" s="89"/>
      <c r="J55" s="89"/>
      <c r="K55" s="89"/>
      <c r="L55" s="89">
        <v>1</v>
      </c>
      <c r="M55" s="89"/>
      <c r="N55" s="89"/>
      <c r="O55" s="95">
        <f>T55*N55</f>
        <v>0</v>
      </c>
      <c r="P55" s="89" t="s">
        <v>692</v>
      </c>
      <c r="Q55" s="89">
        <v>241</v>
      </c>
      <c r="R55" s="96">
        <f>IF(OR(P55="c",P55="C"),+T55,"")</f>
        <v>80</v>
      </c>
      <c r="S55" s="96" t="str">
        <f>IF(OR(P55="$",N55=1),+T55,"")</f>
        <v/>
      </c>
      <c r="T55" s="127">
        <f>H55*[0]!FMainPool1Fee+I55*[0]!FMainPool2Fee+J55*[0]!FMainPool3Fee+K55*[0]!FMainPool4Fee+B55*[0]!FMainEntryFee</f>
        <v>80</v>
      </c>
      <c r="U55" s="128"/>
      <c r="V55" s="129"/>
      <c r="W55" s="66"/>
      <c r="X55" s="97"/>
      <c r="Y55" s="97">
        <v>1</v>
      </c>
      <c r="Z55" s="98"/>
    </row>
    <row r="56" spans="1:26" ht="18">
      <c r="A56" s="88">
        <f t="shared" si="2"/>
        <v>45</v>
      </c>
      <c r="B56" s="89"/>
      <c r="C56" s="102" t="s">
        <v>33</v>
      </c>
      <c r="D56" s="102" t="s">
        <v>34</v>
      </c>
      <c r="E56" s="103" t="s">
        <v>180</v>
      </c>
      <c r="F56" s="107"/>
      <c r="G56" s="105" t="s">
        <v>139</v>
      </c>
      <c r="H56" s="94"/>
      <c r="I56" s="89"/>
      <c r="J56" s="89"/>
      <c r="K56" s="89"/>
      <c r="L56" s="89"/>
      <c r="M56" s="89"/>
      <c r="N56" s="89"/>
      <c r="O56" s="95">
        <f>T56*N56</f>
        <v>0</v>
      </c>
      <c r="P56" s="89"/>
      <c r="Q56" s="89"/>
      <c r="R56" s="96" t="str">
        <f>IF(OR(P56="c",P56="C"),+T56,"")</f>
        <v/>
      </c>
      <c r="S56" s="96" t="str">
        <f>IF(OR(P56="$",N56=1),+T56,"")</f>
        <v/>
      </c>
      <c r="T56" s="127">
        <f>H56*[0]!FMainPool1Fee+I56*[0]!FMainPool2Fee+J56*[0]!FMainPool3Fee+K56*[0]!FMainPool4Fee+B56*[0]!FMainEntryFee</f>
        <v>0</v>
      </c>
      <c r="U56" s="128"/>
      <c r="V56" s="129"/>
      <c r="W56" s="66"/>
      <c r="X56" s="97"/>
      <c r="Y56" s="97"/>
      <c r="Z56" s="98"/>
    </row>
    <row r="57" spans="1:26" ht="18.75">
      <c r="A57" s="88">
        <f t="shared" si="2"/>
        <v>46</v>
      </c>
      <c r="B57" s="89">
        <v>1</v>
      </c>
      <c r="C57" s="102" t="s">
        <v>781</v>
      </c>
      <c r="D57" s="102" t="s">
        <v>26</v>
      </c>
      <c r="E57" s="103" t="s">
        <v>782</v>
      </c>
      <c r="F57" s="107">
        <v>4086485063</v>
      </c>
      <c r="G57" s="126" t="s">
        <v>783</v>
      </c>
      <c r="H57" s="94">
        <v>1</v>
      </c>
      <c r="I57" s="89">
        <v>1</v>
      </c>
      <c r="J57" s="89">
        <v>1</v>
      </c>
      <c r="K57" s="89">
        <v>1</v>
      </c>
      <c r="L57" s="89"/>
      <c r="M57" s="89">
        <v>1</v>
      </c>
      <c r="N57" s="89"/>
      <c r="O57" s="95">
        <f>T57*N57</f>
        <v>0</v>
      </c>
      <c r="P57" s="89" t="s">
        <v>692</v>
      </c>
      <c r="Q57" s="89">
        <v>19</v>
      </c>
      <c r="R57" s="96">
        <v>150</v>
      </c>
      <c r="S57" s="96">
        <v>10</v>
      </c>
      <c r="T57" s="127">
        <f>H57*[0]!FMainPool1Fee+I57*[0]!FMainPool2Fee+J57*[0]!FMainPool3Fee+K57*[0]!FMainPool4Fee+B57*[0]!FMainEntryFee</f>
        <v>160</v>
      </c>
      <c r="U57" s="128"/>
      <c r="V57" s="129"/>
      <c r="W57" s="66"/>
      <c r="X57" s="97">
        <v>1</v>
      </c>
      <c r="Y57" s="97"/>
      <c r="Z57" s="98" t="s">
        <v>798</v>
      </c>
    </row>
    <row r="58" spans="1:26" ht="18">
      <c r="A58" s="88">
        <f t="shared" si="2"/>
        <v>47</v>
      </c>
      <c r="B58" s="89"/>
      <c r="C58" s="102" t="s">
        <v>459</v>
      </c>
      <c r="D58" s="102" t="s">
        <v>451</v>
      </c>
      <c r="E58" s="88" t="s">
        <v>452</v>
      </c>
      <c r="F58" s="108" t="s">
        <v>521</v>
      </c>
      <c r="G58" s="99" t="s">
        <v>522</v>
      </c>
      <c r="H58" s="94"/>
      <c r="I58" s="89"/>
      <c r="J58" s="89"/>
      <c r="K58" s="89"/>
      <c r="L58" s="89"/>
      <c r="M58" s="89"/>
      <c r="N58" s="89"/>
      <c r="O58" s="95">
        <f>T58*N58</f>
        <v>0</v>
      </c>
      <c r="P58" s="89"/>
      <c r="Q58" s="89"/>
      <c r="R58" s="96" t="str">
        <f>IF(OR(P58="c",P58="C"),+T58,"")</f>
        <v/>
      </c>
      <c r="S58" s="96" t="str">
        <f>IF(OR(P58="$",N58=1),+T58,"")</f>
        <v/>
      </c>
      <c r="T58" s="127">
        <f>H58*[0]!FMainPool1Fee+I58*[0]!FMainPool2Fee+J58*[0]!FMainPool3Fee+K58*[0]!FMainPool4Fee+B58*[0]!FMainEntryFee</f>
        <v>0</v>
      </c>
      <c r="U58" s="128"/>
      <c r="V58" s="129"/>
      <c r="W58" s="66"/>
      <c r="X58" s="97"/>
      <c r="Y58" s="97"/>
      <c r="Z58" s="98"/>
    </row>
    <row r="59" spans="1:26" ht="18">
      <c r="A59" s="88">
        <f t="shared" si="2"/>
        <v>48</v>
      </c>
      <c r="B59" s="89">
        <v>1</v>
      </c>
      <c r="C59" s="99" t="s">
        <v>572</v>
      </c>
      <c r="D59" s="99" t="s">
        <v>5</v>
      </c>
      <c r="E59" s="66" t="s">
        <v>573</v>
      </c>
      <c r="F59" s="108">
        <v>7079744711</v>
      </c>
      <c r="G59" s="113" t="s">
        <v>574</v>
      </c>
      <c r="H59" s="94"/>
      <c r="I59" s="89"/>
      <c r="J59" s="89"/>
      <c r="K59" s="89"/>
      <c r="L59" s="89"/>
      <c r="M59" s="89"/>
      <c r="N59" s="89"/>
      <c r="O59" s="95">
        <f>T59*N59</f>
        <v>0</v>
      </c>
      <c r="P59" s="89" t="s">
        <v>692</v>
      </c>
      <c r="Q59" s="89">
        <v>1219</v>
      </c>
      <c r="R59" s="96">
        <f>IF(OR(P59="c",P59="C"),+T59,"")</f>
        <v>70</v>
      </c>
      <c r="S59" s="96" t="str">
        <f>IF(OR(P59="$",N59=1),+T59,"")</f>
        <v/>
      </c>
      <c r="T59" s="127">
        <f>H59*[0]!FMainPool1Fee+I59*[0]!FMainPool2Fee+J59*[0]!FMainPool3Fee+K59*[0]!FMainPool4Fee+B59*[0]!FMainEntryFee</f>
        <v>70</v>
      </c>
      <c r="U59" s="128"/>
      <c r="V59" s="129"/>
      <c r="W59" s="66">
        <v>1</v>
      </c>
      <c r="X59" s="97"/>
      <c r="Y59" s="97"/>
      <c r="Z59" s="98"/>
    </row>
    <row r="60" spans="1:26" ht="18">
      <c r="A60" s="88">
        <f t="shared" si="2"/>
        <v>49</v>
      </c>
      <c r="B60" s="89"/>
      <c r="C60" s="99" t="s">
        <v>655</v>
      </c>
      <c r="D60" s="99" t="s">
        <v>40</v>
      </c>
      <c r="E60" s="66" t="s">
        <v>656</v>
      </c>
      <c r="F60" s="108">
        <v>7075027980</v>
      </c>
      <c r="G60" s="113" t="s">
        <v>666</v>
      </c>
      <c r="H60" s="94"/>
      <c r="I60" s="89"/>
      <c r="J60" s="89"/>
      <c r="K60" s="89"/>
      <c r="L60" s="89"/>
      <c r="M60" s="89"/>
      <c r="N60" s="89"/>
      <c r="O60" s="95">
        <f>T60*N60</f>
        <v>0</v>
      </c>
      <c r="P60" s="89"/>
      <c r="Q60" s="89"/>
      <c r="R60" s="96" t="str">
        <f>IF(OR(P60="c",P60="C"),+T60,"")</f>
        <v/>
      </c>
      <c r="S60" s="96" t="str">
        <f>IF(OR(P60="$",N60=1),+T60,"")</f>
        <v/>
      </c>
      <c r="T60" s="127">
        <f>H60*[0]!FMainPool1Fee+I60*[0]!FMainPool2Fee+J60*[0]!FMainPool3Fee+K60*[0]!FMainPool4Fee+B60*[0]!FMainEntryFee</f>
        <v>0</v>
      </c>
      <c r="U60" s="128"/>
      <c r="V60" s="129"/>
      <c r="W60" s="66"/>
      <c r="X60" s="97"/>
      <c r="Y60" s="97"/>
      <c r="Z60" s="98"/>
    </row>
    <row r="61" spans="1:26" ht="18">
      <c r="A61" s="88">
        <f t="shared" si="2"/>
        <v>50</v>
      </c>
      <c r="B61" s="89"/>
      <c r="C61" s="102" t="s">
        <v>63</v>
      </c>
      <c r="D61" s="102" t="s">
        <v>57</v>
      </c>
      <c r="E61" s="103" t="s">
        <v>178</v>
      </c>
      <c r="F61" s="107"/>
      <c r="G61" s="105" t="s">
        <v>140</v>
      </c>
      <c r="H61" s="94"/>
      <c r="I61" s="89"/>
      <c r="J61" s="89"/>
      <c r="K61" s="89"/>
      <c r="L61" s="89"/>
      <c r="M61" s="89"/>
      <c r="N61" s="89"/>
      <c r="O61" s="95">
        <f>T61*N61</f>
        <v>0</v>
      </c>
      <c r="P61" s="89"/>
      <c r="Q61" s="89"/>
      <c r="R61" s="96" t="str">
        <f>IF(OR(P61="c",P61="C"),+T61,"")</f>
        <v/>
      </c>
      <c r="S61" s="96" t="str">
        <f>IF(OR(P61="$",N61=1),+T61,"")</f>
        <v/>
      </c>
      <c r="T61" s="127">
        <f>H61*[0]!FMainPool1Fee+I61*[0]!FMainPool2Fee+J61*[0]!FMainPool3Fee+K61*[0]!FMainPool4Fee+B61*[0]!FMainEntryFee</f>
        <v>0</v>
      </c>
      <c r="U61" s="128"/>
      <c r="V61" s="129"/>
      <c r="W61" s="66"/>
      <c r="X61" s="97"/>
      <c r="Y61" s="97"/>
      <c r="Z61" s="98"/>
    </row>
    <row r="62" spans="1:26" ht="18">
      <c r="A62" s="88">
        <f t="shared" si="2"/>
        <v>51</v>
      </c>
      <c r="B62" s="89">
        <v>1</v>
      </c>
      <c r="C62" s="102" t="s">
        <v>8</v>
      </c>
      <c r="D62" s="102" t="s">
        <v>38</v>
      </c>
      <c r="E62" s="103" t="s">
        <v>177</v>
      </c>
      <c r="F62" s="107">
        <v>7073175740</v>
      </c>
      <c r="G62" s="93" t="s">
        <v>523</v>
      </c>
      <c r="H62" s="94"/>
      <c r="I62" s="89">
        <v>1</v>
      </c>
      <c r="J62" s="89">
        <v>1</v>
      </c>
      <c r="K62" s="89"/>
      <c r="L62" s="89"/>
      <c r="M62" s="89"/>
      <c r="N62" s="89"/>
      <c r="O62" s="95">
        <f>T62*N62</f>
        <v>0</v>
      </c>
      <c r="P62" s="89" t="s">
        <v>741</v>
      </c>
      <c r="Q62" s="89"/>
      <c r="R62" s="96" t="str">
        <f>IF(OR(P62="c",P62="C"),+T62,"")</f>
        <v/>
      </c>
      <c r="S62" s="96">
        <f>IF(OR(P62="$",N62=1),+T62,"")</f>
        <v>100</v>
      </c>
      <c r="T62" s="127">
        <f>H62*[0]!FMainPool1Fee+I62*[0]!FMainPool2Fee+J62*[0]!FMainPool3Fee+K62*[0]!FMainPool4Fee+B62*[0]!FMainEntryFee</f>
        <v>100</v>
      </c>
      <c r="U62" s="128"/>
      <c r="V62" s="129"/>
      <c r="W62" s="66"/>
      <c r="X62" s="97"/>
      <c r="Y62" s="97"/>
      <c r="Z62" s="98" t="s">
        <v>800</v>
      </c>
    </row>
    <row r="63" spans="1:26" ht="18">
      <c r="A63" s="88">
        <f t="shared" si="2"/>
        <v>52</v>
      </c>
      <c r="B63" s="89"/>
      <c r="C63" s="90" t="s">
        <v>265</v>
      </c>
      <c r="D63" s="90" t="s">
        <v>57</v>
      </c>
      <c r="E63" s="91" t="s">
        <v>266</v>
      </c>
      <c r="F63" s="100"/>
      <c r="G63" s="105" t="s">
        <v>372</v>
      </c>
      <c r="H63" s="94"/>
      <c r="I63" s="89"/>
      <c r="J63" s="89"/>
      <c r="K63" s="89"/>
      <c r="L63" s="89"/>
      <c r="M63" s="89"/>
      <c r="N63" s="89"/>
      <c r="O63" s="95">
        <f>T63*N63</f>
        <v>0</v>
      </c>
      <c r="P63" s="89"/>
      <c r="Q63" s="89"/>
      <c r="R63" s="96" t="str">
        <f>IF(OR(P63="c",P63="C"),+T63,"")</f>
        <v/>
      </c>
      <c r="S63" s="96" t="str">
        <f>IF(OR(P63="$",N63=1),+T63,"")</f>
        <v/>
      </c>
      <c r="T63" s="127">
        <f>H63*[0]!FMainPool1Fee+I63*[0]!FMainPool2Fee+J63*[0]!FMainPool3Fee+K63*[0]!FMainPool4Fee+B63*[0]!FMainEntryFee</f>
        <v>0</v>
      </c>
      <c r="U63" s="128"/>
      <c r="V63" s="129"/>
      <c r="W63" s="66"/>
      <c r="X63" s="97"/>
      <c r="Y63" s="97"/>
      <c r="Z63" s="98"/>
    </row>
    <row r="64" spans="1:26" ht="18">
      <c r="A64" s="88">
        <f t="shared" si="2"/>
        <v>53</v>
      </c>
      <c r="B64" s="89">
        <v>1</v>
      </c>
      <c r="C64" s="99" t="s">
        <v>575</v>
      </c>
      <c r="D64" s="99" t="s">
        <v>292</v>
      </c>
      <c r="E64" s="66" t="s">
        <v>576</v>
      </c>
      <c r="F64" s="108">
        <v>2793335535</v>
      </c>
      <c r="G64" s="99"/>
      <c r="H64" s="94">
        <v>1</v>
      </c>
      <c r="I64" s="89">
        <v>1</v>
      </c>
      <c r="J64" s="89">
        <v>1</v>
      </c>
      <c r="K64" s="89">
        <v>1</v>
      </c>
      <c r="L64" s="89">
        <v>1</v>
      </c>
      <c r="M64" s="89"/>
      <c r="N64" s="89"/>
      <c r="O64" s="95">
        <f>T64*N64</f>
        <v>0</v>
      </c>
      <c r="P64" s="89" t="s">
        <v>692</v>
      </c>
      <c r="Q64" s="89">
        <v>1418</v>
      </c>
      <c r="R64" s="96">
        <f>IF(OR(P64="c",P64="C"),+T64,"")</f>
        <v>160</v>
      </c>
      <c r="S64" s="96" t="str">
        <f>IF(OR(P64="$",N64=1),+T64,"")</f>
        <v/>
      </c>
      <c r="T64" s="127">
        <f>H64*[0]!FMainPool1Fee+I64*[0]!FMainPool2Fee+J64*[0]!FMainPool3Fee+K64*[0]!FMainPool4Fee+B64*[0]!FMainEntryFee</f>
        <v>160</v>
      </c>
      <c r="U64" s="128"/>
      <c r="V64" s="129"/>
      <c r="W64" s="66"/>
      <c r="X64" s="97">
        <v>1</v>
      </c>
      <c r="Y64" s="97"/>
      <c r="Z64" s="98"/>
    </row>
    <row r="65" spans="1:26" ht="18">
      <c r="A65" s="88">
        <f t="shared" si="2"/>
        <v>54</v>
      </c>
      <c r="B65" s="89"/>
      <c r="C65" s="102" t="s">
        <v>70</v>
      </c>
      <c r="D65" s="102" t="s">
        <v>71</v>
      </c>
      <c r="E65" s="103" t="s">
        <v>191</v>
      </c>
      <c r="F65" s="107"/>
      <c r="G65" s="105" t="s">
        <v>151</v>
      </c>
      <c r="H65" s="94"/>
      <c r="I65" s="89"/>
      <c r="J65" s="89"/>
      <c r="K65" s="89"/>
      <c r="L65" s="89"/>
      <c r="M65" s="89"/>
      <c r="N65" s="89"/>
      <c r="O65" s="95">
        <f>T65*N65</f>
        <v>0</v>
      </c>
      <c r="P65" s="89"/>
      <c r="Q65" s="89"/>
      <c r="R65" s="96" t="str">
        <f>IF(OR(P65="c",P65="C"),+T65,"")</f>
        <v/>
      </c>
      <c r="S65" s="96" t="str">
        <f>IF(OR(P65="$",N65=1),+T65,"")</f>
        <v/>
      </c>
      <c r="T65" s="127">
        <f>H65*[0]!FMainPool1Fee+I65*[0]!FMainPool2Fee+J65*[0]!FMainPool3Fee+K65*[0]!FMainPool4Fee+B65*[0]!FMainEntryFee</f>
        <v>0</v>
      </c>
      <c r="U65" s="128"/>
      <c r="V65" s="129"/>
      <c r="W65" s="66"/>
      <c r="X65" s="97"/>
      <c r="Y65" s="97"/>
      <c r="Z65" s="98"/>
    </row>
    <row r="66" spans="1:26" ht="18">
      <c r="A66" s="88">
        <f t="shared" si="2"/>
        <v>55</v>
      </c>
      <c r="B66" s="89"/>
      <c r="C66" s="90" t="s">
        <v>294</v>
      </c>
      <c r="D66" s="90" t="s">
        <v>295</v>
      </c>
      <c r="E66" s="91" t="s">
        <v>296</v>
      </c>
      <c r="F66" s="92"/>
      <c r="G66" s="105" t="s">
        <v>401</v>
      </c>
      <c r="H66" s="94"/>
      <c r="I66" s="89"/>
      <c r="J66" s="89"/>
      <c r="K66" s="89"/>
      <c r="L66" s="89"/>
      <c r="M66" s="89"/>
      <c r="N66" s="89"/>
      <c r="O66" s="95">
        <f>T66*N66</f>
        <v>0</v>
      </c>
      <c r="P66" s="89"/>
      <c r="Q66" s="89"/>
      <c r="R66" s="96" t="str">
        <f>IF(OR(P66="c",P66="C"),+T66,"")</f>
        <v/>
      </c>
      <c r="S66" s="96" t="str">
        <f>IF(OR(P66="$",N66=1),+T66,"")</f>
        <v/>
      </c>
      <c r="T66" s="127">
        <f>H66*[0]!FMainPool1Fee+I66*[0]!FMainPool2Fee+J66*[0]!FMainPool3Fee+K66*[0]!FMainPool4Fee+B66*[0]!FMainEntryFee</f>
        <v>0</v>
      </c>
      <c r="U66" s="128"/>
      <c r="V66" s="129"/>
      <c r="W66" s="66"/>
      <c r="X66" s="97"/>
      <c r="Y66" s="97"/>
      <c r="Z66" s="98"/>
    </row>
    <row r="67" spans="1:26" ht="18">
      <c r="A67" s="88">
        <f t="shared" si="2"/>
        <v>56</v>
      </c>
      <c r="B67" s="89"/>
      <c r="C67" s="102" t="s">
        <v>54</v>
      </c>
      <c r="D67" s="102" t="s">
        <v>55</v>
      </c>
      <c r="E67" s="103" t="s">
        <v>221</v>
      </c>
      <c r="F67" s="107"/>
      <c r="G67" s="105" t="s">
        <v>373</v>
      </c>
      <c r="H67" s="94"/>
      <c r="I67" s="89"/>
      <c r="J67" s="89"/>
      <c r="K67" s="89"/>
      <c r="L67" s="89"/>
      <c r="M67" s="89"/>
      <c r="N67" s="89"/>
      <c r="O67" s="95">
        <f>T67*N67</f>
        <v>0</v>
      </c>
      <c r="P67" s="89"/>
      <c r="Q67" s="89"/>
      <c r="R67" s="96" t="str">
        <f>IF(OR(P67="c",P67="C"),+T67,"")</f>
        <v/>
      </c>
      <c r="S67" s="96" t="str">
        <f>IF(OR(P67="$",N67=1),+T67,"")</f>
        <v/>
      </c>
      <c r="T67" s="127">
        <f>H67*[0]!FMainPool1Fee+I67*[0]!FMainPool2Fee+J67*[0]!FMainPool3Fee+K67*[0]!FMainPool4Fee+B67*[0]!FMainEntryFee</f>
        <v>0</v>
      </c>
      <c r="U67" s="128"/>
      <c r="V67" s="129"/>
      <c r="W67" s="66"/>
      <c r="X67" s="97"/>
      <c r="Y67" s="97"/>
      <c r="Z67" s="98"/>
    </row>
    <row r="68" spans="1:26" ht="18">
      <c r="A68" s="88">
        <f t="shared" si="2"/>
        <v>57</v>
      </c>
      <c r="B68" s="89">
        <v>1</v>
      </c>
      <c r="C68" s="90" t="s">
        <v>112</v>
      </c>
      <c r="D68" s="90" t="s">
        <v>69</v>
      </c>
      <c r="E68" s="91" t="s">
        <v>201</v>
      </c>
      <c r="F68" s="92">
        <v>9165213208</v>
      </c>
      <c r="G68" s="105" t="s">
        <v>348</v>
      </c>
      <c r="H68" s="94">
        <v>1</v>
      </c>
      <c r="I68" s="89"/>
      <c r="J68" s="89">
        <v>1</v>
      </c>
      <c r="K68" s="89"/>
      <c r="L68" s="89"/>
      <c r="M68" s="89"/>
      <c r="N68" s="89"/>
      <c r="O68" s="95">
        <f>T68*N68</f>
        <v>0</v>
      </c>
      <c r="P68" s="89" t="s">
        <v>741</v>
      </c>
      <c r="Q68" s="89"/>
      <c r="R68" s="96" t="str">
        <f>IF(OR(P68="c",P68="C"),+T68,"")</f>
        <v/>
      </c>
      <c r="S68" s="96">
        <f>IF(OR(P68="$",N68=1),+T68,"")</f>
        <v>100</v>
      </c>
      <c r="T68" s="127">
        <f>H68*[0]!FMainPool1Fee+I68*[0]!FMainPool2Fee+J68*[0]!FMainPool3Fee+K68*[0]!FMainPool4Fee+B68*[0]!FMainEntryFee</f>
        <v>100</v>
      </c>
      <c r="U68" s="128">
        <v>1</v>
      </c>
      <c r="V68" s="129"/>
      <c r="W68" s="66"/>
      <c r="X68" s="97"/>
      <c r="Y68" s="97"/>
      <c r="Z68" s="98" t="s">
        <v>742</v>
      </c>
    </row>
    <row r="69" spans="1:26" ht="18">
      <c r="A69" s="88">
        <f t="shared" si="2"/>
        <v>58</v>
      </c>
      <c r="B69" s="89"/>
      <c r="C69" s="90" t="s">
        <v>155</v>
      </c>
      <c r="D69" s="90" t="s">
        <v>157</v>
      </c>
      <c r="E69" s="91" t="s">
        <v>156</v>
      </c>
      <c r="F69" s="92"/>
      <c r="G69" s="105" t="s">
        <v>158</v>
      </c>
      <c r="H69" s="94"/>
      <c r="I69" s="89"/>
      <c r="J69" s="89"/>
      <c r="K69" s="89"/>
      <c r="L69" s="89"/>
      <c r="M69" s="89"/>
      <c r="N69" s="89"/>
      <c r="O69" s="95">
        <f>T69*N69</f>
        <v>0</v>
      </c>
      <c r="P69" s="89"/>
      <c r="Q69" s="89"/>
      <c r="R69" s="96" t="str">
        <f>IF(OR(P69="c",P69="C"),+T69,"")</f>
        <v/>
      </c>
      <c r="S69" s="96" t="str">
        <f>IF(OR(P69="$",N69=1),+T69,"")</f>
        <v/>
      </c>
      <c r="T69" s="127">
        <f>H69*[0]!FMainPool1Fee+I69*[0]!FMainPool2Fee+J69*[0]!FMainPool3Fee+K69*[0]!FMainPool4Fee+B69*[0]!FMainEntryFee</f>
        <v>0</v>
      </c>
      <c r="U69" s="128"/>
      <c r="V69" s="129"/>
      <c r="W69" s="66"/>
      <c r="X69" s="97"/>
      <c r="Y69" s="97"/>
      <c r="Z69" s="98"/>
    </row>
    <row r="70" spans="1:26" ht="18">
      <c r="A70" s="88">
        <f t="shared" si="2"/>
        <v>59</v>
      </c>
      <c r="B70" s="89">
        <v>1</v>
      </c>
      <c r="C70" s="102" t="s">
        <v>59</v>
      </c>
      <c r="D70" s="102" t="s">
        <v>15</v>
      </c>
      <c r="E70" s="103" t="s">
        <v>202</v>
      </c>
      <c r="F70" s="104" t="s">
        <v>524</v>
      </c>
      <c r="G70" s="105" t="s">
        <v>303</v>
      </c>
      <c r="H70" s="94">
        <v>1</v>
      </c>
      <c r="I70" s="89">
        <v>1</v>
      </c>
      <c r="J70" s="89">
        <v>1</v>
      </c>
      <c r="K70" s="89">
        <v>1</v>
      </c>
      <c r="L70" s="89"/>
      <c r="M70" s="89"/>
      <c r="N70" s="89"/>
      <c r="O70" s="95">
        <f>T70*N70</f>
        <v>0</v>
      </c>
      <c r="P70" s="89" t="s">
        <v>692</v>
      </c>
      <c r="Q70" s="89">
        <v>2074</v>
      </c>
      <c r="R70" s="96">
        <f>IF(OR(P70="c",P70="C"),+T70,"")</f>
        <v>160</v>
      </c>
      <c r="S70" s="96" t="str">
        <f>IF(OR(P70="$",N70=1),+T70,"")</f>
        <v/>
      </c>
      <c r="T70" s="127">
        <f>H70*[0]!FMainPool1Fee+I70*[0]!FMainPool2Fee+J70*[0]!FMainPool3Fee+K70*[0]!FMainPool4Fee+B70*[0]!FMainEntryFee</f>
        <v>160</v>
      </c>
      <c r="U70" s="128"/>
      <c r="V70" s="129"/>
      <c r="W70" s="66"/>
      <c r="X70" s="97"/>
      <c r="Y70" s="97">
        <v>1</v>
      </c>
      <c r="Z70" s="98"/>
    </row>
    <row r="71" spans="1:26" ht="18">
      <c r="A71" s="88">
        <f t="shared" si="2"/>
        <v>60</v>
      </c>
      <c r="B71" s="89"/>
      <c r="C71" s="102" t="s">
        <v>58</v>
      </c>
      <c r="D71" s="102" t="s">
        <v>14</v>
      </c>
      <c r="E71" s="103" t="s">
        <v>165</v>
      </c>
      <c r="F71" s="108" t="s">
        <v>525</v>
      </c>
      <c r="G71" s="105" t="s">
        <v>124</v>
      </c>
      <c r="H71" s="94"/>
      <c r="I71" s="89"/>
      <c r="J71" s="89"/>
      <c r="K71" s="89"/>
      <c r="L71" s="89"/>
      <c r="M71" s="89"/>
      <c r="N71" s="89"/>
      <c r="O71" s="95">
        <f>T71*N71</f>
        <v>0</v>
      </c>
      <c r="P71" s="89"/>
      <c r="Q71" s="89"/>
      <c r="R71" s="96" t="str">
        <f>IF(OR(P71="c",P71="C"),+T71,"")</f>
        <v/>
      </c>
      <c r="S71" s="96" t="str">
        <f>IF(OR(P71="$",N71=1),+T71,"")</f>
        <v/>
      </c>
      <c r="T71" s="127">
        <f>H71*[0]!FMainPool1Fee+I71*[0]!FMainPool2Fee+J71*[0]!FMainPool3Fee+K71*[0]!FMainPool4Fee+B71*[0]!FMainEntryFee</f>
        <v>0</v>
      </c>
      <c r="U71" s="128"/>
      <c r="V71" s="129"/>
      <c r="W71" s="66"/>
      <c r="X71" s="97"/>
      <c r="Y71" s="97"/>
      <c r="Z71" s="98"/>
    </row>
    <row r="72" spans="1:26" ht="18">
      <c r="A72" s="88">
        <f t="shared" ref="A72:A102" si="3">ROW() - ROW(FRegentiresEneteredHdr)</f>
        <v>61</v>
      </c>
      <c r="B72" s="89"/>
      <c r="C72" s="90" t="s">
        <v>397</v>
      </c>
      <c r="D72" s="90" t="s">
        <v>269</v>
      </c>
      <c r="E72" s="91" t="s">
        <v>270</v>
      </c>
      <c r="F72" s="92"/>
      <c r="G72" s="105" t="s">
        <v>376</v>
      </c>
      <c r="H72" s="94"/>
      <c r="I72" s="89"/>
      <c r="J72" s="89"/>
      <c r="K72" s="89"/>
      <c r="L72" s="89"/>
      <c r="M72" s="89"/>
      <c r="N72" s="89"/>
      <c r="O72" s="95">
        <f>T72*N72</f>
        <v>0</v>
      </c>
      <c r="P72" s="89"/>
      <c r="Q72" s="89"/>
      <c r="R72" s="96" t="str">
        <f>IF(OR(P72="c",P72="C"),+T72,"")</f>
        <v/>
      </c>
      <c r="S72" s="96" t="str">
        <f>IF(OR(P72="$",N72=1),+T72,"")</f>
        <v/>
      </c>
      <c r="T72" s="127">
        <f>H72*[0]!FMainPool1Fee+I72*[0]!FMainPool2Fee+J72*[0]!FMainPool3Fee+K72*[0]!FMainPool4Fee+B72*[0]!FMainEntryFee</f>
        <v>0</v>
      </c>
      <c r="U72" s="128"/>
      <c r="V72" s="129"/>
      <c r="W72" s="66"/>
      <c r="X72" s="97"/>
      <c r="Y72" s="97"/>
      <c r="Z72" s="98"/>
    </row>
    <row r="73" spans="1:26" ht="18">
      <c r="A73" s="88">
        <f t="shared" si="3"/>
        <v>62</v>
      </c>
      <c r="B73" s="89">
        <v>1</v>
      </c>
      <c r="C73" s="102" t="s">
        <v>466</v>
      </c>
      <c r="D73" s="102" t="s">
        <v>15</v>
      </c>
      <c r="E73" s="103" t="s">
        <v>186</v>
      </c>
      <c r="F73" s="111" t="s">
        <v>473</v>
      </c>
      <c r="G73" s="105" t="s">
        <v>474</v>
      </c>
      <c r="H73" s="94">
        <v>1</v>
      </c>
      <c r="I73" s="89">
        <v>1</v>
      </c>
      <c r="J73" s="89">
        <v>1</v>
      </c>
      <c r="K73" s="89">
        <v>1</v>
      </c>
      <c r="L73" s="89"/>
      <c r="M73" s="89"/>
      <c r="N73" s="89"/>
      <c r="O73" s="95">
        <f>T73*N73</f>
        <v>0</v>
      </c>
      <c r="P73" s="89" t="s">
        <v>692</v>
      </c>
      <c r="Q73" s="89">
        <v>2334</v>
      </c>
      <c r="R73" s="96">
        <f>IF(OR(P73="c",P73="C"),+T73,"")</f>
        <v>160</v>
      </c>
      <c r="S73" s="96" t="str">
        <f>IF(OR(P73="$",N73=1),+T73,"")</f>
        <v/>
      </c>
      <c r="T73" s="127">
        <f>H73*[0]!FMainPool1Fee+I73*[0]!FMainPool2Fee+J73*[0]!FMainPool3Fee+K73*[0]!FMainPool4Fee+B73*[0]!FMainEntryFee</f>
        <v>160</v>
      </c>
      <c r="U73" s="128"/>
      <c r="V73" s="129"/>
      <c r="W73" s="66"/>
      <c r="X73" s="97">
        <v>1</v>
      </c>
      <c r="Y73" s="97"/>
      <c r="Z73" s="98" t="s">
        <v>773</v>
      </c>
    </row>
    <row r="74" spans="1:26" ht="18">
      <c r="A74" s="88">
        <f t="shared" si="3"/>
        <v>63</v>
      </c>
      <c r="B74" s="89"/>
      <c r="C74" s="90" t="s">
        <v>232</v>
      </c>
      <c r="D74" s="90" t="s">
        <v>233</v>
      </c>
      <c r="E74" s="91" t="s">
        <v>234</v>
      </c>
      <c r="F74" s="100"/>
      <c r="G74" s="105"/>
      <c r="H74" s="94"/>
      <c r="I74" s="89"/>
      <c r="J74" s="89"/>
      <c r="K74" s="89"/>
      <c r="L74" s="89"/>
      <c r="M74" s="89"/>
      <c r="N74" s="89"/>
      <c r="O74" s="95">
        <f>T74*N74</f>
        <v>0</v>
      </c>
      <c r="P74" s="89"/>
      <c r="Q74" s="89"/>
      <c r="R74" s="96" t="str">
        <f>IF(OR(P74="c",P74="C"),+T74,"")</f>
        <v/>
      </c>
      <c r="S74" s="96" t="str">
        <f>IF(OR(P74="$",N74=1),+T74,"")</f>
        <v/>
      </c>
      <c r="T74" s="127">
        <f>H74*[0]!FMainPool1Fee+I74*[0]!FMainPool2Fee+J74*[0]!FMainPool3Fee+K74*[0]!FMainPool4Fee+B74*[0]!FMainEntryFee</f>
        <v>0</v>
      </c>
      <c r="U74" s="128"/>
      <c r="V74" s="129"/>
      <c r="W74" s="66"/>
      <c r="X74" s="97"/>
      <c r="Y74" s="97"/>
      <c r="Z74" s="98"/>
    </row>
    <row r="75" spans="1:26" ht="18">
      <c r="A75" s="88">
        <f t="shared" si="3"/>
        <v>64</v>
      </c>
      <c r="B75" s="89"/>
      <c r="C75" s="90" t="s">
        <v>138</v>
      </c>
      <c r="D75" s="90" t="s">
        <v>15</v>
      </c>
      <c r="E75" s="91" t="s">
        <v>160</v>
      </c>
      <c r="F75" s="92">
        <v>7078499317</v>
      </c>
      <c r="G75" s="105" t="s">
        <v>145</v>
      </c>
      <c r="H75" s="94"/>
      <c r="I75" s="89"/>
      <c r="J75" s="89"/>
      <c r="K75" s="89"/>
      <c r="L75" s="89"/>
      <c r="M75" s="89"/>
      <c r="N75" s="89"/>
      <c r="O75" s="95">
        <f>T75*N75</f>
        <v>0</v>
      </c>
      <c r="P75" s="89"/>
      <c r="Q75" s="89"/>
      <c r="R75" s="96" t="str">
        <f>IF(OR(P75="c",P75="C"),+T75,"")</f>
        <v/>
      </c>
      <c r="S75" s="96" t="str">
        <f>IF(OR(P75="$",N75=1),+T75,"")</f>
        <v/>
      </c>
      <c r="T75" s="127">
        <f>H75*[0]!FMainPool1Fee+I75*[0]!FMainPool2Fee+J75*[0]!FMainPool3Fee+K75*[0]!FMainPool4Fee+B75*[0]!FMainEntryFee</f>
        <v>0</v>
      </c>
      <c r="U75" s="128"/>
      <c r="V75" s="129"/>
      <c r="W75" s="66"/>
      <c r="X75" s="97"/>
      <c r="Y75" s="97"/>
      <c r="Z75" s="98"/>
    </row>
    <row r="76" spans="1:26" ht="18">
      <c r="A76" s="88">
        <f t="shared" si="3"/>
        <v>65</v>
      </c>
      <c r="B76" s="89"/>
      <c r="C76" s="90" t="s">
        <v>416</v>
      </c>
      <c r="D76" s="90" t="s">
        <v>15</v>
      </c>
      <c r="E76" s="91" t="s">
        <v>443</v>
      </c>
      <c r="F76" s="92">
        <v>7073225806</v>
      </c>
      <c r="G76" s="93" t="s">
        <v>475</v>
      </c>
      <c r="H76" s="94"/>
      <c r="I76" s="89"/>
      <c r="J76" s="89"/>
      <c r="K76" s="89"/>
      <c r="L76" s="89"/>
      <c r="M76" s="89"/>
      <c r="N76" s="89"/>
      <c r="O76" s="95">
        <f>T76*N76</f>
        <v>0</v>
      </c>
      <c r="P76" s="89"/>
      <c r="Q76" s="89"/>
      <c r="R76" s="96" t="str">
        <f>IF(OR(P76="c",P76="C"),+T76,"")</f>
        <v/>
      </c>
      <c r="S76" s="96" t="str">
        <f>IF(OR(P76="$",N76=1),+T76,"")</f>
        <v/>
      </c>
      <c r="T76" s="127">
        <f>H76*[0]!FMainPool1Fee+I76*[0]!FMainPool2Fee+J76*[0]!FMainPool3Fee+K76*[0]!FMainPool4Fee+B76*[0]!FMainEntryFee</f>
        <v>0</v>
      </c>
      <c r="U76" s="128"/>
      <c r="V76" s="129"/>
      <c r="W76" s="66"/>
      <c r="X76" s="97"/>
      <c r="Y76" s="97"/>
      <c r="Z76" s="98"/>
    </row>
    <row r="77" spans="1:26" ht="18">
      <c r="A77" s="88">
        <f t="shared" si="3"/>
        <v>66</v>
      </c>
      <c r="B77" s="89"/>
      <c r="C77" s="90" t="s">
        <v>679</v>
      </c>
      <c r="D77" s="90" t="s">
        <v>19</v>
      </c>
      <c r="E77" s="119" t="s">
        <v>680</v>
      </c>
      <c r="F77" s="92">
        <v>9258406622</v>
      </c>
      <c r="G77" s="93" t="s">
        <v>681</v>
      </c>
      <c r="H77" s="94"/>
      <c r="I77" s="89"/>
      <c r="J77" s="89"/>
      <c r="K77" s="89"/>
      <c r="L77" s="89"/>
      <c r="M77" s="89"/>
      <c r="N77" s="89"/>
      <c r="O77" s="95">
        <f>T77*N77</f>
        <v>0</v>
      </c>
      <c r="P77" s="89"/>
      <c r="Q77" s="89"/>
      <c r="R77" s="96" t="str">
        <f>IF(OR(P77="c",P77="C"),+T77,"")</f>
        <v/>
      </c>
      <c r="S77" s="96" t="str">
        <f>IF(OR(P77="$",N77=1),+T77,"")</f>
        <v/>
      </c>
      <c r="T77" s="127">
        <f>H77*[0]!FMainPool1Fee+I77*[0]!FMainPool2Fee+J77*[0]!FMainPool3Fee+K77*[0]!FMainPool4Fee+B77*[0]!FMainEntryFee</f>
        <v>0</v>
      </c>
      <c r="U77" s="128"/>
      <c r="V77" s="129"/>
      <c r="W77" s="66"/>
      <c r="X77" s="97"/>
      <c r="Y77" s="97"/>
      <c r="Z77" s="98"/>
    </row>
    <row r="78" spans="1:26" ht="18">
      <c r="A78" s="88">
        <f t="shared" si="3"/>
        <v>67</v>
      </c>
      <c r="B78" s="89"/>
      <c r="C78" s="102" t="s">
        <v>48</v>
      </c>
      <c r="D78" s="102" t="s">
        <v>704</v>
      </c>
      <c r="E78" s="103" t="s">
        <v>187</v>
      </c>
      <c r="F78" s="108">
        <v>5103760257</v>
      </c>
      <c r="G78" s="105" t="s">
        <v>374</v>
      </c>
      <c r="H78" s="94"/>
      <c r="I78" s="89"/>
      <c r="J78" s="89"/>
      <c r="K78" s="89"/>
      <c r="L78" s="89"/>
      <c r="M78" s="89"/>
      <c r="N78" s="89"/>
      <c r="O78" s="95"/>
      <c r="P78" s="89"/>
      <c r="Q78" s="89"/>
      <c r="R78" s="96" t="str">
        <f>IF(OR(P78="c",P78="C"),+T78,"")</f>
        <v/>
      </c>
      <c r="S78" s="96" t="str">
        <f>IF(OR(P78="$",N78=1),+T78,"")</f>
        <v/>
      </c>
      <c r="T78" s="127">
        <f>H78*[0]!FMainPool1Fee+I78*[0]!FMainPool2Fee+J78*[0]!FMainPool3Fee+K78*[0]!FMainPool4Fee+B78*[0]!FMainEntryFee</f>
        <v>0</v>
      </c>
      <c r="U78" s="128"/>
      <c r="V78" s="129"/>
      <c r="W78" s="66"/>
      <c r="X78" s="97"/>
      <c r="Y78" s="97"/>
      <c r="Z78" s="98" t="s">
        <v>801</v>
      </c>
    </row>
    <row r="79" spans="1:26" ht="18">
      <c r="A79" s="88">
        <f t="shared" si="3"/>
        <v>68</v>
      </c>
      <c r="B79" s="89"/>
      <c r="C79" s="90" t="s">
        <v>402</v>
      </c>
      <c r="D79" s="90" t="s">
        <v>135</v>
      </c>
      <c r="E79" s="91" t="s">
        <v>403</v>
      </c>
      <c r="F79" s="92"/>
      <c r="G79" s="105" t="s">
        <v>404</v>
      </c>
      <c r="H79" s="94"/>
      <c r="I79" s="89"/>
      <c r="J79" s="89"/>
      <c r="K79" s="89"/>
      <c r="L79" s="89"/>
      <c r="M79" s="89"/>
      <c r="N79" s="89"/>
      <c r="O79" s="95">
        <f>T79*N79</f>
        <v>0</v>
      </c>
      <c r="P79" s="89"/>
      <c r="Q79" s="89"/>
      <c r="R79" s="96" t="str">
        <f>IF(OR(P79="c",P79="C"),+T79,"")</f>
        <v/>
      </c>
      <c r="S79" s="96" t="str">
        <f>IF(OR(P79="$",N79=1),+T79,"")</f>
        <v/>
      </c>
      <c r="T79" s="127">
        <f>H79*[0]!FMainPool1Fee+I79*[0]!FMainPool2Fee+J79*[0]!FMainPool3Fee+K79*[0]!FMainPool4Fee+B79*[0]!FMainEntryFee</f>
        <v>0</v>
      </c>
      <c r="U79" s="128"/>
      <c r="V79" s="129"/>
      <c r="W79" s="66"/>
      <c r="X79" s="97"/>
      <c r="Y79" s="97"/>
      <c r="Z79" s="98"/>
    </row>
    <row r="80" spans="1:26" ht="18">
      <c r="A80" s="88">
        <f t="shared" si="3"/>
        <v>69</v>
      </c>
      <c r="B80" s="89"/>
      <c r="C80" s="99" t="s">
        <v>634</v>
      </c>
      <c r="D80" s="99" t="s">
        <v>5</v>
      </c>
      <c r="E80" s="66" t="s">
        <v>635</v>
      </c>
      <c r="F80" s="108"/>
      <c r="G80" s="99"/>
      <c r="H80" s="94"/>
      <c r="I80" s="89"/>
      <c r="J80" s="89"/>
      <c r="K80" s="89"/>
      <c r="L80" s="89"/>
      <c r="M80" s="89"/>
      <c r="N80" s="89"/>
      <c r="O80" s="95">
        <f>T80*N80</f>
        <v>0</v>
      </c>
      <c r="P80" s="89"/>
      <c r="Q80" s="89"/>
      <c r="R80" s="96" t="str">
        <f>IF(OR(P80="c",P80="C"),+T80,"")</f>
        <v/>
      </c>
      <c r="S80" s="96" t="str">
        <f>IF(OR(P80="$",N80=1),+T80,"")</f>
        <v/>
      </c>
      <c r="T80" s="127">
        <f>H80*[0]!FMainPool1Fee+I80*[0]!FMainPool2Fee+J80*[0]!FMainPool3Fee+K80*[0]!FMainPool4Fee+B80*[0]!FMainEntryFee</f>
        <v>0</v>
      </c>
      <c r="U80" s="128"/>
      <c r="V80" s="129"/>
      <c r="W80" s="66"/>
      <c r="X80" s="97"/>
      <c r="Y80" s="97"/>
      <c r="Z80" s="98"/>
    </row>
    <row r="81" spans="1:26" ht="18">
      <c r="A81" s="88">
        <f t="shared" si="3"/>
        <v>70</v>
      </c>
      <c r="B81" s="89"/>
      <c r="C81" s="90" t="s">
        <v>412</v>
      </c>
      <c r="D81" s="90" t="s">
        <v>57</v>
      </c>
      <c r="E81" s="91" t="s">
        <v>413</v>
      </c>
      <c r="F81" s="92"/>
      <c r="G81" s="105"/>
      <c r="H81" s="94"/>
      <c r="I81" s="89"/>
      <c r="J81" s="89"/>
      <c r="K81" s="89"/>
      <c r="L81" s="89"/>
      <c r="M81" s="89"/>
      <c r="N81" s="89"/>
      <c r="O81" s="95">
        <f>T81*N81</f>
        <v>0</v>
      </c>
      <c r="P81" s="89"/>
      <c r="Q81" s="89"/>
      <c r="R81" s="96" t="str">
        <f>IF(OR(P81="c",P81="C"),+T81,"")</f>
        <v/>
      </c>
      <c r="S81" s="96" t="str">
        <f>IF(OR(P81="$",N81=1),+T81,"")</f>
        <v/>
      </c>
      <c r="T81" s="127">
        <f>H81*[0]!FMainPool1Fee+I81*[0]!FMainPool2Fee+J81*[0]!FMainPool3Fee+K81*[0]!FMainPool4Fee+B81*[0]!FMainEntryFee</f>
        <v>0</v>
      </c>
      <c r="U81" s="128"/>
      <c r="V81" s="129"/>
      <c r="W81" s="66"/>
      <c r="X81" s="97"/>
      <c r="Y81" s="97"/>
      <c r="Z81" s="98"/>
    </row>
    <row r="82" spans="1:26" ht="18">
      <c r="A82" s="88">
        <f t="shared" si="3"/>
        <v>71</v>
      </c>
      <c r="B82" s="89"/>
      <c r="C82" s="90" t="s">
        <v>417</v>
      </c>
      <c r="D82" s="90" t="s">
        <v>467</v>
      </c>
      <c r="E82" s="91" t="s">
        <v>468</v>
      </c>
      <c r="F82" s="92">
        <v>4152058885</v>
      </c>
      <c r="G82" s="93" t="s">
        <v>476</v>
      </c>
      <c r="H82" s="94"/>
      <c r="I82" s="89"/>
      <c r="J82" s="89"/>
      <c r="K82" s="89"/>
      <c r="L82" s="89"/>
      <c r="M82" s="89"/>
      <c r="N82" s="89"/>
      <c r="O82" s="95">
        <f>T82*N82</f>
        <v>0</v>
      </c>
      <c r="P82" s="89"/>
      <c r="Q82" s="89"/>
      <c r="R82" s="96" t="str">
        <f>IF(OR(P82="c",P82="C"),+T82,"")</f>
        <v/>
      </c>
      <c r="S82" s="96" t="str">
        <f>IF(OR(P82="$",N82=1),+T82,"")</f>
        <v/>
      </c>
      <c r="T82" s="127">
        <f>H82*[0]!FMainPool1Fee+I82*[0]!FMainPool2Fee+J82*[0]!FMainPool3Fee+K82*[0]!FMainPool4Fee+B82*[0]!FMainEntryFee</f>
        <v>0</v>
      </c>
      <c r="U82" s="128"/>
      <c r="V82" s="129"/>
      <c r="W82" s="66"/>
      <c r="X82" s="97"/>
      <c r="Y82" s="97"/>
      <c r="Z82" s="98"/>
    </row>
    <row r="83" spans="1:26" ht="18">
      <c r="A83" s="88">
        <f t="shared" si="3"/>
        <v>72</v>
      </c>
      <c r="B83" s="89"/>
      <c r="C83" s="90" t="s">
        <v>418</v>
      </c>
      <c r="D83" s="90" t="s">
        <v>458</v>
      </c>
      <c r="E83" s="91" t="s">
        <v>444</v>
      </c>
      <c r="F83" s="92">
        <v>4152052574</v>
      </c>
      <c r="G83" s="93" t="s">
        <v>477</v>
      </c>
      <c r="H83" s="94"/>
      <c r="I83" s="89"/>
      <c r="J83" s="89"/>
      <c r="K83" s="89"/>
      <c r="L83" s="89"/>
      <c r="M83" s="89"/>
      <c r="N83" s="89"/>
      <c r="O83" s="95">
        <f>T83*N83</f>
        <v>0</v>
      </c>
      <c r="P83" s="89"/>
      <c r="Q83" s="89"/>
      <c r="R83" s="96" t="str">
        <f>IF(OR(P83="c",P83="C"),+T83,"")</f>
        <v/>
      </c>
      <c r="S83" s="96" t="str">
        <f>IF(OR(P83="$",N83=1),+T83,"")</f>
        <v/>
      </c>
      <c r="T83" s="127">
        <f>H83*[0]!FMainPool1Fee+I83*[0]!FMainPool2Fee+J83*[0]!FMainPool3Fee+K83*[0]!FMainPool4Fee+B83*[0]!FMainEntryFee</f>
        <v>0</v>
      </c>
      <c r="U83" s="128"/>
      <c r="V83" s="129"/>
      <c r="W83" s="66"/>
      <c r="X83" s="97"/>
      <c r="Y83" s="97"/>
      <c r="Z83" s="98"/>
    </row>
    <row r="84" spans="1:26" ht="18">
      <c r="A84" s="88">
        <f t="shared" si="3"/>
        <v>73</v>
      </c>
      <c r="B84" s="89"/>
      <c r="C84" s="99" t="s">
        <v>577</v>
      </c>
      <c r="D84" s="99" t="s">
        <v>5</v>
      </c>
      <c r="E84" s="66" t="s">
        <v>578</v>
      </c>
      <c r="F84" s="104"/>
      <c r="G84" s="99"/>
      <c r="H84" s="94"/>
      <c r="I84" s="89"/>
      <c r="J84" s="89"/>
      <c r="K84" s="89"/>
      <c r="L84" s="89"/>
      <c r="M84" s="89"/>
      <c r="N84" s="89"/>
      <c r="O84" s="95">
        <f>T84*N84</f>
        <v>0</v>
      </c>
      <c r="P84" s="89"/>
      <c r="Q84" s="89"/>
      <c r="R84" s="96" t="str">
        <f>IF(OR(P84="c",P84="C"),+T84,"")</f>
        <v/>
      </c>
      <c r="S84" s="96" t="str">
        <f>IF(OR(P84="$",N84=1),+T84,"")</f>
        <v/>
      </c>
      <c r="T84" s="127">
        <f>H84*[0]!FMainPool1Fee+I84*[0]!FMainPool2Fee+J84*[0]!FMainPool3Fee+K84*[0]!FMainPool4Fee+B84*[0]!FMainEntryFee</f>
        <v>0</v>
      </c>
      <c r="U84" s="128"/>
      <c r="V84" s="129"/>
      <c r="W84" s="66"/>
      <c r="X84" s="97"/>
      <c r="Y84" s="97"/>
      <c r="Z84" s="98"/>
    </row>
    <row r="85" spans="1:26" ht="18">
      <c r="A85" s="88">
        <f t="shared" si="3"/>
        <v>74</v>
      </c>
      <c r="B85" s="89"/>
      <c r="C85" s="90" t="s">
        <v>419</v>
      </c>
      <c r="D85" s="90" t="s">
        <v>458</v>
      </c>
      <c r="E85" s="66" t="s">
        <v>469</v>
      </c>
      <c r="F85" s="92"/>
      <c r="G85" s="105"/>
      <c r="H85" s="94"/>
      <c r="I85" s="89"/>
      <c r="J85" s="89"/>
      <c r="K85" s="89"/>
      <c r="L85" s="89"/>
      <c r="M85" s="89"/>
      <c r="N85" s="89"/>
      <c r="O85" s="95">
        <f>T85*N85</f>
        <v>0</v>
      </c>
      <c r="P85" s="89"/>
      <c r="Q85" s="89"/>
      <c r="R85" s="96" t="str">
        <f>IF(OR(P85="c",P85="C"),+T85,"")</f>
        <v/>
      </c>
      <c r="S85" s="96" t="str">
        <f>IF(OR(P85="$",N85=1),+T85,"")</f>
        <v/>
      </c>
      <c r="T85" s="127">
        <f>H85*[0]!FMainPool1Fee+I85*[0]!FMainPool2Fee+J85*[0]!FMainPool3Fee+K85*[0]!FMainPool4Fee+B85*[0]!FMainEntryFee</f>
        <v>0</v>
      </c>
      <c r="U85" s="128"/>
      <c r="V85" s="129"/>
      <c r="W85" s="66"/>
      <c r="X85" s="97"/>
      <c r="Y85" s="97"/>
      <c r="Z85" s="98"/>
    </row>
    <row r="86" spans="1:26" ht="18">
      <c r="A86" s="88">
        <f t="shared" si="3"/>
        <v>75</v>
      </c>
      <c r="B86" s="89">
        <v>1</v>
      </c>
      <c r="C86" s="90" t="s">
        <v>101</v>
      </c>
      <c r="D86" s="102" t="s">
        <v>5</v>
      </c>
      <c r="E86" s="91" t="s">
        <v>203</v>
      </c>
      <c r="F86" s="92" t="s">
        <v>478</v>
      </c>
      <c r="G86" s="105" t="s">
        <v>349</v>
      </c>
      <c r="H86" s="94">
        <v>1</v>
      </c>
      <c r="I86" s="89">
        <v>1</v>
      </c>
      <c r="J86" s="89">
        <v>1</v>
      </c>
      <c r="K86" s="89">
        <v>1</v>
      </c>
      <c r="L86" s="89">
        <v>1</v>
      </c>
      <c r="M86" s="89"/>
      <c r="N86" s="89"/>
      <c r="O86" s="95">
        <f>T86*N86</f>
        <v>0</v>
      </c>
      <c r="P86" s="89" t="s">
        <v>741</v>
      </c>
      <c r="Q86" s="89"/>
      <c r="R86" s="96" t="str">
        <f>IF(OR(P86="c",P86="C"),+T86,"")</f>
        <v/>
      </c>
      <c r="S86" s="96">
        <f>IF(OR(P86="$",N86=1),+T86,"")</f>
        <v>160</v>
      </c>
      <c r="T86" s="127">
        <f>H86*[0]!FMainPool1Fee+I86*[0]!FMainPool2Fee+J86*[0]!FMainPool3Fee+K86*[0]!FMainPool4Fee+B86*[0]!FMainEntryFee</f>
        <v>160</v>
      </c>
      <c r="U86" s="128"/>
      <c r="V86" s="129"/>
      <c r="W86" s="66">
        <v>1</v>
      </c>
      <c r="X86" s="97"/>
      <c r="Y86" s="97"/>
      <c r="Z86" s="98"/>
    </row>
    <row r="87" spans="1:26" ht="18">
      <c r="A87" s="88">
        <f t="shared" si="3"/>
        <v>76</v>
      </c>
      <c r="B87" s="89"/>
      <c r="C87" s="99" t="s">
        <v>579</v>
      </c>
      <c r="D87" s="99" t="s">
        <v>450</v>
      </c>
      <c r="E87" s="66" t="s">
        <v>580</v>
      </c>
      <c r="F87" s="108">
        <v>5103043540</v>
      </c>
      <c r="G87" s="113" t="s">
        <v>676</v>
      </c>
      <c r="H87" s="94"/>
      <c r="I87" s="89"/>
      <c r="J87" s="89"/>
      <c r="K87" s="89"/>
      <c r="L87" s="89"/>
      <c r="M87" s="89"/>
      <c r="N87" s="89"/>
      <c r="O87" s="95">
        <f>T87*N87</f>
        <v>0</v>
      </c>
      <c r="P87" s="89"/>
      <c r="Q87" s="89"/>
      <c r="R87" s="96" t="str">
        <f>IF(OR(P87="c",P87="C"),+T87,"")</f>
        <v/>
      </c>
      <c r="S87" s="96" t="str">
        <f>IF(OR(P87="$",N87=1),+T87,"")</f>
        <v/>
      </c>
      <c r="T87" s="127">
        <f>H87*[0]!FMainPool1Fee+I87*[0]!FMainPool2Fee+J87*[0]!FMainPool3Fee+K87*[0]!FMainPool4Fee+B87*[0]!FMainEntryFee</f>
        <v>0</v>
      </c>
      <c r="U87" s="128"/>
      <c r="V87" s="129"/>
      <c r="W87" s="66"/>
      <c r="X87" s="97"/>
      <c r="Y87" s="97"/>
      <c r="Z87" s="98"/>
    </row>
    <row r="88" spans="1:26" ht="18">
      <c r="A88" s="88">
        <f t="shared" si="3"/>
        <v>77</v>
      </c>
      <c r="B88" s="89"/>
      <c r="C88" s="99" t="s">
        <v>659</v>
      </c>
      <c r="D88" s="99" t="s">
        <v>660</v>
      </c>
      <c r="E88" s="66" t="s">
        <v>661</v>
      </c>
      <c r="F88" s="108">
        <v>5309277047</v>
      </c>
      <c r="G88" s="113" t="s">
        <v>665</v>
      </c>
      <c r="H88" s="94"/>
      <c r="I88" s="89"/>
      <c r="J88" s="89"/>
      <c r="K88" s="89"/>
      <c r="L88" s="89"/>
      <c r="M88" s="89"/>
      <c r="N88" s="89"/>
      <c r="O88" s="95">
        <f>T88*N88</f>
        <v>0</v>
      </c>
      <c r="P88" s="89"/>
      <c r="Q88" s="89"/>
      <c r="R88" s="96" t="str">
        <f>IF(OR(P88="c",P88="C"),+T88,"")</f>
        <v/>
      </c>
      <c r="S88" s="96" t="str">
        <f>IF(OR(P88="$",N88=1),+T88,"")</f>
        <v/>
      </c>
      <c r="T88" s="127">
        <f>H88*[0]!FMainPool1Fee+I88*[0]!FMainPool2Fee+J88*[0]!FMainPool3Fee+K88*[0]!FMainPool4Fee+B88*[0]!FMainEntryFee</f>
        <v>0</v>
      </c>
      <c r="U88" s="128"/>
      <c r="V88" s="129"/>
      <c r="W88" s="66"/>
      <c r="X88" s="97"/>
      <c r="Y88" s="97"/>
      <c r="Z88" s="98"/>
    </row>
    <row r="89" spans="1:26" ht="18">
      <c r="A89" s="88">
        <f t="shared" si="3"/>
        <v>78</v>
      </c>
      <c r="B89" s="89"/>
      <c r="C89" s="99" t="s">
        <v>662</v>
      </c>
      <c r="D89" s="99" t="s">
        <v>660</v>
      </c>
      <c r="E89" s="66" t="s">
        <v>663</v>
      </c>
      <c r="F89" s="108">
        <v>5309277048</v>
      </c>
      <c r="G89" s="113" t="s">
        <v>664</v>
      </c>
      <c r="H89" s="94"/>
      <c r="I89" s="89"/>
      <c r="J89" s="89"/>
      <c r="K89" s="89"/>
      <c r="L89" s="89"/>
      <c r="M89" s="89"/>
      <c r="N89" s="89"/>
      <c r="O89" s="95">
        <f>T89*N89</f>
        <v>0</v>
      </c>
      <c r="P89" s="89"/>
      <c r="Q89" s="89"/>
      <c r="R89" s="96" t="str">
        <f>IF(OR(P89="c",P89="C"),+T89,"")</f>
        <v/>
      </c>
      <c r="S89" s="96" t="str">
        <f>IF(OR(P89="$",N89=1),+T89,"")</f>
        <v/>
      </c>
      <c r="T89" s="127">
        <f>H89*[0]!FMainPool1Fee+I89*[0]!FMainPool2Fee+J89*[0]!FMainPool3Fee+K89*[0]!FMainPool4Fee+B89*[0]!FMainEntryFee</f>
        <v>0</v>
      </c>
      <c r="U89" s="128"/>
      <c r="V89" s="129"/>
      <c r="W89" s="66"/>
      <c r="X89" s="97"/>
      <c r="Y89" s="97"/>
      <c r="Z89" s="98"/>
    </row>
    <row r="90" spans="1:26" ht="18">
      <c r="A90" s="88">
        <f t="shared" si="3"/>
        <v>79</v>
      </c>
      <c r="B90" s="89"/>
      <c r="C90" s="90" t="s">
        <v>132</v>
      </c>
      <c r="D90" s="90" t="s">
        <v>133</v>
      </c>
      <c r="E90" s="91" t="s">
        <v>223</v>
      </c>
      <c r="F90" s="92"/>
      <c r="G90" s="105" t="s">
        <v>350</v>
      </c>
      <c r="H90" s="94"/>
      <c r="I90" s="89"/>
      <c r="J90" s="89"/>
      <c r="K90" s="89"/>
      <c r="L90" s="89"/>
      <c r="M90" s="89"/>
      <c r="N90" s="89"/>
      <c r="O90" s="95">
        <f>T90*N90</f>
        <v>0</v>
      </c>
      <c r="P90" s="89"/>
      <c r="Q90" s="89"/>
      <c r="R90" s="96" t="str">
        <f>IF(OR(P90="c",P90="C"),+T90,"")</f>
        <v/>
      </c>
      <c r="S90" s="96" t="str">
        <f>IF(OR(P90="$",N90=1),+T90,"")</f>
        <v/>
      </c>
      <c r="T90" s="127">
        <f>H90*[0]!FMainPool1Fee+I90*[0]!FMainPool2Fee+J90*[0]!FMainPool3Fee+K90*[0]!FMainPool4Fee+B90*[0]!FMainEntryFee</f>
        <v>0</v>
      </c>
      <c r="U90" s="128"/>
      <c r="V90" s="129"/>
      <c r="W90" s="66"/>
      <c r="X90" s="97"/>
      <c r="Y90" s="97"/>
      <c r="Z90" s="98"/>
    </row>
    <row r="91" spans="1:26" ht="18">
      <c r="A91" s="88">
        <f t="shared" si="3"/>
        <v>80</v>
      </c>
      <c r="B91" s="89"/>
      <c r="C91" s="102" t="s">
        <v>56</v>
      </c>
      <c r="D91" s="102" t="s">
        <v>251</v>
      </c>
      <c r="E91" s="103" t="s">
        <v>204</v>
      </c>
      <c r="F91" s="107">
        <v>9166997163</v>
      </c>
      <c r="G91" s="93" t="s">
        <v>479</v>
      </c>
      <c r="H91" s="94"/>
      <c r="I91" s="89"/>
      <c r="J91" s="89"/>
      <c r="K91" s="89"/>
      <c r="L91" s="89"/>
      <c r="M91" s="89"/>
      <c r="N91" s="89"/>
      <c r="O91" s="95">
        <f>T91*N91</f>
        <v>0</v>
      </c>
      <c r="P91" s="89"/>
      <c r="Q91" s="89"/>
      <c r="R91" s="96" t="str">
        <f>IF(OR(P91="c",P91="C"),+T91,"")</f>
        <v/>
      </c>
      <c r="S91" s="96" t="str">
        <f>IF(OR(P91="$",N91=1),+T91,"")</f>
        <v/>
      </c>
      <c r="T91" s="127">
        <f>H91*[0]!FMainPool1Fee+I91*[0]!FMainPool2Fee+J91*[0]!FMainPool3Fee+K91*[0]!FMainPool4Fee+B91*[0]!FMainEntryFee</f>
        <v>0</v>
      </c>
      <c r="U91" s="128"/>
      <c r="V91" s="129"/>
      <c r="W91" s="66"/>
      <c r="X91" s="97"/>
      <c r="Y91" s="97"/>
      <c r="Z91" s="98"/>
    </row>
    <row r="92" spans="1:26" ht="18">
      <c r="A92" s="88">
        <f t="shared" si="3"/>
        <v>81</v>
      </c>
      <c r="B92" s="89"/>
      <c r="C92" s="99" t="s">
        <v>581</v>
      </c>
      <c r="D92" s="99" t="s">
        <v>9</v>
      </c>
      <c r="E92" s="66" t="s">
        <v>582</v>
      </c>
      <c r="F92" s="108"/>
      <c r="G92" s="93" t="s">
        <v>590</v>
      </c>
      <c r="H92" s="94"/>
      <c r="I92" s="89"/>
      <c r="J92" s="89"/>
      <c r="K92" s="89"/>
      <c r="L92" s="89"/>
      <c r="M92" s="89"/>
      <c r="N92" s="89"/>
      <c r="O92" s="95">
        <f>T92*N92</f>
        <v>0</v>
      </c>
      <c r="P92" s="89"/>
      <c r="Q92" s="89"/>
      <c r="R92" s="96" t="str">
        <f>IF(OR(P92="c",P92="C"),+T92,"")</f>
        <v/>
      </c>
      <c r="S92" s="96" t="str">
        <f>IF(OR(P92="$",N92=1),+T92,"")</f>
        <v/>
      </c>
      <c r="T92" s="127">
        <f>H92*[0]!FMainPool1Fee+I92*[0]!FMainPool2Fee+J92*[0]!FMainPool3Fee+K92*[0]!FMainPool4Fee+B92*[0]!FMainEntryFee</f>
        <v>0</v>
      </c>
      <c r="U92" s="128"/>
      <c r="V92" s="129"/>
      <c r="W92" s="66"/>
      <c r="X92" s="97"/>
      <c r="Y92" s="97"/>
      <c r="Z92" s="98"/>
    </row>
    <row r="93" spans="1:26" ht="18">
      <c r="A93" s="88">
        <f t="shared" si="3"/>
        <v>82</v>
      </c>
      <c r="B93" s="89"/>
      <c r="C93" s="99" t="s">
        <v>583</v>
      </c>
      <c r="D93" s="99" t="s">
        <v>7</v>
      </c>
      <c r="E93" s="66" t="s">
        <v>584</v>
      </c>
      <c r="F93" s="108"/>
      <c r="G93" s="93" t="s">
        <v>602</v>
      </c>
      <c r="H93" s="94"/>
      <c r="I93" s="89"/>
      <c r="J93" s="89"/>
      <c r="K93" s="89"/>
      <c r="L93" s="89"/>
      <c r="M93" s="89"/>
      <c r="N93" s="89"/>
      <c r="O93" s="95">
        <f>T93*N93</f>
        <v>0</v>
      </c>
      <c r="P93" s="89"/>
      <c r="Q93" s="89"/>
      <c r="R93" s="96" t="str">
        <f>IF(OR(P93="c",P93="C"),+T93,"")</f>
        <v/>
      </c>
      <c r="S93" s="96" t="str">
        <f>IF(OR(P93="$",N93=1),+T93,"")</f>
        <v/>
      </c>
      <c r="T93" s="127">
        <f>H93*[0]!FMainPool1Fee+I93*[0]!FMainPool2Fee+J93*[0]!FMainPool3Fee+K93*[0]!FMainPool4Fee+B93*[0]!FMainEntryFee</f>
        <v>0</v>
      </c>
      <c r="U93" s="128"/>
      <c r="V93" s="129"/>
      <c r="W93" s="66"/>
      <c r="X93" s="97"/>
      <c r="Y93" s="97"/>
      <c r="Z93" s="98"/>
    </row>
    <row r="94" spans="1:26" ht="18">
      <c r="A94" s="88">
        <f t="shared" si="3"/>
        <v>83</v>
      </c>
      <c r="B94" s="89">
        <v>1</v>
      </c>
      <c r="C94" s="105" t="s">
        <v>61</v>
      </c>
      <c r="D94" s="102" t="s">
        <v>62</v>
      </c>
      <c r="E94" s="103" t="s">
        <v>185</v>
      </c>
      <c r="F94" s="107">
        <v>5104613953</v>
      </c>
      <c r="G94" s="93" t="s">
        <v>480</v>
      </c>
      <c r="H94" s="94">
        <v>1</v>
      </c>
      <c r="I94" s="89">
        <v>1</v>
      </c>
      <c r="J94" s="89">
        <v>1</v>
      </c>
      <c r="K94" s="89">
        <v>1</v>
      </c>
      <c r="L94" s="89">
        <v>1</v>
      </c>
      <c r="M94" s="89"/>
      <c r="N94" s="89"/>
      <c r="O94" s="95">
        <f>T94*N94</f>
        <v>0</v>
      </c>
      <c r="P94" s="89" t="s">
        <v>741</v>
      </c>
      <c r="Q94" s="89"/>
      <c r="R94" s="96" t="str">
        <f>IF(OR(P94="c",P94="C"),+T94,"")</f>
        <v/>
      </c>
      <c r="S94" s="96">
        <f>IF(OR(P94="$",N94=1),+T94,"")</f>
        <v>160</v>
      </c>
      <c r="T94" s="127">
        <f>H94*[0]!FMainPool1Fee+I94*[0]!FMainPool2Fee+J94*[0]!FMainPool3Fee+K94*[0]!FMainPool4Fee+B94*[0]!FMainEntryFee</f>
        <v>160</v>
      </c>
      <c r="U94" s="128">
        <v>1</v>
      </c>
      <c r="V94" s="129"/>
      <c r="W94" s="66"/>
      <c r="X94" s="97"/>
      <c r="Y94" s="97"/>
      <c r="Z94" s="98" t="s">
        <v>750</v>
      </c>
    </row>
    <row r="95" spans="1:26" ht="18">
      <c r="A95" s="88">
        <f t="shared" si="3"/>
        <v>84</v>
      </c>
      <c r="B95" s="89"/>
      <c r="C95" s="90" t="s">
        <v>120</v>
      </c>
      <c r="D95" s="90" t="s">
        <v>108</v>
      </c>
      <c r="E95" s="91" t="s">
        <v>188</v>
      </c>
      <c r="F95" s="100"/>
      <c r="G95" s="105" t="s">
        <v>146</v>
      </c>
      <c r="H95" s="94"/>
      <c r="I95" s="89"/>
      <c r="J95" s="89"/>
      <c r="K95" s="89"/>
      <c r="L95" s="89"/>
      <c r="M95" s="89"/>
      <c r="N95" s="89"/>
      <c r="O95" s="95">
        <f>T95*N95</f>
        <v>0</v>
      </c>
      <c r="P95" s="89"/>
      <c r="Q95" s="89"/>
      <c r="R95" s="96" t="str">
        <f>IF(OR(P95="c",P95="C"),+T95,"")</f>
        <v/>
      </c>
      <c r="S95" s="96" t="str">
        <f>IF(OR(P95="$",N95=1),+T95,"")</f>
        <v/>
      </c>
      <c r="T95" s="127">
        <f>H95*[0]!FMainPool1Fee+I95*[0]!FMainPool2Fee+J95*[0]!FMainPool3Fee+K95*[0]!FMainPool4Fee+B95*[0]!FMainEntryFee</f>
        <v>0</v>
      </c>
      <c r="U95" s="128"/>
      <c r="V95" s="129"/>
      <c r="W95" s="66"/>
      <c r="X95" s="97"/>
      <c r="Y95" s="97"/>
      <c r="Z95" s="98"/>
    </row>
    <row r="96" spans="1:26" ht="18">
      <c r="A96" s="88">
        <f t="shared" si="3"/>
        <v>85</v>
      </c>
      <c r="B96" s="89"/>
      <c r="C96" s="102" t="s">
        <v>46</v>
      </c>
      <c r="D96" s="102" t="s">
        <v>47</v>
      </c>
      <c r="E96" s="103" t="s">
        <v>182</v>
      </c>
      <c r="F96" s="108" t="s">
        <v>481</v>
      </c>
      <c r="G96" s="105" t="s">
        <v>474</v>
      </c>
      <c r="H96" s="94"/>
      <c r="I96" s="89"/>
      <c r="J96" s="89"/>
      <c r="K96" s="89"/>
      <c r="L96" s="89"/>
      <c r="M96" s="89"/>
      <c r="N96" s="89"/>
      <c r="O96" s="95">
        <f>T96*N96</f>
        <v>0</v>
      </c>
      <c r="P96" s="89"/>
      <c r="Q96" s="89"/>
      <c r="R96" s="96" t="str">
        <f>IF(OR(P96="c",P96="C"),+T96,"")</f>
        <v/>
      </c>
      <c r="S96" s="96" t="str">
        <f>IF(OR(P96="$",N96=1),+T96,"")</f>
        <v/>
      </c>
      <c r="T96" s="127">
        <f>H96*[0]!FMainPool1Fee+I96*[0]!FMainPool2Fee+J96*[0]!FMainPool3Fee+K96*[0]!FMainPool4Fee+B96*[0]!FMainEntryFee</f>
        <v>0</v>
      </c>
      <c r="U96" s="128"/>
      <c r="V96" s="129"/>
      <c r="W96" s="66"/>
      <c r="X96" s="97"/>
      <c r="Y96" s="97"/>
      <c r="Z96" s="98"/>
    </row>
    <row r="97" spans="1:26" ht="18">
      <c r="A97" s="88">
        <f t="shared" si="3"/>
        <v>86</v>
      </c>
      <c r="B97" s="89">
        <v>1</v>
      </c>
      <c r="C97" s="90" t="s">
        <v>104</v>
      </c>
      <c r="D97" s="90" t="s">
        <v>317</v>
      </c>
      <c r="E97" s="91" t="s">
        <v>470</v>
      </c>
      <c r="F97" s="92">
        <v>7074223729</v>
      </c>
      <c r="G97" s="105" t="s">
        <v>143</v>
      </c>
      <c r="H97" s="94">
        <v>1</v>
      </c>
      <c r="I97" s="89"/>
      <c r="J97" s="89"/>
      <c r="K97" s="89"/>
      <c r="L97" s="89"/>
      <c r="M97" s="89"/>
      <c r="N97" s="89"/>
      <c r="O97" s="95">
        <f>T97*N97</f>
        <v>0</v>
      </c>
      <c r="P97" s="89" t="s">
        <v>692</v>
      </c>
      <c r="Q97" s="89">
        <v>122</v>
      </c>
      <c r="R97" s="96">
        <f>IF(OR(P97="c",P97="C"),+T97,"")</f>
        <v>80</v>
      </c>
      <c r="S97" s="96" t="str">
        <f>IF(OR(P97="$",N97=1),+T97,"")</f>
        <v/>
      </c>
      <c r="T97" s="127">
        <f>H97*[0]!FMainPool1Fee+I97*[0]!FMainPool2Fee+J97*[0]!FMainPool3Fee+K97*[0]!FMainPool4Fee+B97*[0]!FMainEntryFee</f>
        <v>80</v>
      </c>
      <c r="U97" s="128"/>
      <c r="V97" s="129"/>
      <c r="W97" s="66"/>
      <c r="X97" s="97"/>
      <c r="Y97" s="97">
        <v>1</v>
      </c>
      <c r="Z97" s="98"/>
    </row>
    <row r="98" spans="1:26" ht="18">
      <c r="A98" s="88">
        <f t="shared" si="3"/>
        <v>87</v>
      </c>
      <c r="B98" s="89"/>
      <c r="C98" s="90" t="s">
        <v>105</v>
      </c>
      <c r="D98" s="90" t="s">
        <v>106</v>
      </c>
      <c r="E98" s="91" t="s">
        <v>205</v>
      </c>
      <c r="F98" s="100"/>
      <c r="G98" s="105" t="s">
        <v>342</v>
      </c>
      <c r="H98" s="94"/>
      <c r="I98" s="89"/>
      <c r="J98" s="89"/>
      <c r="K98" s="89"/>
      <c r="L98" s="89"/>
      <c r="M98" s="89"/>
      <c r="N98" s="89"/>
      <c r="O98" s="95">
        <f>T98*N98</f>
        <v>0</v>
      </c>
      <c r="P98" s="89"/>
      <c r="Q98" s="89"/>
      <c r="R98" s="96" t="str">
        <f>IF(OR(P98="c",P98="C"),+T98,"")</f>
        <v/>
      </c>
      <c r="S98" s="96" t="str">
        <f>IF(OR(P98="$",N98=1),+T98,"")</f>
        <v/>
      </c>
      <c r="T98" s="127">
        <f>H98*[0]!FMainPool1Fee+I98*[0]!FMainPool2Fee+J98*[0]!FMainPool3Fee+K98*[0]!FMainPool4Fee+B98*[0]!FMainEntryFee</f>
        <v>0</v>
      </c>
      <c r="U98" s="128"/>
      <c r="V98" s="129"/>
      <c r="W98" s="66"/>
      <c r="X98" s="97"/>
      <c r="Y98" s="97"/>
      <c r="Z98" s="98"/>
    </row>
    <row r="99" spans="1:26" ht="18">
      <c r="A99" s="88">
        <f t="shared" si="3"/>
        <v>88</v>
      </c>
      <c r="B99" s="89">
        <v>1</v>
      </c>
      <c r="C99" s="90" t="s">
        <v>297</v>
      </c>
      <c r="D99" s="90" t="s">
        <v>298</v>
      </c>
      <c r="E99" s="91" t="s">
        <v>299</v>
      </c>
      <c r="F99" s="92">
        <v>9253604907</v>
      </c>
      <c r="G99" s="105" t="s">
        <v>351</v>
      </c>
      <c r="H99" s="94">
        <v>1</v>
      </c>
      <c r="I99" s="89">
        <v>1</v>
      </c>
      <c r="J99" s="89"/>
      <c r="K99" s="89"/>
      <c r="L99" s="89"/>
      <c r="M99" s="89"/>
      <c r="N99" s="89">
        <v>1</v>
      </c>
      <c r="O99" s="95">
        <f>T99*N99</f>
        <v>90</v>
      </c>
      <c r="P99" s="89" t="s">
        <v>741</v>
      </c>
      <c r="Q99" s="89"/>
      <c r="R99" s="96" t="str">
        <f>IF(OR(P99="c",P99="C"),+T99,"")</f>
        <v/>
      </c>
      <c r="S99" s="96">
        <f>IF(OR(P99="$",N99=1),+T99,"")</f>
        <v>90</v>
      </c>
      <c r="T99" s="127">
        <f>H99*[0]!FMainPool1Fee+I99*[0]!FMainPool2Fee+J99*[0]!FMainPool3Fee+K99*[0]!FMainPool4Fee+B99*[0]!FMainEntryFee</f>
        <v>90</v>
      </c>
      <c r="U99" s="128"/>
      <c r="V99" s="129"/>
      <c r="W99" s="66"/>
      <c r="X99" s="97">
        <v>1</v>
      </c>
      <c r="Y99" s="97"/>
      <c r="Z99" s="98"/>
    </row>
    <row r="100" spans="1:26" ht="18">
      <c r="A100" s="88">
        <f t="shared" si="3"/>
        <v>89</v>
      </c>
      <c r="B100" s="89"/>
      <c r="C100" s="102" t="s">
        <v>76</v>
      </c>
      <c r="D100" s="102" t="s">
        <v>77</v>
      </c>
      <c r="E100" s="103" t="s">
        <v>206</v>
      </c>
      <c r="F100" s="92"/>
      <c r="G100" s="105" t="s">
        <v>375</v>
      </c>
      <c r="H100" s="94"/>
      <c r="I100" s="89"/>
      <c r="J100" s="89"/>
      <c r="K100" s="89"/>
      <c r="L100" s="89"/>
      <c r="M100" s="89"/>
      <c r="N100" s="89"/>
      <c r="O100" s="95">
        <f>T100*N100</f>
        <v>0</v>
      </c>
      <c r="P100" s="89"/>
      <c r="Q100" s="89"/>
      <c r="R100" s="96" t="str">
        <f>IF(OR(P100="c",P100="C"),+T100,"")</f>
        <v/>
      </c>
      <c r="S100" s="96" t="str">
        <f>IF(OR(P100="$",N100=1),+T100,"")</f>
        <v/>
      </c>
      <c r="T100" s="127">
        <f>H100*[0]!FMainPool1Fee+I100*[0]!FMainPool2Fee+J100*[0]!FMainPool3Fee+K100*[0]!FMainPool4Fee+B100*[0]!FMainEntryFee</f>
        <v>0</v>
      </c>
      <c r="U100" s="128"/>
      <c r="V100" s="129"/>
      <c r="W100" s="66"/>
      <c r="X100" s="97"/>
      <c r="Y100" s="97"/>
      <c r="Z100" s="98"/>
    </row>
    <row r="101" spans="1:26" ht="18">
      <c r="A101" s="88">
        <f t="shared" si="3"/>
        <v>90</v>
      </c>
      <c r="B101" s="89">
        <v>1</v>
      </c>
      <c r="C101" s="90" t="s">
        <v>96</v>
      </c>
      <c r="D101" s="90" t="s">
        <v>97</v>
      </c>
      <c r="E101" s="91" t="s">
        <v>164</v>
      </c>
      <c r="F101" s="92">
        <v>5305180274</v>
      </c>
      <c r="G101" s="105" t="s">
        <v>125</v>
      </c>
      <c r="H101" s="94">
        <v>1</v>
      </c>
      <c r="I101" s="89">
        <v>1</v>
      </c>
      <c r="J101" s="89">
        <v>1</v>
      </c>
      <c r="K101" s="89"/>
      <c r="L101" s="89"/>
      <c r="M101" s="89"/>
      <c r="N101" s="89"/>
      <c r="O101" s="95">
        <f>T101*N101</f>
        <v>0</v>
      </c>
      <c r="P101" s="89" t="s">
        <v>692</v>
      </c>
      <c r="Q101" s="89">
        <v>7457</v>
      </c>
      <c r="R101" s="96">
        <f>IF(OR(P101="c",P101="C"),+T101,"")</f>
        <v>110</v>
      </c>
      <c r="S101" s="96" t="str">
        <f>IF(OR(P101="$",N101=1),+T101,"")</f>
        <v/>
      </c>
      <c r="T101" s="127">
        <f>H101*[0]!FMainPool1Fee+I101*[0]!FMainPool2Fee+J101*[0]!FMainPool3Fee+K101*[0]!FMainPool4Fee+B101*[0]!FMainEntryFee</f>
        <v>110</v>
      </c>
      <c r="U101" s="128"/>
      <c r="V101" s="129"/>
      <c r="W101" s="66">
        <v>1</v>
      </c>
      <c r="X101" s="97"/>
      <c r="Y101" s="97"/>
      <c r="Z101" s="98"/>
    </row>
    <row r="102" spans="1:26" ht="18">
      <c r="A102" s="88">
        <f t="shared" si="3"/>
        <v>91</v>
      </c>
      <c r="B102" s="89">
        <v>1</v>
      </c>
      <c r="C102" s="90" t="s">
        <v>410</v>
      </c>
      <c r="D102" s="90" t="s">
        <v>15</v>
      </c>
      <c r="E102" s="91" t="s">
        <v>409</v>
      </c>
      <c r="F102" s="92">
        <v>7079536818</v>
      </c>
      <c r="G102" s="93" t="s">
        <v>658</v>
      </c>
      <c r="H102" s="94">
        <v>1</v>
      </c>
      <c r="I102" s="89"/>
      <c r="J102" s="89">
        <v>1</v>
      </c>
      <c r="K102" s="89">
        <v>1</v>
      </c>
      <c r="L102" s="89"/>
      <c r="M102" s="89"/>
      <c r="N102" s="89"/>
      <c r="O102" s="95"/>
      <c r="P102" s="89" t="s">
        <v>741</v>
      </c>
      <c r="Q102" s="89"/>
      <c r="R102" s="96" t="str">
        <f>IF(OR(P102="c",P102="C"),+T102,"")</f>
        <v/>
      </c>
      <c r="S102" s="96">
        <f>IF(OR(P102="$",N102=1),+T102,"")</f>
        <v>150</v>
      </c>
      <c r="T102" s="127">
        <f>H102*[0]!FMainPool1Fee+I102*[0]!FMainPool2Fee+J102*[0]!FMainPool3Fee+K102*[0]!FMainPool4Fee+B102*[0]!FMainEntryFee</f>
        <v>150</v>
      </c>
      <c r="U102" s="128"/>
      <c r="V102" s="129"/>
      <c r="W102" s="66"/>
      <c r="X102" s="97"/>
      <c r="Y102" s="97">
        <v>1</v>
      </c>
      <c r="Z102" s="98" t="s">
        <v>742</v>
      </c>
    </row>
    <row r="103" spans="1:26" ht="18">
      <c r="A103" s="88">
        <f t="shared" ref="A103:A133" si="4">ROW() - ROW(FRegentiresEneteredHdr)</f>
        <v>92</v>
      </c>
      <c r="B103" s="89"/>
      <c r="C103" s="90" t="s">
        <v>107</v>
      </c>
      <c r="D103" s="90" t="s">
        <v>108</v>
      </c>
      <c r="E103" s="91" t="s">
        <v>183</v>
      </c>
      <c r="F103" s="92"/>
      <c r="G103" s="105" t="s">
        <v>142</v>
      </c>
      <c r="H103" s="94"/>
      <c r="I103" s="89"/>
      <c r="J103" s="89"/>
      <c r="K103" s="89"/>
      <c r="L103" s="89"/>
      <c r="M103" s="89"/>
      <c r="N103" s="89"/>
      <c r="O103" s="95">
        <f>T103*N103</f>
        <v>0</v>
      </c>
      <c r="P103" s="89"/>
      <c r="Q103" s="89"/>
      <c r="R103" s="96" t="str">
        <f>IF(OR(P103="c",P103="C"),+T103,"")</f>
        <v/>
      </c>
      <c r="S103" s="96" t="str">
        <f>IF(OR(P103="$",N103=1),+T103,"")</f>
        <v/>
      </c>
      <c r="T103" s="127">
        <f>H103*[0]!FMainPool1Fee+I103*[0]!FMainPool2Fee+J103*[0]!FMainPool3Fee+K103*[0]!FMainPool4Fee+B103*[0]!FMainEntryFee</f>
        <v>0</v>
      </c>
      <c r="U103" s="128"/>
      <c r="V103" s="129"/>
      <c r="W103" s="66"/>
      <c r="X103" s="97"/>
      <c r="Y103" s="97"/>
      <c r="Z103" s="98"/>
    </row>
    <row r="104" spans="1:26" ht="18">
      <c r="A104" s="88">
        <f t="shared" si="4"/>
        <v>93</v>
      </c>
      <c r="B104" s="89"/>
      <c r="C104" s="90" t="s">
        <v>141</v>
      </c>
      <c r="D104" s="90" t="s">
        <v>14</v>
      </c>
      <c r="E104" s="91" t="s">
        <v>184</v>
      </c>
      <c r="F104" s="92"/>
      <c r="G104" s="105" t="s">
        <v>227</v>
      </c>
      <c r="H104" s="94"/>
      <c r="I104" s="89"/>
      <c r="J104" s="89"/>
      <c r="K104" s="89"/>
      <c r="L104" s="89"/>
      <c r="M104" s="89"/>
      <c r="N104" s="89"/>
      <c r="O104" s="95">
        <f>T104*N104</f>
        <v>0</v>
      </c>
      <c r="P104" s="89"/>
      <c r="Q104" s="89"/>
      <c r="R104" s="96" t="str">
        <f>IF(OR(P104="c",P104="C"),+T104,"")</f>
        <v/>
      </c>
      <c r="S104" s="96" t="str">
        <f>IF(OR(P104="$",N104=1),+T104,"")</f>
        <v/>
      </c>
      <c r="T104" s="127">
        <f>H104*[0]!FMainPool1Fee+I104*[0]!FMainPool2Fee+J104*[0]!FMainPool3Fee+K104*[0]!FMainPool4Fee+B104*[0]!FMainEntryFee</f>
        <v>0</v>
      </c>
      <c r="U104" s="128"/>
      <c r="V104" s="129"/>
      <c r="W104" s="66"/>
      <c r="X104" s="97"/>
      <c r="Y104" s="97"/>
      <c r="Z104" s="98"/>
    </row>
    <row r="105" spans="1:26" ht="18">
      <c r="A105" s="88">
        <f t="shared" si="4"/>
        <v>94</v>
      </c>
      <c r="B105" s="89"/>
      <c r="C105" s="90" t="s">
        <v>241</v>
      </c>
      <c r="D105" s="90" t="s">
        <v>19</v>
      </c>
      <c r="E105" s="91" t="s">
        <v>242</v>
      </c>
      <c r="F105" s="108" t="s">
        <v>482</v>
      </c>
      <c r="G105" s="105" t="s">
        <v>474</v>
      </c>
      <c r="H105" s="94"/>
      <c r="I105" s="89"/>
      <c r="J105" s="89"/>
      <c r="K105" s="89"/>
      <c r="L105" s="89"/>
      <c r="M105" s="89"/>
      <c r="N105" s="89"/>
      <c r="O105" s="95">
        <f>T105*N105</f>
        <v>0</v>
      </c>
      <c r="P105" s="89"/>
      <c r="Q105" s="89"/>
      <c r="R105" s="96" t="str">
        <f>IF(OR(P105="c",P105="C"),+T105,"")</f>
        <v/>
      </c>
      <c r="S105" s="96" t="str">
        <f>IF(OR(P105="$",N105=1),+T105,"")</f>
        <v/>
      </c>
      <c r="T105" s="127">
        <f>H105*[0]!FMainPool1Fee+I105*[0]!FMainPool2Fee+J105*[0]!FMainPool3Fee+K105*[0]!FMainPool4Fee+B105*[0]!FMainEntryFee</f>
        <v>0</v>
      </c>
      <c r="U105" s="128"/>
      <c r="V105" s="129"/>
      <c r="W105" s="66"/>
      <c r="X105" s="97"/>
      <c r="Y105" s="97"/>
      <c r="Z105" s="98"/>
    </row>
    <row r="106" spans="1:26" ht="18">
      <c r="A106" s="88">
        <f t="shared" si="4"/>
        <v>95</v>
      </c>
      <c r="B106" s="89"/>
      <c r="C106" s="90" t="s">
        <v>102</v>
      </c>
      <c r="D106" s="90" t="s">
        <v>103</v>
      </c>
      <c r="E106" s="91" t="s">
        <v>207</v>
      </c>
      <c r="F106" s="92"/>
      <c r="G106" s="105" t="s">
        <v>377</v>
      </c>
      <c r="H106" s="94"/>
      <c r="I106" s="89"/>
      <c r="J106" s="89"/>
      <c r="K106" s="89"/>
      <c r="L106" s="89"/>
      <c r="M106" s="89"/>
      <c r="N106" s="89"/>
      <c r="O106" s="95">
        <f>T106*N106</f>
        <v>0</v>
      </c>
      <c r="P106" s="89"/>
      <c r="Q106" s="89"/>
      <c r="R106" s="96" t="str">
        <f>IF(OR(P106="c",P106="C"),+T106,"")</f>
        <v/>
      </c>
      <c r="S106" s="96" t="str">
        <f>IF(OR(P106="$",N106=1),+T106,"")</f>
        <v/>
      </c>
      <c r="T106" s="127">
        <f>H106*[0]!FMainPool1Fee+I106*[0]!FMainPool2Fee+J106*[0]!FMainPool3Fee+K106*[0]!FMainPool4Fee+B106*[0]!FMainEntryFee</f>
        <v>0</v>
      </c>
      <c r="U106" s="128"/>
      <c r="V106" s="129"/>
      <c r="W106" s="66"/>
      <c r="X106" s="97"/>
      <c r="Y106" s="97"/>
      <c r="Z106" s="98"/>
    </row>
    <row r="107" spans="1:26" ht="18">
      <c r="A107" s="88">
        <f t="shared" si="4"/>
        <v>96</v>
      </c>
      <c r="B107" s="89"/>
      <c r="C107" s="90" t="s">
        <v>322</v>
      </c>
      <c r="D107" s="90" t="s">
        <v>9</v>
      </c>
      <c r="E107" s="91" t="s">
        <v>323</v>
      </c>
      <c r="F107" s="92"/>
      <c r="G107" s="105" t="s">
        <v>352</v>
      </c>
      <c r="H107" s="94"/>
      <c r="I107" s="89"/>
      <c r="J107" s="89"/>
      <c r="K107" s="89"/>
      <c r="L107" s="89"/>
      <c r="M107" s="89"/>
      <c r="N107" s="89"/>
      <c r="O107" s="95">
        <f>T107*N107</f>
        <v>0</v>
      </c>
      <c r="P107" s="89"/>
      <c r="Q107" s="89"/>
      <c r="R107" s="96" t="str">
        <f>IF(OR(P107="c",P107="C"),+T107,"")</f>
        <v/>
      </c>
      <c r="S107" s="96" t="str">
        <f>IF(OR(P107="$",N107=1),+T107,"")</f>
        <v/>
      </c>
      <c r="T107" s="127">
        <f>H107*[0]!FMainPool1Fee+I107*[0]!FMainPool2Fee+J107*[0]!FMainPool3Fee+K107*[0]!FMainPool4Fee+B107*[0]!FMainEntryFee</f>
        <v>0</v>
      </c>
      <c r="U107" s="128"/>
      <c r="V107" s="129"/>
      <c r="W107" s="66"/>
      <c r="X107" s="97"/>
      <c r="Y107" s="97"/>
      <c r="Z107" s="98"/>
    </row>
    <row r="108" spans="1:26" ht="18">
      <c r="A108" s="88">
        <f t="shared" si="4"/>
        <v>97</v>
      </c>
      <c r="B108" s="89"/>
      <c r="C108" s="90" t="s">
        <v>420</v>
      </c>
      <c r="D108" s="90" t="s">
        <v>22</v>
      </c>
      <c r="E108" s="91" t="s">
        <v>445</v>
      </c>
      <c r="F108" s="108" t="s">
        <v>685</v>
      </c>
      <c r="G108" s="93" t="s">
        <v>483</v>
      </c>
      <c r="H108" s="94"/>
      <c r="I108" s="89"/>
      <c r="J108" s="89"/>
      <c r="K108" s="89"/>
      <c r="L108" s="89"/>
      <c r="M108" s="89"/>
      <c r="N108" s="89"/>
      <c r="O108" s="95">
        <f>T108*N108</f>
        <v>0</v>
      </c>
      <c r="P108" s="89"/>
      <c r="Q108" s="89"/>
      <c r="R108" s="96" t="str">
        <f>IF(OR(P108="c",P108="C"),+T108,"")</f>
        <v/>
      </c>
      <c r="S108" s="96" t="str">
        <f>IF(OR(P108="$",N108=1),+T108,"")</f>
        <v/>
      </c>
      <c r="T108" s="127">
        <f>H108*[0]!FMainPool1Fee+I108*[0]!FMainPool2Fee+J108*[0]!FMainPool3Fee+K108*[0]!FMainPool4Fee+B108*[0]!FMainEntryFee</f>
        <v>0</v>
      </c>
      <c r="U108" s="128"/>
      <c r="V108" s="129"/>
      <c r="W108" s="66"/>
      <c r="X108" s="97"/>
      <c r="Y108" s="97"/>
      <c r="Z108" s="98"/>
    </row>
    <row r="109" spans="1:26" ht="18">
      <c r="A109" s="88">
        <f t="shared" si="4"/>
        <v>98</v>
      </c>
      <c r="B109" s="89">
        <v>1</v>
      </c>
      <c r="C109" s="102" t="s">
        <v>31</v>
      </c>
      <c r="D109" s="102" t="s">
        <v>32</v>
      </c>
      <c r="E109" s="103" t="s">
        <v>179</v>
      </c>
      <c r="F109" s="107">
        <v>4084722020</v>
      </c>
      <c r="G109" s="93" t="s">
        <v>484</v>
      </c>
      <c r="H109" s="94">
        <v>1</v>
      </c>
      <c r="I109" s="89"/>
      <c r="J109" s="89"/>
      <c r="K109" s="89">
        <v>1</v>
      </c>
      <c r="L109" s="89"/>
      <c r="M109" s="89"/>
      <c r="N109" s="89"/>
      <c r="O109" s="95">
        <f>T109*N109</f>
        <v>0</v>
      </c>
      <c r="P109" s="89" t="s">
        <v>692</v>
      </c>
      <c r="Q109" s="89">
        <v>5302</v>
      </c>
      <c r="R109" s="96">
        <f>IF(OR(P109="c",P109="C"),+T109,"")</f>
        <v>130</v>
      </c>
      <c r="S109" s="96" t="str">
        <f>IF(OR(P109="$",N109=1),+T109,"")</f>
        <v/>
      </c>
      <c r="T109" s="127">
        <f>H109*[0]!FMainPool1Fee+I109*[0]!FMainPool2Fee+J109*[0]!FMainPool3Fee+K109*[0]!FMainPool4Fee+B109*[0]!FMainEntryFee</f>
        <v>130</v>
      </c>
      <c r="U109" s="128"/>
      <c r="V109" s="129"/>
      <c r="W109" s="66"/>
      <c r="X109" s="97"/>
      <c r="Y109" s="97" t="s">
        <v>776</v>
      </c>
      <c r="Z109" s="98"/>
    </row>
    <row r="110" spans="1:26" ht="18">
      <c r="A110" s="88">
        <f t="shared" si="4"/>
        <v>99</v>
      </c>
      <c r="B110" s="89"/>
      <c r="C110" s="90" t="s">
        <v>129</v>
      </c>
      <c r="D110" s="90" t="s">
        <v>130</v>
      </c>
      <c r="E110" s="91" t="s">
        <v>222</v>
      </c>
      <c r="F110" s="92"/>
      <c r="G110" s="105" t="s">
        <v>144</v>
      </c>
      <c r="H110" s="94"/>
      <c r="I110" s="89"/>
      <c r="J110" s="89"/>
      <c r="K110" s="89"/>
      <c r="L110" s="89"/>
      <c r="M110" s="89"/>
      <c r="N110" s="89"/>
      <c r="O110" s="95">
        <f>T110*N110</f>
        <v>0</v>
      </c>
      <c r="P110" s="89"/>
      <c r="Q110" s="89"/>
      <c r="R110" s="96" t="str">
        <f>IF(OR(P110="c",P110="C"),+T110,"")</f>
        <v/>
      </c>
      <c r="S110" s="96" t="str">
        <f>IF(OR(P110="$",N110=1),+T110,"")</f>
        <v/>
      </c>
      <c r="T110" s="127">
        <f>H110*[0]!FMainPool1Fee+I110*[0]!FMainPool2Fee+J110*[0]!FMainPool3Fee+K110*[0]!FMainPool4Fee+B110*[0]!FMainEntryFee</f>
        <v>0</v>
      </c>
      <c r="U110" s="128"/>
      <c r="V110" s="129"/>
      <c r="W110" s="66"/>
      <c r="X110" s="97"/>
      <c r="Y110" s="97"/>
      <c r="Z110" s="98"/>
    </row>
    <row r="111" spans="1:26" ht="18">
      <c r="A111" s="88">
        <f t="shared" si="4"/>
        <v>100</v>
      </c>
      <c r="B111" s="89"/>
      <c r="C111" s="102" t="s">
        <v>27</v>
      </c>
      <c r="D111" s="102" t="s">
        <v>28</v>
      </c>
      <c r="E111" s="103" t="s">
        <v>173</v>
      </c>
      <c r="F111" s="107"/>
      <c r="G111" s="105" t="s">
        <v>275</v>
      </c>
      <c r="H111" s="94"/>
      <c r="I111" s="89"/>
      <c r="J111" s="89"/>
      <c r="K111" s="89"/>
      <c r="L111" s="89"/>
      <c r="M111" s="89"/>
      <c r="N111" s="89"/>
      <c r="O111" s="95">
        <f>T111*N111</f>
        <v>0</v>
      </c>
      <c r="P111" s="89"/>
      <c r="Q111" s="89"/>
      <c r="R111" s="96" t="str">
        <f>IF(OR(P111="c",P111="C"),+T111,"")</f>
        <v/>
      </c>
      <c r="S111" s="96" t="str">
        <f>IF(OR(P111="$",N111=1),+T111,"")</f>
        <v/>
      </c>
      <c r="T111" s="127">
        <f>H111*[0]!FMainPool1Fee+I111*[0]!FMainPool2Fee+J111*[0]!FMainPool3Fee+K111*[0]!FMainPool4Fee+B111*[0]!FMainEntryFee</f>
        <v>0</v>
      </c>
      <c r="U111" s="128"/>
      <c r="V111" s="129"/>
      <c r="W111" s="66"/>
      <c r="X111" s="97"/>
      <c r="Y111" s="97"/>
      <c r="Z111" s="98"/>
    </row>
    <row r="112" spans="1:26" ht="18">
      <c r="A112" s="88">
        <f t="shared" si="4"/>
        <v>101</v>
      </c>
      <c r="B112" s="89">
        <v>1</v>
      </c>
      <c r="C112" s="90" t="s">
        <v>421</v>
      </c>
      <c r="D112" s="90" t="s">
        <v>317</v>
      </c>
      <c r="E112" s="91" t="s">
        <v>446</v>
      </c>
      <c r="F112" s="92">
        <v>9254579513</v>
      </c>
      <c r="G112" s="93" t="s">
        <v>485</v>
      </c>
      <c r="H112" s="94">
        <v>1</v>
      </c>
      <c r="I112" s="89"/>
      <c r="J112" s="89"/>
      <c r="K112" s="89"/>
      <c r="L112" s="89"/>
      <c r="M112" s="89"/>
      <c r="N112" s="89"/>
      <c r="O112" s="95">
        <f>T112*N112</f>
        <v>0</v>
      </c>
      <c r="P112" s="89" t="s">
        <v>692</v>
      </c>
      <c r="Q112" s="89">
        <v>678</v>
      </c>
      <c r="R112" s="96">
        <f>IF(OR(P112="c",P112="C"),+T112,"")</f>
        <v>80</v>
      </c>
      <c r="S112" s="96" t="str">
        <f>IF(OR(P112="$",N112=1),+T112,"")</f>
        <v/>
      </c>
      <c r="T112" s="127">
        <f>H112*[0]!FMainPool1Fee+I112*[0]!FMainPool2Fee+J112*[0]!FMainPool3Fee+K112*[0]!FMainPool4Fee+B112*[0]!FMainEntryFee</f>
        <v>80</v>
      </c>
      <c r="U112" s="128">
        <v>1</v>
      </c>
      <c r="V112" s="129"/>
      <c r="W112" s="66"/>
      <c r="X112" s="97"/>
      <c r="Y112" s="97"/>
      <c r="Z112" s="98"/>
    </row>
    <row r="113" spans="1:26" ht="18">
      <c r="A113" s="88">
        <f t="shared" si="4"/>
        <v>102</v>
      </c>
      <c r="B113" s="89"/>
      <c r="C113" s="102" t="s">
        <v>41</v>
      </c>
      <c r="D113" s="102" t="s">
        <v>42</v>
      </c>
      <c r="E113" s="120" t="s">
        <v>181</v>
      </c>
      <c r="F113" s="111"/>
      <c r="G113" s="115"/>
      <c r="H113" s="94"/>
      <c r="I113" s="89"/>
      <c r="J113" s="89"/>
      <c r="K113" s="89"/>
      <c r="L113" s="89"/>
      <c r="M113" s="89"/>
      <c r="N113" s="89"/>
      <c r="O113" s="95">
        <f>T113*N113</f>
        <v>0</v>
      </c>
      <c r="P113" s="89"/>
      <c r="Q113" s="89"/>
      <c r="R113" s="96" t="str">
        <f>IF(OR(P113="c",P113="C"),+T113,"")</f>
        <v/>
      </c>
      <c r="S113" s="96" t="str">
        <f>IF(OR(P113="$",N113=1),+T113,"")</f>
        <v/>
      </c>
      <c r="T113" s="127">
        <f>H113*[0]!FMainPool1Fee+I113*[0]!FMainPool2Fee+J113*[0]!FMainPool3Fee+K113*[0]!FMainPool4Fee+B113*[0]!FMainEntryFee</f>
        <v>0</v>
      </c>
      <c r="U113" s="128"/>
      <c r="V113" s="129"/>
      <c r="W113" s="66"/>
      <c r="X113" s="97"/>
      <c r="Y113" s="97"/>
      <c r="Z113" s="98"/>
    </row>
    <row r="114" spans="1:26" ht="18">
      <c r="A114" s="88">
        <f t="shared" si="4"/>
        <v>103</v>
      </c>
      <c r="B114" s="89"/>
      <c r="C114" s="102" t="s">
        <v>724</v>
      </c>
      <c r="D114" s="102" t="s">
        <v>725</v>
      </c>
      <c r="E114" s="66" t="s">
        <v>726</v>
      </c>
      <c r="F114" s="66" t="s">
        <v>728</v>
      </c>
      <c r="G114" s="99" t="s">
        <v>727</v>
      </c>
      <c r="H114" s="94"/>
      <c r="I114" s="89"/>
      <c r="J114" s="89"/>
      <c r="K114" s="89"/>
      <c r="L114" s="89"/>
      <c r="M114" s="89"/>
      <c r="N114" s="89"/>
      <c r="O114" s="95">
        <f>T114*N114</f>
        <v>0</v>
      </c>
      <c r="P114" s="89"/>
      <c r="Q114" s="89"/>
      <c r="R114" s="96" t="str">
        <f>IF(OR(P114="c",P114="C"),+T114,"")</f>
        <v/>
      </c>
      <c r="S114" s="96" t="str">
        <f>IF(OR(P114="$",N114=1),+T114,"")</f>
        <v/>
      </c>
      <c r="T114" s="127">
        <f>H114*[0]!FMainPool1Fee+I114*[0]!FMainPool2Fee+J114*[0]!FMainPool3Fee+K114*[0]!FMainPool4Fee+B114*[0]!FMainEntryFee</f>
        <v>0</v>
      </c>
      <c r="U114" s="128"/>
      <c r="V114" s="129"/>
      <c r="W114" s="66"/>
      <c r="X114" s="97"/>
      <c r="Y114" s="97"/>
      <c r="Z114" s="98"/>
    </row>
    <row r="115" spans="1:26" ht="18">
      <c r="A115" s="88">
        <f t="shared" si="4"/>
        <v>104</v>
      </c>
      <c r="B115" s="89"/>
      <c r="C115" s="90" t="s">
        <v>257</v>
      </c>
      <c r="D115" s="90" t="s">
        <v>258</v>
      </c>
      <c r="E115" s="91" t="s">
        <v>259</v>
      </c>
      <c r="F115" s="92"/>
      <c r="G115" s="105" t="s">
        <v>273</v>
      </c>
      <c r="H115" s="94"/>
      <c r="I115" s="89"/>
      <c r="J115" s="89"/>
      <c r="K115" s="89"/>
      <c r="L115" s="89"/>
      <c r="M115" s="89"/>
      <c r="N115" s="89"/>
      <c r="O115" s="95">
        <f>T115*N115</f>
        <v>0</v>
      </c>
      <c r="P115" s="89"/>
      <c r="Q115" s="89"/>
      <c r="R115" s="96" t="str">
        <f>IF(OR(P115="c",P115="C"),+T115,"")</f>
        <v/>
      </c>
      <c r="S115" s="96" t="str">
        <f>IF(OR(P115="$",N115=1),+T115,"")</f>
        <v/>
      </c>
      <c r="T115" s="127">
        <f>H115*[0]!FMainPool1Fee+I115*[0]!FMainPool2Fee+J115*[0]!FMainPool3Fee+K115*[0]!FMainPool4Fee+B115*[0]!FMainEntryFee</f>
        <v>0</v>
      </c>
      <c r="U115" s="128"/>
      <c r="V115" s="129"/>
      <c r="W115" s="66"/>
      <c r="X115" s="97"/>
      <c r="Y115" s="97"/>
      <c r="Z115" s="98"/>
    </row>
    <row r="116" spans="1:26" ht="18">
      <c r="A116" s="88">
        <f t="shared" si="4"/>
        <v>105</v>
      </c>
      <c r="B116" s="89"/>
      <c r="C116" s="99" t="s">
        <v>585</v>
      </c>
      <c r="D116" s="99" t="s">
        <v>277</v>
      </c>
      <c r="E116" s="66" t="s">
        <v>586</v>
      </c>
      <c r="F116" s="108"/>
      <c r="G116" s="105" t="s">
        <v>128</v>
      </c>
      <c r="H116" s="94"/>
      <c r="I116" s="89"/>
      <c r="J116" s="89"/>
      <c r="K116" s="89"/>
      <c r="L116" s="89"/>
      <c r="M116" s="89"/>
      <c r="N116" s="89"/>
      <c r="O116" s="95">
        <f>T116*N116</f>
        <v>0</v>
      </c>
      <c r="P116" s="89"/>
      <c r="Q116" s="89"/>
      <c r="R116" s="96" t="str">
        <f>IF(OR(P116="c",P116="C"),+T116,"")</f>
        <v/>
      </c>
      <c r="S116" s="96" t="str">
        <f>IF(OR(P116="$",N116=1),+T116,"")</f>
        <v/>
      </c>
      <c r="T116" s="127">
        <f>H116*[0]!FMainPool1Fee+I116*[0]!FMainPool2Fee+J116*[0]!FMainPool3Fee+K116*[0]!FMainPool4Fee+B116*[0]!FMainEntryFee</f>
        <v>0</v>
      </c>
      <c r="U116" s="128"/>
      <c r="V116" s="129"/>
      <c r="W116" s="66"/>
      <c r="X116" s="97"/>
      <c r="Y116" s="97"/>
      <c r="Z116" s="98"/>
    </row>
    <row r="117" spans="1:26" ht="18">
      <c r="A117" s="88">
        <f t="shared" si="4"/>
        <v>106</v>
      </c>
      <c r="B117" s="89"/>
      <c r="C117" s="90" t="s">
        <v>126</v>
      </c>
      <c r="D117" s="90" t="s">
        <v>127</v>
      </c>
      <c r="E117" s="91" t="s">
        <v>208</v>
      </c>
      <c r="F117" s="92"/>
      <c r="G117" s="105" t="s">
        <v>128</v>
      </c>
      <c r="H117" s="94"/>
      <c r="I117" s="89"/>
      <c r="J117" s="89"/>
      <c r="K117" s="89"/>
      <c r="L117" s="89"/>
      <c r="M117" s="89"/>
      <c r="N117" s="89"/>
      <c r="O117" s="95">
        <f>T117*N117</f>
        <v>0</v>
      </c>
      <c r="P117" s="89"/>
      <c r="Q117" s="89"/>
      <c r="R117" s="96" t="str">
        <f>IF(OR(P117="c",P117="C"),+T117,"")</f>
        <v/>
      </c>
      <c r="S117" s="96" t="str">
        <f>IF(OR(P117="$",N117=1),+T117,"")</f>
        <v/>
      </c>
      <c r="T117" s="127">
        <f>H117*[0]!FMainPool1Fee+I117*[0]!FMainPool2Fee+J117*[0]!FMainPool3Fee+K117*[0]!FMainPool4Fee+B117*[0]!FMainEntryFee</f>
        <v>0</v>
      </c>
      <c r="U117" s="128"/>
      <c r="V117" s="129"/>
      <c r="W117" s="66"/>
      <c r="X117" s="97"/>
      <c r="Y117" s="97"/>
      <c r="Z117" s="98"/>
    </row>
    <row r="118" spans="1:26" ht="18">
      <c r="A118" s="88">
        <f t="shared" si="4"/>
        <v>107</v>
      </c>
      <c r="B118" s="89"/>
      <c r="C118" s="102" t="s">
        <v>35</v>
      </c>
      <c r="D118" s="102" t="s">
        <v>36</v>
      </c>
      <c r="E118" s="103" t="s">
        <v>196</v>
      </c>
      <c r="F118" s="107"/>
      <c r="G118" s="105" t="s">
        <v>228</v>
      </c>
      <c r="H118" s="94"/>
      <c r="I118" s="89"/>
      <c r="J118" s="89"/>
      <c r="K118" s="89"/>
      <c r="L118" s="89"/>
      <c r="M118" s="89"/>
      <c r="N118" s="89"/>
      <c r="O118" s="95">
        <f>T118*N118</f>
        <v>0</v>
      </c>
      <c r="P118" s="89"/>
      <c r="Q118" s="89"/>
      <c r="R118" s="96" t="str">
        <f>IF(OR(P118="c",P118="C"),+T118,"")</f>
        <v/>
      </c>
      <c r="S118" s="96" t="str">
        <f>IF(OR(P118="$",N118=1),+T118,"")</f>
        <v/>
      </c>
      <c r="T118" s="127">
        <f>H118*[0]!FMainPool1Fee+I118*[0]!FMainPool2Fee+J118*[0]!FMainPool3Fee+K118*[0]!FMainPool4Fee+B118*[0]!FMainEntryFee</f>
        <v>0</v>
      </c>
      <c r="U118" s="128"/>
      <c r="V118" s="129"/>
      <c r="W118" s="66"/>
      <c r="X118" s="97"/>
      <c r="Y118" s="97"/>
      <c r="Z118" s="98"/>
    </row>
    <row r="119" spans="1:26" ht="18">
      <c r="A119" s="88">
        <f t="shared" si="4"/>
        <v>108</v>
      </c>
      <c r="B119" s="89"/>
      <c r="C119" s="90" t="s">
        <v>121</v>
      </c>
      <c r="D119" s="90" t="s">
        <v>122</v>
      </c>
      <c r="E119" s="91" t="s">
        <v>161</v>
      </c>
      <c r="F119" s="92"/>
      <c r="G119" s="105"/>
      <c r="H119" s="94"/>
      <c r="I119" s="89"/>
      <c r="J119" s="89"/>
      <c r="K119" s="89"/>
      <c r="L119" s="89"/>
      <c r="M119" s="89"/>
      <c r="N119" s="89"/>
      <c r="O119" s="95">
        <f>T119*N119</f>
        <v>0</v>
      </c>
      <c r="P119" s="89"/>
      <c r="Q119" s="89"/>
      <c r="R119" s="96" t="str">
        <f>IF(OR(P119="c",P119="C"),+T119,"")</f>
        <v/>
      </c>
      <c r="S119" s="96" t="str">
        <f>IF(OR(P119="$",N119=1),+T119,"")</f>
        <v/>
      </c>
      <c r="T119" s="127">
        <f>H119*[0]!FMainPool1Fee+I119*[0]!FMainPool2Fee+J119*[0]!FMainPool3Fee+K119*[0]!FMainPool4Fee+B119*[0]!FMainEntryFee</f>
        <v>0</v>
      </c>
      <c r="U119" s="128"/>
      <c r="V119" s="129"/>
      <c r="W119" s="66"/>
      <c r="X119" s="97"/>
      <c r="Y119" s="97"/>
      <c r="Z119" s="98"/>
    </row>
    <row r="120" spans="1:26" ht="18">
      <c r="A120" s="88">
        <f t="shared" si="4"/>
        <v>109</v>
      </c>
      <c r="B120" s="89">
        <v>1</v>
      </c>
      <c r="C120" s="90" t="s">
        <v>313</v>
      </c>
      <c r="D120" s="90" t="s">
        <v>314</v>
      </c>
      <c r="E120" s="91" t="s">
        <v>315</v>
      </c>
      <c r="F120" s="100">
        <v>5106819675</v>
      </c>
      <c r="G120" s="93" t="s">
        <v>486</v>
      </c>
      <c r="H120" s="94"/>
      <c r="I120" s="89"/>
      <c r="J120" s="89"/>
      <c r="K120" s="89"/>
      <c r="L120" s="89"/>
      <c r="M120" s="89"/>
      <c r="N120" s="89"/>
      <c r="O120" s="95">
        <f>T120*N120</f>
        <v>0</v>
      </c>
      <c r="P120" s="89" t="s">
        <v>741</v>
      </c>
      <c r="Q120" s="89"/>
      <c r="R120" s="96" t="str">
        <f>IF(OR(P120="c",P120="C"),+T120,"")</f>
        <v/>
      </c>
      <c r="S120" s="96">
        <f>IF(OR(P120="$",N120=1),+T120,"")</f>
        <v>70</v>
      </c>
      <c r="T120" s="127">
        <f>H120*[0]!FMainPool1Fee+I120*[0]!FMainPool2Fee+J120*[0]!FMainPool3Fee+K120*[0]!FMainPool4Fee+B120*[0]!FMainEntryFee</f>
        <v>70</v>
      </c>
      <c r="U120" s="128"/>
      <c r="V120" s="129"/>
      <c r="W120" s="66"/>
      <c r="X120" s="97">
        <v>1</v>
      </c>
      <c r="Y120" s="97"/>
      <c r="Z120" s="98" t="s">
        <v>742</v>
      </c>
    </row>
    <row r="121" spans="1:26" ht="18">
      <c r="A121" s="88">
        <f t="shared" si="4"/>
        <v>110</v>
      </c>
      <c r="B121" s="89">
        <v>1</v>
      </c>
      <c r="C121" s="90" t="s">
        <v>116</v>
      </c>
      <c r="D121" s="90" t="s">
        <v>117</v>
      </c>
      <c r="E121" s="91" t="s">
        <v>209</v>
      </c>
      <c r="F121" s="109">
        <v>8313200940</v>
      </c>
      <c r="G121" s="105" t="s">
        <v>353</v>
      </c>
      <c r="H121" s="94"/>
      <c r="I121" s="89"/>
      <c r="J121" s="89"/>
      <c r="K121" s="89"/>
      <c r="L121" s="89"/>
      <c r="M121" s="89">
        <v>1</v>
      </c>
      <c r="N121" s="89"/>
      <c r="O121" s="95">
        <f>T121*N121</f>
        <v>0</v>
      </c>
      <c r="P121" s="89" t="s">
        <v>692</v>
      </c>
      <c r="Q121" s="89">
        <v>5112</v>
      </c>
      <c r="R121" s="96">
        <f>IF(OR(P121="c",P121="C"),+T121,"")</f>
        <v>70</v>
      </c>
      <c r="S121" s="96" t="str">
        <f>IF(OR(P121="$",N121=1),+T121,"")</f>
        <v/>
      </c>
      <c r="T121" s="127">
        <f>H121*[0]!FMainPool1Fee+I121*[0]!FMainPool2Fee+J121*[0]!FMainPool3Fee+K121*[0]!FMainPool4Fee+B121*[0]!FMainEntryFee</f>
        <v>70</v>
      </c>
      <c r="U121" s="128"/>
      <c r="V121" s="129"/>
      <c r="W121" s="66"/>
      <c r="X121" s="97"/>
      <c r="Y121" s="97">
        <v>1</v>
      </c>
      <c r="Z121" s="98"/>
    </row>
    <row r="122" spans="1:26" ht="18">
      <c r="A122" s="88">
        <f t="shared" si="4"/>
        <v>111</v>
      </c>
      <c r="B122" s="89"/>
      <c r="C122" s="102" t="s">
        <v>254</v>
      </c>
      <c r="D122" s="105" t="s">
        <v>256</v>
      </c>
      <c r="E122" s="103" t="s">
        <v>255</v>
      </c>
      <c r="F122" s="92"/>
      <c r="G122" s="105" t="s">
        <v>312</v>
      </c>
      <c r="H122" s="94"/>
      <c r="I122" s="89"/>
      <c r="J122" s="89"/>
      <c r="K122" s="89"/>
      <c r="L122" s="89"/>
      <c r="M122" s="89"/>
      <c r="N122" s="89"/>
      <c r="O122" s="95">
        <f>T122*N122</f>
        <v>0</v>
      </c>
      <c r="P122" s="89"/>
      <c r="Q122" s="89"/>
      <c r="R122" s="96" t="str">
        <f>IF(OR(P122="c",P122="C"),+T122,"")</f>
        <v/>
      </c>
      <c r="S122" s="96" t="str">
        <f>IF(OR(P122="$",N122=1),+T122,"")</f>
        <v/>
      </c>
      <c r="T122" s="127">
        <f>H122*[0]!FMainPool1Fee+I122*[0]!FMainPool2Fee+J122*[0]!FMainPool3Fee+K122*[0]!FMainPool4Fee+B122*[0]!FMainEntryFee</f>
        <v>0</v>
      </c>
      <c r="U122" s="128"/>
      <c r="V122" s="129"/>
      <c r="W122" s="66"/>
      <c r="X122" s="97"/>
      <c r="Y122" s="97"/>
      <c r="Z122" s="98"/>
    </row>
    <row r="123" spans="1:26" ht="18">
      <c r="A123" s="88">
        <f t="shared" si="4"/>
        <v>112</v>
      </c>
      <c r="B123" s="89">
        <v>1</v>
      </c>
      <c r="C123" s="102" t="s">
        <v>115</v>
      </c>
      <c r="D123" s="102" t="s">
        <v>45</v>
      </c>
      <c r="E123" s="103" t="s">
        <v>210</v>
      </c>
      <c r="F123" s="107">
        <v>9252504073</v>
      </c>
      <c r="G123" s="105" t="s">
        <v>378</v>
      </c>
      <c r="H123" s="94">
        <v>1</v>
      </c>
      <c r="I123" s="89">
        <v>1</v>
      </c>
      <c r="J123" s="89">
        <v>1</v>
      </c>
      <c r="K123" s="89"/>
      <c r="L123" s="89"/>
      <c r="M123" s="89"/>
      <c r="N123" s="89"/>
      <c r="O123" s="95">
        <f>T123*N123</f>
        <v>0</v>
      </c>
      <c r="P123" s="89" t="s">
        <v>692</v>
      </c>
      <c r="Q123" s="89">
        <v>2307</v>
      </c>
      <c r="R123" s="96">
        <f>IF(OR(P123="c",P123="C"),+T123,"")</f>
        <v>110</v>
      </c>
      <c r="S123" s="96" t="str">
        <f>IF(OR(P123="$",N123=1),+T123,"")</f>
        <v/>
      </c>
      <c r="T123" s="127">
        <f>H123*[0]!FMainPool1Fee+I123*[0]!FMainPool2Fee+J123*[0]!FMainPool3Fee+K123*[0]!FMainPool4Fee+B123*[0]!FMainEntryFee</f>
        <v>110</v>
      </c>
      <c r="U123" s="128"/>
      <c r="V123" s="129"/>
      <c r="W123" s="66"/>
      <c r="X123" s="97"/>
      <c r="Y123" s="97">
        <v>1</v>
      </c>
      <c r="Z123" s="98" t="s">
        <v>747</v>
      </c>
    </row>
    <row r="124" spans="1:26" ht="18">
      <c r="A124" s="88">
        <f t="shared" si="4"/>
        <v>113</v>
      </c>
      <c r="B124" s="89">
        <v>1</v>
      </c>
      <c r="C124" s="99" t="s">
        <v>587</v>
      </c>
      <c r="D124" s="99" t="s">
        <v>588</v>
      </c>
      <c r="E124" s="66" t="s">
        <v>589</v>
      </c>
      <c r="F124" s="108">
        <v>8315959920</v>
      </c>
      <c r="G124" s="113" t="s">
        <v>674</v>
      </c>
      <c r="H124" s="94">
        <v>1</v>
      </c>
      <c r="I124" s="89"/>
      <c r="J124" s="89">
        <v>1</v>
      </c>
      <c r="K124" s="89"/>
      <c r="L124" s="89"/>
      <c r="M124" s="89"/>
      <c r="N124" s="89"/>
      <c r="O124" s="95"/>
      <c r="P124" s="89" t="s">
        <v>692</v>
      </c>
      <c r="Q124" s="89">
        <v>16750</v>
      </c>
      <c r="R124" s="96">
        <f>IF(OR(P124="c",P124="C"),+T124,"")</f>
        <v>100</v>
      </c>
      <c r="S124" s="96" t="str">
        <f>IF(OR(P124="$",N124=1),+T124,"")</f>
        <v/>
      </c>
      <c r="T124" s="127">
        <f>H124*[0]!FMainPool1Fee+I124*[0]!FMainPool2Fee+J124*[0]!FMainPool3Fee+K124*[0]!FMainPool4Fee+B124*[0]!FMainEntryFee</f>
        <v>100</v>
      </c>
      <c r="U124" s="128"/>
      <c r="V124" s="129"/>
      <c r="W124" s="66">
        <v>1</v>
      </c>
      <c r="X124" s="97"/>
      <c r="Y124" s="97"/>
      <c r="Z124" s="98"/>
    </row>
    <row r="125" spans="1:26" ht="18">
      <c r="A125" s="88">
        <f t="shared" si="4"/>
        <v>114</v>
      </c>
      <c r="B125" s="89"/>
      <c r="C125" s="102" t="s">
        <v>21</v>
      </c>
      <c r="D125" s="102" t="s">
        <v>22</v>
      </c>
      <c r="E125" s="103" t="s">
        <v>224</v>
      </c>
      <c r="F125" s="107"/>
      <c r="G125" s="105" t="s">
        <v>90</v>
      </c>
      <c r="H125" s="94"/>
      <c r="I125" s="89"/>
      <c r="J125" s="89"/>
      <c r="K125" s="89"/>
      <c r="L125" s="89"/>
      <c r="M125" s="89"/>
      <c r="N125" s="89"/>
      <c r="O125" s="95">
        <f>T125*N125</f>
        <v>0</v>
      </c>
      <c r="P125" s="89"/>
      <c r="Q125" s="89"/>
      <c r="R125" s="96" t="str">
        <f>IF(OR(P125="c",P125="C"),+T125,"")</f>
        <v/>
      </c>
      <c r="S125" s="96" t="str">
        <f>IF(OR(P125="$",N125=1),+T125,"")</f>
        <v/>
      </c>
      <c r="T125" s="127">
        <f>H125*[0]!FMainPool1Fee+I125*[0]!FMainPool2Fee+J125*[0]!FMainPool3Fee+K125*[0]!FMainPool4Fee+B125*[0]!FMainEntryFee</f>
        <v>0</v>
      </c>
      <c r="U125" s="128"/>
      <c r="V125" s="129"/>
      <c r="W125" s="66"/>
      <c r="X125" s="97"/>
      <c r="Y125" s="97"/>
      <c r="Z125" s="98"/>
    </row>
    <row r="126" spans="1:26" ht="18">
      <c r="A126" s="88">
        <f t="shared" si="4"/>
        <v>115</v>
      </c>
      <c r="B126" s="89">
        <v>1</v>
      </c>
      <c r="C126" s="90" t="s">
        <v>88</v>
      </c>
      <c r="D126" s="90" t="s">
        <v>89</v>
      </c>
      <c r="E126" s="91" t="s">
        <v>166</v>
      </c>
      <c r="F126" s="92">
        <v>7073494494</v>
      </c>
      <c r="G126" s="105" t="s">
        <v>91</v>
      </c>
      <c r="H126" s="94"/>
      <c r="I126" s="89"/>
      <c r="J126" s="89"/>
      <c r="K126" s="89"/>
      <c r="L126" s="89"/>
      <c r="M126" s="89"/>
      <c r="N126" s="89"/>
      <c r="O126" s="95">
        <f>T126*N126</f>
        <v>0</v>
      </c>
      <c r="P126" s="89" t="s">
        <v>692</v>
      </c>
      <c r="Q126" s="89">
        <v>1824</v>
      </c>
      <c r="R126" s="96">
        <f>IF(OR(P126="c",P126="C"),+T126,"")</f>
        <v>70</v>
      </c>
      <c r="S126" s="96" t="str">
        <f>IF(OR(P126="$",N126=1),+T126,"")</f>
        <v/>
      </c>
      <c r="T126" s="127">
        <f>H126*[0]!FMainPool1Fee+I126*[0]!FMainPool2Fee+J126*[0]!FMainPool3Fee+K126*[0]!FMainPool4Fee+B126*[0]!FMainEntryFee</f>
        <v>70</v>
      </c>
      <c r="U126" s="128"/>
      <c r="V126" s="129"/>
      <c r="W126" s="66"/>
      <c r="X126" s="97">
        <v>1</v>
      </c>
      <c r="Y126" s="97"/>
      <c r="Z126" s="98"/>
    </row>
    <row r="127" spans="1:26" ht="18">
      <c r="A127" s="88">
        <f t="shared" si="4"/>
        <v>116</v>
      </c>
      <c r="B127" s="89"/>
      <c r="C127" s="90" t="s">
        <v>134</v>
      </c>
      <c r="D127" s="90" t="s">
        <v>135</v>
      </c>
      <c r="E127" s="91" t="s">
        <v>175</v>
      </c>
      <c r="F127" s="92"/>
      <c r="G127" s="105"/>
      <c r="H127" s="94"/>
      <c r="I127" s="89"/>
      <c r="J127" s="89"/>
      <c r="K127" s="89"/>
      <c r="L127" s="89"/>
      <c r="M127" s="89"/>
      <c r="N127" s="89"/>
      <c r="O127" s="95">
        <f>T127*N127</f>
        <v>0</v>
      </c>
      <c r="P127" s="89"/>
      <c r="Q127" s="89"/>
      <c r="R127" s="96" t="str">
        <f>IF(OR(P127="c",P127="C"),+T127,"")</f>
        <v/>
      </c>
      <c r="S127" s="96" t="str">
        <f>IF(OR(P127="$",N127=1),+T127,"")</f>
        <v/>
      </c>
      <c r="T127" s="127">
        <f>H127*[0]!FMainPool1Fee+I127*[0]!FMainPool2Fee+J127*[0]!FMainPool3Fee+K127*[0]!FMainPool4Fee+B127*[0]!FMainEntryFee</f>
        <v>0</v>
      </c>
      <c r="U127" s="128"/>
      <c r="V127" s="129"/>
      <c r="W127" s="66"/>
      <c r="X127" s="97"/>
      <c r="Y127" s="97"/>
      <c r="Z127" s="98"/>
    </row>
    <row r="128" spans="1:26" ht="18">
      <c r="A128" s="88">
        <f t="shared" si="4"/>
        <v>117</v>
      </c>
      <c r="B128" s="89"/>
      <c r="C128" s="99" t="s">
        <v>591</v>
      </c>
      <c r="D128" s="99" t="s">
        <v>47</v>
      </c>
      <c r="E128" s="66" t="s">
        <v>592</v>
      </c>
      <c r="F128" s="108">
        <v>5104930824</v>
      </c>
      <c r="G128" s="113" t="s">
        <v>601</v>
      </c>
      <c r="H128" s="94"/>
      <c r="I128" s="89"/>
      <c r="J128" s="89"/>
      <c r="K128" s="89"/>
      <c r="L128" s="89"/>
      <c r="M128" s="89"/>
      <c r="N128" s="89"/>
      <c r="O128" s="95">
        <f>T128*N128</f>
        <v>0</v>
      </c>
      <c r="P128" s="89"/>
      <c r="Q128" s="89"/>
      <c r="R128" s="96" t="str">
        <f>IF(OR(P128="c",P128="C"),+T128,"")</f>
        <v/>
      </c>
      <c r="S128" s="96" t="str">
        <f>IF(OR(P128="$",N128=1),+T128,"")</f>
        <v/>
      </c>
      <c r="T128" s="127">
        <f>H128*[0]!FMainPool1Fee+I128*[0]!FMainPool2Fee+J128*[0]!FMainPool3Fee+K128*[0]!FMainPool4Fee+B128*[0]!FMainEntryFee</f>
        <v>0</v>
      </c>
      <c r="U128" s="128"/>
      <c r="V128" s="129"/>
      <c r="W128" s="66"/>
      <c r="X128" s="97"/>
      <c r="Y128" s="97"/>
      <c r="Z128" s="98"/>
    </row>
    <row r="129" spans="1:26" ht="18">
      <c r="A129" s="88">
        <f t="shared" si="4"/>
        <v>118</v>
      </c>
      <c r="B129" s="89"/>
      <c r="C129" s="90" t="s">
        <v>411</v>
      </c>
      <c r="D129" s="90" t="s">
        <v>394</v>
      </c>
      <c r="E129" s="91" t="s">
        <v>395</v>
      </c>
      <c r="F129" s="92"/>
      <c r="G129" s="105" t="s">
        <v>396</v>
      </c>
      <c r="H129" s="94"/>
      <c r="I129" s="89"/>
      <c r="J129" s="89"/>
      <c r="K129" s="89"/>
      <c r="L129" s="89"/>
      <c r="M129" s="89"/>
      <c r="N129" s="89"/>
      <c r="O129" s="95">
        <f>T129*N129</f>
        <v>0</v>
      </c>
      <c r="P129" s="89"/>
      <c r="Q129" s="89"/>
      <c r="R129" s="96" t="str">
        <f>IF(OR(P129="c",P129="C"),+T129,"")</f>
        <v/>
      </c>
      <c r="S129" s="96" t="str">
        <f>IF(OR(P129="$",N129=1),+T129,"")</f>
        <v/>
      </c>
      <c r="T129" s="127">
        <f>H129*[0]!FMainPool1Fee+I129*[0]!FMainPool2Fee+J129*[0]!FMainPool3Fee+K129*[0]!FMainPool4Fee+B129*[0]!FMainEntryFee</f>
        <v>0</v>
      </c>
      <c r="U129" s="128"/>
      <c r="V129" s="129"/>
      <c r="W129" s="66"/>
      <c r="X129" s="97"/>
      <c r="Y129" s="97"/>
      <c r="Z129" s="98"/>
    </row>
    <row r="130" spans="1:26" ht="18">
      <c r="A130" s="88">
        <f t="shared" si="4"/>
        <v>119</v>
      </c>
      <c r="B130" s="89"/>
      <c r="C130" s="102" t="s">
        <v>18</v>
      </c>
      <c r="D130" s="102" t="s">
        <v>19</v>
      </c>
      <c r="E130" s="103" t="s">
        <v>211</v>
      </c>
      <c r="F130" s="107"/>
      <c r="G130" s="105" t="s">
        <v>379</v>
      </c>
      <c r="H130" s="94"/>
      <c r="I130" s="89"/>
      <c r="J130" s="89"/>
      <c r="K130" s="89"/>
      <c r="L130" s="89"/>
      <c r="M130" s="89"/>
      <c r="N130" s="89"/>
      <c r="O130" s="95">
        <f>T130*N130</f>
        <v>0</v>
      </c>
      <c r="P130" s="89"/>
      <c r="Q130" s="89"/>
      <c r="R130" s="96" t="str">
        <f>IF(OR(P130="c",P130="C"),+T130,"")</f>
        <v/>
      </c>
      <c r="S130" s="96" t="str">
        <f>IF(OR(P130="$",N130=1),+T130,"")</f>
        <v/>
      </c>
      <c r="T130" s="127">
        <f>H130*[0]!FMainPool1Fee+I130*[0]!FMainPool2Fee+J130*[0]!FMainPool3Fee+K130*[0]!FMainPool4Fee+B130*[0]!FMainEntryFee</f>
        <v>0</v>
      </c>
      <c r="U130" s="128"/>
      <c r="V130" s="129"/>
      <c r="W130" s="66"/>
      <c r="X130" s="97"/>
      <c r="Y130" s="97"/>
      <c r="Z130" s="98"/>
    </row>
    <row r="131" spans="1:26" ht="18">
      <c r="A131" s="88">
        <f t="shared" si="4"/>
        <v>120</v>
      </c>
      <c r="B131" s="89"/>
      <c r="C131" s="102" t="s">
        <v>109</v>
      </c>
      <c r="D131" s="102" t="s">
        <v>110</v>
      </c>
      <c r="E131" s="103" t="s">
        <v>159</v>
      </c>
      <c r="F131" s="92">
        <v>8054556079</v>
      </c>
      <c r="G131" s="105" t="s">
        <v>150</v>
      </c>
      <c r="H131" s="94"/>
      <c r="I131" s="89"/>
      <c r="J131" s="89"/>
      <c r="K131" s="89"/>
      <c r="L131" s="89"/>
      <c r="M131" s="89"/>
      <c r="N131" s="89"/>
      <c r="O131" s="95">
        <f>T131*N131</f>
        <v>0</v>
      </c>
      <c r="P131" s="89"/>
      <c r="Q131" s="89"/>
      <c r="R131" s="96" t="str">
        <f>IF(OR(P131="c",P131="C"),+T131,"")</f>
        <v/>
      </c>
      <c r="S131" s="96" t="str">
        <f>IF(OR(P131="$",N131=1),+T131,"")</f>
        <v/>
      </c>
      <c r="T131" s="127">
        <f>H131*[0]!FMainPool1Fee+I131*[0]!FMainPool2Fee+J131*[0]!FMainPool3Fee+K131*[0]!FMainPool4Fee+B131*[0]!FMainEntryFee</f>
        <v>0</v>
      </c>
      <c r="U131" s="128"/>
      <c r="V131" s="129"/>
      <c r="W131" s="66"/>
      <c r="X131" s="97"/>
      <c r="Y131" s="97"/>
      <c r="Z131" s="98"/>
    </row>
    <row r="132" spans="1:26" ht="18">
      <c r="A132" s="88">
        <f t="shared" si="4"/>
        <v>121</v>
      </c>
      <c r="B132" s="89"/>
      <c r="C132" s="90" t="s">
        <v>252</v>
      </c>
      <c r="D132" s="90" t="s">
        <v>111</v>
      </c>
      <c r="E132" s="91" t="s">
        <v>253</v>
      </c>
      <c r="F132" s="100"/>
      <c r="G132" s="105" t="s">
        <v>369</v>
      </c>
      <c r="H132" s="94"/>
      <c r="I132" s="89"/>
      <c r="J132" s="89"/>
      <c r="K132" s="89"/>
      <c r="L132" s="89"/>
      <c r="M132" s="89"/>
      <c r="N132" s="89"/>
      <c r="O132" s="95">
        <f>T132*N132</f>
        <v>0</v>
      </c>
      <c r="P132" s="89"/>
      <c r="Q132" s="89"/>
      <c r="R132" s="96" t="str">
        <f>IF(OR(P132="c",P132="C"),+T132,"")</f>
        <v/>
      </c>
      <c r="S132" s="96" t="str">
        <f>IF(OR(P132="$",N132=1),+T132,"")</f>
        <v/>
      </c>
      <c r="T132" s="127">
        <f>H132*[0]!FMainPool1Fee+I132*[0]!FMainPool2Fee+J132*[0]!FMainPool3Fee+K132*[0]!FMainPool4Fee+B132*[0]!FMainEntryFee</f>
        <v>0</v>
      </c>
      <c r="U132" s="128"/>
      <c r="V132" s="129"/>
      <c r="W132" s="66"/>
      <c r="X132" s="97"/>
      <c r="Y132" s="97"/>
      <c r="Z132" s="98"/>
    </row>
    <row r="133" spans="1:26" ht="18">
      <c r="A133" s="88">
        <f t="shared" si="4"/>
        <v>122</v>
      </c>
      <c r="B133" s="89"/>
      <c r="C133" s="90" t="s">
        <v>453</v>
      </c>
      <c r="D133" s="121" t="s">
        <v>93</v>
      </c>
      <c r="E133" s="91" t="s">
        <v>454</v>
      </c>
      <c r="F133" s="108" t="s">
        <v>487</v>
      </c>
      <c r="G133" s="93" t="s">
        <v>488</v>
      </c>
      <c r="H133" s="94"/>
      <c r="I133" s="89"/>
      <c r="J133" s="89"/>
      <c r="K133" s="89"/>
      <c r="L133" s="89"/>
      <c r="M133" s="89"/>
      <c r="N133" s="89"/>
      <c r="O133" s="95">
        <f>T133*N133</f>
        <v>0</v>
      </c>
      <c r="P133" s="89"/>
      <c r="Q133" s="89"/>
      <c r="R133" s="96" t="str">
        <f>IF(OR(P133="c",P133="C"),+T133,"")</f>
        <v/>
      </c>
      <c r="S133" s="96" t="str">
        <f>IF(OR(P133="$",N133=1),+T133,"")</f>
        <v/>
      </c>
      <c r="T133" s="127">
        <f>H133*[0]!FMainPool1Fee+I133*[0]!FMainPool2Fee+J133*[0]!FMainPool3Fee+K133*[0]!FMainPool4Fee+B133*[0]!FMainEntryFee</f>
        <v>0</v>
      </c>
      <c r="U133" s="128"/>
      <c r="V133" s="129"/>
      <c r="W133" s="66"/>
      <c r="X133" s="97"/>
      <c r="Y133" s="97"/>
      <c r="Z133" s="98"/>
    </row>
    <row r="134" spans="1:26" ht="18">
      <c r="A134" s="88">
        <f t="shared" ref="A134:A162" si="5">ROW() - ROW(FRegentiresEneteredHdr)</f>
        <v>123</v>
      </c>
      <c r="B134" s="89"/>
      <c r="C134" s="90" t="s">
        <v>455</v>
      </c>
      <c r="D134" s="121" t="s">
        <v>93</v>
      </c>
      <c r="E134" s="91" t="s">
        <v>456</v>
      </c>
      <c r="F134" s="108" t="s">
        <v>487</v>
      </c>
      <c r="G134" s="93" t="s">
        <v>489</v>
      </c>
      <c r="H134" s="94"/>
      <c r="I134" s="89"/>
      <c r="J134" s="89"/>
      <c r="K134" s="89"/>
      <c r="L134" s="89"/>
      <c r="M134" s="89"/>
      <c r="N134" s="89"/>
      <c r="O134" s="95">
        <f>T134*N134</f>
        <v>0</v>
      </c>
      <c r="P134" s="89"/>
      <c r="Q134" s="89"/>
      <c r="R134" s="96" t="str">
        <f>IF(OR(P134="c",P134="C"),+T134,"")</f>
        <v/>
      </c>
      <c r="S134" s="96" t="str">
        <f>IF(OR(P134="$",N134=1),+T134,"")</f>
        <v/>
      </c>
      <c r="T134" s="127">
        <f>H134*[0]!FMainPool1Fee+I134*[0]!FMainPool2Fee+J134*[0]!FMainPool3Fee+K134*[0]!FMainPool4Fee+B134*[0]!FMainEntryFee</f>
        <v>0</v>
      </c>
      <c r="U134" s="128"/>
      <c r="V134" s="129"/>
      <c r="W134" s="66"/>
      <c r="X134" s="97"/>
      <c r="Y134" s="97"/>
      <c r="Z134" s="98"/>
    </row>
    <row r="135" spans="1:26" ht="18">
      <c r="A135" s="88">
        <f t="shared" si="5"/>
        <v>124</v>
      </c>
      <c r="B135" s="89"/>
      <c r="C135" s="90" t="s">
        <v>669</v>
      </c>
      <c r="D135" s="90" t="s">
        <v>5</v>
      </c>
      <c r="E135" s="91" t="s">
        <v>670</v>
      </c>
      <c r="F135" s="108">
        <v>7072279891</v>
      </c>
      <c r="G135" s="93" t="s">
        <v>671</v>
      </c>
      <c r="H135" s="94"/>
      <c r="I135" s="89"/>
      <c r="J135" s="89"/>
      <c r="K135" s="89"/>
      <c r="L135" s="89"/>
      <c r="M135" s="89"/>
      <c r="N135" s="89"/>
      <c r="O135" s="95">
        <f>T135*N135</f>
        <v>0</v>
      </c>
      <c r="P135" s="89"/>
      <c r="Q135" s="89"/>
      <c r="R135" s="96" t="str">
        <f>IF(OR(P135="c",P135="C"),+T135,"")</f>
        <v/>
      </c>
      <c r="S135" s="96" t="str">
        <f>IF(OR(P135="$",N135=1),+T135,"")</f>
        <v/>
      </c>
      <c r="T135" s="127">
        <f>H135*[0]!FMainPool1Fee+I135*[0]!FMainPool2Fee+J135*[0]!FMainPool3Fee+K135*[0]!FMainPool4Fee+B135*[0]!FMainEntryFee</f>
        <v>0</v>
      </c>
      <c r="U135" s="128"/>
      <c r="V135" s="129"/>
      <c r="W135" s="66"/>
      <c r="X135" s="97"/>
      <c r="Y135" s="97"/>
      <c r="Z135" s="98"/>
    </row>
    <row r="136" spans="1:26" ht="18">
      <c r="A136" s="88">
        <f t="shared" si="5"/>
        <v>125</v>
      </c>
      <c r="B136" s="89"/>
      <c r="C136" s="90" t="s">
        <v>267</v>
      </c>
      <c r="D136" s="90" t="s">
        <v>5</v>
      </c>
      <c r="E136" s="91" t="s">
        <v>268</v>
      </c>
      <c r="F136" s="92" t="s">
        <v>492</v>
      </c>
      <c r="G136" s="99" t="s">
        <v>493</v>
      </c>
      <c r="H136" s="94"/>
      <c r="I136" s="89"/>
      <c r="J136" s="89"/>
      <c r="K136" s="89"/>
      <c r="L136" s="89"/>
      <c r="M136" s="89"/>
      <c r="N136" s="89"/>
      <c r="O136" s="95">
        <f>T136*N136</f>
        <v>0</v>
      </c>
      <c r="P136" s="89"/>
      <c r="Q136" s="89"/>
      <c r="R136" s="96" t="str">
        <f>IF(OR(P136="c",P136="C"),+T136,"")</f>
        <v/>
      </c>
      <c r="S136" s="96" t="str">
        <f>IF(OR(P136="$",N136=1),+T136,"")</f>
        <v/>
      </c>
      <c r="T136" s="127">
        <f>H136*[0]!FMainPool1Fee+I136*[0]!FMainPool2Fee+J136*[0]!FMainPool3Fee+K136*[0]!FMainPool4Fee+B136*[0]!FMainEntryFee</f>
        <v>0</v>
      </c>
      <c r="U136" s="128"/>
      <c r="V136" s="129"/>
      <c r="W136" s="66"/>
      <c r="X136" s="97"/>
      <c r="Y136" s="97"/>
      <c r="Z136" s="98"/>
    </row>
    <row r="137" spans="1:26" ht="18">
      <c r="A137" s="88">
        <f t="shared" si="5"/>
        <v>126</v>
      </c>
      <c r="B137" s="89"/>
      <c r="C137" s="90" t="s">
        <v>343</v>
      </c>
      <c r="D137" s="90" t="s">
        <v>344</v>
      </c>
      <c r="E137" s="91" t="s">
        <v>345</v>
      </c>
      <c r="F137" s="92"/>
      <c r="G137" s="105" t="s">
        <v>354</v>
      </c>
      <c r="H137" s="94"/>
      <c r="I137" s="89"/>
      <c r="J137" s="89"/>
      <c r="K137" s="89"/>
      <c r="L137" s="89"/>
      <c r="M137" s="89"/>
      <c r="N137" s="89"/>
      <c r="O137" s="95">
        <f>T137*N137</f>
        <v>0</v>
      </c>
      <c r="P137" s="89"/>
      <c r="Q137" s="89"/>
      <c r="R137" s="96" t="str">
        <f>IF(OR(P137="c",P137="C"),+T137,"")</f>
        <v/>
      </c>
      <c r="S137" s="96" t="str">
        <f>IF(OR(P137="$",N137=1),+T137,"")</f>
        <v/>
      </c>
      <c r="T137" s="127">
        <f>H137*[0]!FMainPool1Fee+I137*[0]!FMainPool2Fee+J137*[0]!FMainPool3Fee+K137*[0]!FMainPool4Fee+B137*[0]!FMainEntryFee</f>
        <v>0</v>
      </c>
      <c r="U137" s="128"/>
      <c r="V137" s="129"/>
      <c r="W137" s="66"/>
      <c r="X137" s="97"/>
      <c r="Y137" s="97"/>
      <c r="Z137" s="98"/>
    </row>
    <row r="138" spans="1:26" ht="18">
      <c r="A138" s="88">
        <f t="shared" si="5"/>
        <v>127</v>
      </c>
      <c r="B138" s="89">
        <v>1</v>
      </c>
      <c r="C138" s="99" t="s">
        <v>593</v>
      </c>
      <c r="D138" s="99" t="s">
        <v>472</v>
      </c>
      <c r="E138" s="66" t="s">
        <v>596</v>
      </c>
      <c r="F138" s="108">
        <v>7078892101</v>
      </c>
      <c r="G138" s="99"/>
      <c r="H138" s="94"/>
      <c r="I138" s="89">
        <v>1</v>
      </c>
      <c r="J138" s="89">
        <v>1</v>
      </c>
      <c r="K138" s="89">
        <v>1</v>
      </c>
      <c r="L138" s="89"/>
      <c r="M138" s="89"/>
      <c r="N138" s="89">
        <v>1</v>
      </c>
      <c r="O138" s="95">
        <f>T138*N138</f>
        <v>150</v>
      </c>
      <c r="P138" s="89" t="s">
        <v>741</v>
      </c>
      <c r="Q138" s="89"/>
      <c r="R138" s="96" t="str">
        <f>IF(OR(P138="c",P138="C"),+T138,"")</f>
        <v/>
      </c>
      <c r="S138" s="96">
        <f>IF(OR(P138="$",N138=1),+T138,"")</f>
        <v>150</v>
      </c>
      <c r="T138" s="127">
        <f>H138*[0]!FMainPool1Fee+I138*[0]!FMainPool2Fee+J138*[0]!FMainPool3Fee+K138*[0]!FMainPool4Fee+B138*[0]!FMainEntryFee</f>
        <v>150</v>
      </c>
      <c r="U138" s="128">
        <v>1</v>
      </c>
      <c r="V138" s="129"/>
      <c r="W138" s="66"/>
      <c r="X138" s="97"/>
      <c r="Y138" s="97"/>
      <c r="Z138" s="98" t="s">
        <v>746</v>
      </c>
    </row>
    <row r="139" spans="1:26" ht="18">
      <c r="A139" s="88">
        <f t="shared" si="5"/>
        <v>128</v>
      </c>
      <c r="B139" s="89">
        <v>1</v>
      </c>
      <c r="C139" s="102" t="s">
        <v>64</v>
      </c>
      <c r="D139" s="102" t="s">
        <v>5</v>
      </c>
      <c r="E139" s="103" t="s">
        <v>714</v>
      </c>
      <c r="F139" s="107">
        <v>7072242345</v>
      </c>
      <c r="G139" s="105" t="s">
        <v>355</v>
      </c>
      <c r="H139" s="94">
        <v>1</v>
      </c>
      <c r="I139" s="89">
        <v>1</v>
      </c>
      <c r="J139" s="89">
        <v>1</v>
      </c>
      <c r="K139" s="89">
        <v>1</v>
      </c>
      <c r="L139" s="89">
        <v>1</v>
      </c>
      <c r="M139" s="89"/>
      <c r="N139" s="89"/>
      <c r="O139" s="95">
        <f>T139*N139</f>
        <v>0</v>
      </c>
      <c r="P139" s="89" t="s">
        <v>692</v>
      </c>
      <c r="Q139" s="89">
        <v>2615</v>
      </c>
      <c r="R139" s="96">
        <f>IF(OR(P139="c",P139="C"),+T139,"")</f>
        <v>160</v>
      </c>
      <c r="S139" s="96" t="str">
        <f>IF(OR(P139="$",N139=1),+T139,"")</f>
        <v/>
      </c>
      <c r="T139" s="127">
        <f>H139*[0]!FMainPool1Fee+I139*[0]!FMainPool2Fee+J139*[0]!FMainPool3Fee+K139*[0]!FMainPool4Fee+B139*[0]!FMainEntryFee</f>
        <v>160</v>
      </c>
      <c r="U139" s="128"/>
      <c r="V139" s="129"/>
      <c r="W139" s="66">
        <v>1</v>
      </c>
      <c r="X139" s="97"/>
      <c r="Y139" s="97"/>
      <c r="Z139" s="98" t="s">
        <v>763</v>
      </c>
    </row>
    <row r="140" spans="1:26" ht="18">
      <c r="A140" s="88">
        <f t="shared" si="5"/>
        <v>129</v>
      </c>
      <c r="B140" s="89"/>
      <c r="C140" s="90" t="s">
        <v>300</v>
      </c>
      <c r="D140" s="90" t="s">
        <v>301</v>
      </c>
      <c r="E140" s="91" t="s">
        <v>302</v>
      </c>
      <c r="F140" s="92"/>
      <c r="G140" s="105" t="s">
        <v>380</v>
      </c>
      <c r="H140" s="94"/>
      <c r="I140" s="89"/>
      <c r="J140" s="89"/>
      <c r="K140" s="89"/>
      <c r="L140" s="89"/>
      <c r="M140" s="89"/>
      <c r="N140" s="89"/>
      <c r="O140" s="95">
        <f>T140*N140</f>
        <v>0</v>
      </c>
      <c r="P140" s="89"/>
      <c r="Q140" s="89"/>
      <c r="R140" s="96" t="str">
        <f>IF(OR(P140="c",P140="C"),+T140,"")</f>
        <v/>
      </c>
      <c r="S140" s="96" t="str">
        <f>IF(OR(P140="$",N140=1),+T140,"")</f>
        <v/>
      </c>
      <c r="T140" s="127">
        <f>H140*[0]!FMainPool1Fee+I140*[0]!FMainPool2Fee+J140*[0]!FMainPool3Fee+K140*[0]!FMainPool4Fee+B140*[0]!FMainEntryFee</f>
        <v>0</v>
      </c>
      <c r="U140" s="128"/>
      <c r="V140" s="129"/>
      <c r="W140" s="66"/>
      <c r="X140" s="97"/>
      <c r="Y140" s="97"/>
      <c r="Z140" s="98"/>
    </row>
    <row r="141" spans="1:26" ht="18">
      <c r="A141" s="88">
        <f t="shared" si="5"/>
        <v>130</v>
      </c>
      <c r="B141" s="89"/>
      <c r="C141" s="102" t="s">
        <v>640</v>
      </c>
      <c r="D141" s="102" t="s">
        <v>251</v>
      </c>
      <c r="E141" s="103" t="s">
        <v>641</v>
      </c>
      <c r="F141" s="107">
        <v>9168330331</v>
      </c>
      <c r="G141" s="93" t="s">
        <v>642</v>
      </c>
      <c r="H141" s="94"/>
      <c r="I141" s="89"/>
      <c r="J141" s="89"/>
      <c r="K141" s="89"/>
      <c r="L141" s="89"/>
      <c r="M141" s="89"/>
      <c r="N141" s="89"/>
      <c r="O141" s="95">
        <f>T141*N141</f>
        <v>0</v>
      </c>
      <c r="P141" s="89"/>
      <c r="Q141" s="89"/>
      <c r="R141" s="96" t="str">
        <f>IF(OR(P141="c",P141="C"),+T141,"")</f>
        <v/>
      </c>
      <c r="S141" s="96" t="str">
        <f>IF(OR(P141="$",N141=1),+T141,"")</f>
        <v/>
      </c>
      <c r="T141" s="127">
        <f>H141*[0]!FMainPool1Fee+I141*[0]!FMainPool2Fee+J141*[0]!FMainPool3Fee+K141*[0]!FMainPool4Fee+B141*[0]!FMainEntryFee</f>
        <v>0</v>
      </c>
      <c r="U141" s="128"/>
      <c r="V141" s="129"/>
      <c r="W141" s="66"/>
      <c r="X141" s="97"/>
      <c r="Y141" s="97"/>
      <c r="Z141" s="98" t="s">
        <v>749</v>
      </c>
    </row>
    <row r="142" spans="1:26" ht="18">
      <c r="A142" s="88">
        <f t="shared" si="5"/>
        <v>131</v>
      </c>
      <c r="B142" s="89">
        <v>1</v>
      </c>
      <c r="C142" s="99" t="s">
        <v>594</v>
      </c>
      <c r="D142" s="99" t="s">
        <v>47</v>
      </c>
      <c r="E142" s="66" t="s">
        <v>595</v>
      </c>
      <c r="F142" s="108"/>
      <c r="G142" s="113" t="s">
        <v>600</v>
      </c>
      <c r="H142" s="94">
        <v>1</v>
      </c>
      <c r="I142" s="89"/>
      <c r="J142" s="89">
        <v>1</v>
      </c>
      <c r="K142" s="89"/>
      <c r="L142" s="89">
        <v>1</v>
      </c>
      <c r="M142" s="89"/>
      <c r="N142" s="89">
        <v>1</v>
      </c>
      <c r="O142" s="95">
        <f>T142*N142</f>
        <v>100</v>
      </c>
      <c r="P142" s="89" t="s">
        <v>741</v>
      </c>
      <c r="Q142" s="89"/>
      <c r="R142" s="96" t="str">
        <f>IF(OR(P142="c",P142="C"),+T142,"")</f>
        <v/>
      </c>
      <c r="S142" s="96">
        <f>IF(OR(P142="$",N142=1),+T142,"")</f>
        <v>100</v>
      </c>
      <c r="T142" s="127">
        <f>H142*[0]!FMainPool1Fee+I142*[0]!FMainPool2Fee+J142*[0]!FMainPool3Fee+K142*[0]!FMainPool4Fee+B142*[0]!FMainEntryFee</f>
        <v>100</v>
      </c>
      <c r="U142" s="128"/>
      <c r="V142" s="129"/>
      <c r="W142" s="66"/>
      <c r="X142" s="97"/>
      <c r="Y142" s="97">
        <v>1</v>
      </c>
      <c r="Z142" s="98" t="s">
        <v>807</v>
      </c>
    </row>
    <row r="143" spans="1:26" ht="18">
      <c r="A143" s="88">
        <f t="shared" si="5"/>
        <v>132</v>
      </c>
      <c r="B143" s="89"/>
      <c r="C143" s="99" t="s">
        <v>682</v>
      </c>
      <c r="D143" s="99" t="s">
        <v>256</v>
      </c>
      <c r="E143" s="66" t="s">
        <v>683</v>
      </c>
      <c r="F143" s="108">
        <v>9254081849</v>
      </c>
      <c r="G143" s="113" t="s">
        <v>684</v>
      </c>
      <c r="H143" s="94"/>
      <c r="I143" s="89"/>
      <c r="J143" s="89"/>
      <c r="K143" s="89"/>
      <c r="L143" s="89"/>
      <c r="M143" s="89"/>
      <c r="N143" s="89"/>
      <c r="O143" s="95">
        <f>T143*N143</f>
        <v>0</v>
      </c>
      <c r="P143" s="89"/>
      <c r="Q143" s="89"/>
      <c r="R143" s="96" t="str">
        <f>IF(OR(P143="c",P143="C"),+T143,"")</f>
        <v/>
      </c>
      <c r="S143" s="96" t="str">
        <f>IF(OR(P143="$",N143=1),+T143,"")</f>
        <v/>
      </c>
      <c r="T143" s="127">
        <f>H143*[0]!FMainPool1Fee+I143*[0]!FMainPool2Fee+J143*[0]!FMainPool3Fee+K143*[0]!FMainPool4Fee+B143*[0]!FMainEntryFee</f>
        <v>0</v>
      </c>
      <c r="U143" s="128"/>
      <c r="V143" s="129"/>
      <c r="W143" s="66"/>
      <c r="X143" s="97"/>
      <c r="Y143" s="97"/>
      <c r="Z143" s="98"/>
    </row>
    <row r="144" spans="1:26" ht="18">
      <c r="A144" s="88">
        <f t="shared" si="5"/>
        <v>133</v>
      </c>
      <c r="B144" s="89"/>
      <c r="C144" s="90" t="s">
        <v>398</v>
      </c>
      <c r="D144" s="90" t="s">
        <v>30</v>
      </c>
      <c r="E144" s="91" t="s">
        <v>399</v>
      </c>
      <c r="F144" s="92"/>
      <c r="G144" s="105" t="s">
        <v>400</v>
      </c>
      <c r="H144" s="94"/>
      <c r="I144" s="89"/>
      <c r="J144" s="89"/>
      <c r="K144" s="89"/>
      <c r="L144" s="89"/>
      <c r="M144" s="89"/>
      <c r="N144" s="89"/>
      <c r="O144" s="95">
        <f>T144*N144</f>
        <v>0</v>
      </c>
      <c r="P144" s="89"/>
      <c r="Q144" s="89"/>
      <c r="R144" s="96" t="str">
        <f>IF(OR(P144="c",P144="C"),+T144,"")</f>
        <v/>
      </c>
      <c r="S144" s="96" t="str">
        <f>IF(OR(P144="$",N144=1),+T144,"")</f>
        <v/>
      </c>
      <c r="T144" s="127">
        <f>H144*[0]!FMainPool1Fee+I144*[0]!FMainPool2Fee+J144*[0]!FMainPool3Fee+K144*[0]!FMainPool4Fee+B144*[0]!FMainEntryFee</f>
        <v>0</v>
      </c>
      <c r="U144" s="128"/>
      <c r="V144" s="129"/>
      <c r="W144" s="66"/>
      <c r="X144" s="97"/>
      <c r="Y144" s="97"/>
      <c r="Z144" s="98"/>
    </row>
    <row r="145" spans="1:26" ht="18">
      <c r="A145" s="88">
        <f t="shared" si="5"/>
        <v>134</v>
      </c>
      <c r="B145" s="89"/>
      <c r="C145" s="90" t="s">
        <v>366</v>
      </c>
      <c r="D145" s="90" t="s">
        <v>367</v>
      </c>
      <c r="E145" s="91"/>
      <c r="F145" s="100"/>
      <c r="G145" s="105" t="s">
        <v>368</v>
      </c>
      <c r="H145" s="94"/>
      <c r="I145" s="89"/>
      <c r="J145" s="89"/>
      <c r="K145" s="89"/>
      <c r="L145" s="89"/>
      <c r="M145" s="89"/>
      <c r="N145" s="89"/>
      <c r="O145" s="95">
        <f>T145*N145</f>
        <v>0</v>
      </c>
      <c r="P145" s="89"/>
      <c r="Q145" s="89"/>
      <c r="R145" s="96" t="str">
        <f>IF(OR(P145="c",P145="C"),+T145,"")</f>
        <v/>
      </c>
      <c r="S145" s="96" t="str">
        <f>IF(OR(P145="$",N145=1),+T145,"")</f>
        <v/>
      </c>
      <c r="T145" s="127">
        <f>H145*[0]!FMainPool1Fee+I145*[0]!FMainPool2Fee+J145*[0]!FMainPool3Fee+K145*[0]!FMainPool4Fee+B145*[0]!FMainEntryFee</f>
        <v>0</v>
      </c>
      <c r="U145" s="128"/>
      <c r="V145" s="129"/>
      <c r="W145" s="66"/>
      <c r="X145" s="97"/>
      <c r="Y145" s="97"/>
      <c r="Z145" s="98"/>
    </row>
    <row r="146" spans="1:26" ht="18">
      <c r="A146" s="88">
        <f t="shared" si="5"/>
        <v>135</v>
      </c>
      <c r="B146" s="89">
        <v>1</v>
      </c>
      <c r="C146" s="102" t="s">
        <v>72</v>
      </c>
      <c r="D146" s="102" t="s">
        <v>73</v>
      </c>
      <c r="E146" s="103" t="s">
        <v>169</v>
      </c>
      <c r="F146" s="107">
        <v>8315952169</v>
      </c>
      <c r="G146" s="105" t="s">
        <v>474</v>
      </c>
      <c r="H146" s="94">
        <v>1</v>
      </c>
      <c r="I146" s="89"/>
      <c r="J146" s="89">
        <v>1</v>
      </c>
      <c r="K146" s="89"/>
      <c r="L146" s="89"/>
      <c r="M146" s="89">
        <v>1</v>
      </c>
      <c r="N146" s="89"/>
      <c r="O146" s="95">
        <f>T146*N146</f>
        <v>0</v>
      </c>
      <c r="P146" s="89" t="s">
        <v>741</v>
      </c>
      <c r="Q146" s="89"/>
      <c r="R146" s="96" t="str">
        <f>IF(OR(P146="c",P146="C"),+T146,"")</f>
        <v/>
      </c>
      <c r="S146" s="96">
        <f>IF(OR(P146="$",N146=1),+T146,"")</f>
        <v>100</v>
      </c>
      <c r="T146" s="127">
        <f>H146*[0]!FMainPool1Fee+I146*[0]!FMainPool2Fee+J146*[0]!FMainPool3Fee+K146*[0]!FMainPool4Fee+B146*[0]!FMainEntryFee</f>
        <v>100</v>
      </c>
      <c r="U146" s="128"/>
      <c r="V146" s="129"/>
      <c r="W146" s="66">
        <v>1</v>
      </c>
      <c r="X146" s="97"/>
      <c r="Y146" s="97"/>
      <c r="Z146" s="98"/>
    </row>
    <row r="147" spans="1:26" ht="18">
      <c r="A147" s="88">
        <f t="shared" si="5"/>
        <v>136</v>
      </c>
      <c r="B147" s="89"/>
      <c r="C147" s="90" t="s">
        <v>154</v>
      </c>
      <c r="D147" s="90" t="s">
        <v>108</v>
      </c>
      <c r="E147" s="91" t="s">
        <v>195</v>
      </c>
      <c r="F147" s="92"/>
      <c r="G147" s="105" t="s">
        <v>381</v>
      </c>
      <c r="H147" s="94"/>
      <c r="I147" s="89"/>
      <c r="J147" s="89"/>
      <c r="K147" s="89"/>
      <c r="L147" s="89"/>
      <c r="M147" s="89"/>
      <c r="N147" s="89"/>
      <c r="O147" s="95">
        <f>T147*N147</f>
        <v>0</v>
      </c>
      <c r="P147" s="89"/>
      <c r="Q147" s="89"/>
      <c r="R147" s="96" t="str">
        <f>IF(OR(P147="c",P147="C"),+T147,"")</f>
        <v/>
      </c>
      <c r="S147" s="96" t="str">
        <f>IF(OR(P147="$",N147=1),+T147,"")</f>
        <v/>
      </c>
      <c r="T147" s="127">
        <f>H147*[0]!FMainPool1Fee+I147*[0]!FMainPool2Fee+J147*[0]!FMainPool3Fee+K147*[0]!FMainPool4Fee+B147*[0]!FMainEntryFee</f>
        <v>0</v>
      </c>
      <c r="U147" s="128"/>
      <c r="V147" s="129"/>
      <c r="W147" s="66"/>
      <c r="X147" s="97"/>
      <c r="Y147" s="97"/>
      <c r="Z147" s="98"/>
    </row>
    <row r="148" spans="1:26" ht="18">
      <c r="A148" s="88">
        <f t="shared" si="5"/>
        <v>137</v>
      </c>
      <c r="B148" s="89"/>
      <c r="C148" s="99" t="s">
        <v>597</v>
      </c>
      <c r="D148" s="99" t="s">
        <v>598</v>
      </c>
      <c r="E148" s="66" t="s">
        <v>584</v>
      </c>
      <c r="F148" s="108"/>
      <c r="G148" s="93" t="s">
        <v>599</v>
      </c>
      <c r="H148" s="94"/>
      <c r="I148" s="89"/>
      <c r="J148" s="89"/>
      <c r="K148" s="89"/>
      <c r="L148" s="89"/>
      <c r="M148" s="89"/>
      <c r="N148" s="89"/>
      <c r="O148" s="95">
        <f>T148*N148</f>
        <v>0</v>
      </c>
      <c r="P148" s="89"/>
      <c r="Q148" s="89"/>
      <c r="R148" s="96" t="str">
        <f>IF(OR(P148="c",P148="C"),+T148,"")</f>
        <v/>
      </c>
      <c r="S148" s="96" t="str">
        <f>IF(OR(P148="$",N148=1),+T148,"")</f>
        <v/>
      </c>
      <c r="T148" s="127">
        <f>H148*[0]!FMainPool1Fee+I148*[0]!FMainPool2Fee+J148*[0]!FMainPool3Fee+K148*[0]!FMainPool4Fee+B148*[0]!FMainEntryFee</f>
        <v>0</v>
      </c>
      <c r="U148" s="128"/>
      <c r="V148" s="129"/>
      <c r="W148" s="66"/>
      <c r="X148" s="97"/>
      <c r="Y148" s="97"/>
      <c r="Z148" s="98"/>
    </row>
    <row r="149" spans="1:26" ht="18">
      <c r="A149" s="88">
        <f t="shared" si="5"/>
        <v>138</v>
      </c>
      <c r="B149" s="89"/>
      <c r="C149" s="90" t="s">
        <v>364</v>
      </c>
      <c r="D149" s="90" t="s">
        <v>93</v>
      </c>
      <c r="E149" s="91"/>
      <c r="F149" s="92"/>
      <c r="G149" s="105" t="s">
        <v>365</v>
      </c>
      <c r="H149" s="94"/>
      <c r="I149" s="89"/>
      <c r="J149" s="89"/>
      <c r="K149" s="89"/>
      <c r="L149" s="89"/>
      <c r="M149" s="89"/>
      <c r="N149" s="89"/>
      <c r="O149" s="95">
        <f>T149*N149</f>
        <v>0</v>
      </c>
      <c r="P149" s="89"/>
      <c r="Q149" s="89"/>
      <c r="R149" s="96" t="str">
        <f>IF(OR(P149="c",P149="C"),+T149,"")</f>
        <v/>
      </c>
      <c r="S149" s="96" t="str">
        <f>IF(OR(P149="$",N149=1),+T149,"")</f>
        <v/>
      </c>
      <c r="T149" s="127">
        <f>H149*[0]!FMainPool1Fee+I149*[0]!FMainPool2Fee+J149*[0]!FMainPool3Fee+K149*[0]!FMainPool4Fee+B149*[0]!FMainEntryFee</f>
        <v>0</v>
      </c>
      <c r="U149" s="128"/>
      <c r="V149" s="129"/>
      <c r="W149" s="66"/>
      <c r="X149" s="97"/>
      <c r="Y149" s="97"/>
      <c r="Z149" s="98"/>
    </row>
    <row r="150" spans="1:26" ht="18">
      <c r="A150" s="88">
        <f t="shared" si="5"/>
        <v>139</v>
      </c>
      <c r="B150" s="89">
        <v>1</v>
      </c>
      <c r="C150" s="102" t="s">
        <v>24</v>
      </c>
      <c r="D150" s="102" t="s">
        <v>25</v>
      </c>
      <c r="E150" s="103" t="s">
        <v>174</v>
      </c>
      <c r="F150" s="107">
        <v>9253780132</v>
      </c>
      <c r="G150" s="105" t="s">
        <v>131</v>
      </c>
      <c r="H150" s="94">
        <v>1</v>
      </c>
      <c r="I150" s="89">
        <v>1</v>
      </c>
      <c r="J150" s="89">
        <v>1</v>
      </c>
      <c r="K150" s="89"/>
      <c r="L150" s="89"/>
      <c r="M150" s="89"/>
      <c r="N150" s="89"/>
      <c r="O150" s="95">
        <f>T150*N150</f>
        <v>0</v>
      </c>
      <c r="P150" s="89" t="s">
        <v>692</v>
      </c>
      <c r="Q150" s="89">
        <v>5549</v>
      </c>
      <c r="R150" s="96">
        <f>IF(OR(P150="c",P150="C"),+T150,"")</f>
        <v>110</v>
      </c>
      <c r="S150" s="96" t="str">
        <f>IF(OR(P150="$",N150=1),+T150,"")</f>
        <v/>
      </c>
      <c r="T150" s="127">
        <f>H150*[0]!FMainPool1Fee+I150*[0]!FMainPool2Fee+J150*[0]!FMainPool3Fee+K150*[0]!FMainPool4Fee+B150*[0]!FMainEntryFee</f>
        <v>110</v>
      </c>
      <c r="U150" s="128">
        <v>1</v>
      </c>
      <c r="V150" s="129"/>
      <c r="W150" s="66"/>
      <c r="X150" s="97"/>
      <c r="Y150" s="97"/>
      <c r="Z150" s="98"/>
    </row>
    <row r="151" spans="1:26" ht="18">
      <c r="A151" s="88">
        <f t="shared" si="5"/>
        <v>140</v>
      </c>
      <c r="B151" s="89"/>
      <c r="C151" s="102" t="s">
        <v>717</v>
      </c>
      <c r="D151" s="102" t="s">
        <v>718</v>
      </c>
      <c r="E151" s="103" t="s">
        <v>719</v>
      </c>
      <c r="F151" s="107">
        <v>6507733006</v>
      </c>
      <c r="G151" s="116" t="s">
        <v>720</v>
      </c>
      <c r="H151" s="94"/>
      <c r="I151" s="89"/>
      <c r="J151" s="89"/>
      <c r="K151" s="89"/>
      <c r="L151" s="89"/>
      <c r="M151" s="89"/>
      <c r="N151" s="89"/>
      <c r="O151" s="95">
        <f>T151*N151</f>
        <v>0</v>
      </c>
      <c r="P151" s="89"/>
      <c r="Q151" s="89"/>
      <c r="R151" s="96" t="str">
        <f>IF(OR(P151="c",P151="C"),+T151,"")</f>
        <v/>
      </c>
      <c r="S151" s="96" t="str">
        <f>IF(OR(P151="$",N151=1),+T151,"")</f>
        <v/>
      </c>
      <c r="T151" s="127">
        <f>H151*[0]!FMainPool1Fee+I151*[0]!FMainPool2Fee+J151*[0]!FMainPool3Fee+K151*[0]!FMainPool4Fee+B151*[0]!FMainEntryFee</f>
        <v>0</v>
      </c>
      <c r="U151" s="128"/>
      <c r="V151" s="129"/>
      <c r="W151" s="66"/>
      <c r="X151" s="97"/>
      <c r="Y151" s="97"/>
      <c r="Z151" s="98"/>
    </row>
    <row r="152" spans="1:26" ht="18">
      <c r="A152" s="88">
        <f t="shared" si="5"/>
        <v>141</v>
      </c>
      <c r="B152" s="89"/>
      <c r="C152" s="90" t="s">
        <v>422</v>
      </c>
      <c r="D152" s="90" t="s">
        <v>49</v>
      </c>
      <c r="E152" s="91" t="s">
        <v>423</v>
      </c>
      <c r="F152" s="92">
        <v>8057047967</v>
      </c>
      <c r="G152" s="105"/>
      <c r="H152" s="94"/>
      <c r="I152" s="89"/>
      <c r="J152" s="89"/>
      <c r="K152" s="89"/>
      <c r="L152" s="89"/>
      <c r="M152" s="89"/>
      <c r="N152" s="89"/>
      <c r="O152" s="95">
        <f>T152*N152</f>
        <v>0</v>
      </c>
      <c r="P152" s="89"/>
      <c r="Q152" s="89"/>
      <c r="R152" s="96" t="str">
        <f>IF(OR(P152="c",P152="C"),+T152,"")</f>
        <v/>
      </c>
      <c r="S152" s="96" t="str">
        <f>IF(OR(P152="$",N152=1),+T152,"")</f>
        <v/>
      </c>
      <c r="T152" s="127">
        <f>H152*[0]!FMainPool1Fee+I152*[0]!FMainPool2Fee+J152*[0]!FMainPool3Fee+K152*[0]!FMainPool4Fee+B152*[0]!FMainEntryFee</f>
        <v>0</v>
      </c>
      <c r="U152" s="128"/>
      <c r="V152" s="129"/>
      <c r="W152" s="66"/>
      <c r="X152" s="97"/>
      <c r="Y152" s="97"/>
      <c r="Z152" s="98"/>
    </row>
    <row r="153" spans="1:26" ht="18">
      <c r="A153" s="88">
        <f t="shared" si="5"/>
        <v>142</v>
      </c>
      <c r="B153" s="89"/>
      <c r="C153" s="102" t="s">
        <v>137</v>
      </c>
      <c r="D153" s="102" t="s">
        <v>12</v>
      </c>
      <c r="E153" s="103" t="s">
        <v>176</v>
      </c>
      <c r="F153" s="107"/>
      <c r="G153" s="105" t="s">
        <v>136</v>
      </c>
      <c r="H153" s="94"/>
      <c r="I153" s="89"/>
      <c r="J153" s="89"/>
      <c r="K153" s="89"/>
      <c r="L153" s="89"/>
      <c r="M153" s="89"/>
      <c r="N153" s="89"/>
      <c r="O153" s="95">
        <f>T153*N153</f>
        <v>0</v>
      </c>
      <c r="P153" s="89"/>
      <c r="Q153" s="89"/>
      <c r="R153" s="96" t="str">
        <f>IF(OR(P153="c",P153="C"),+T153,"")</f>
        <v/>
      </c>
      <c r="S153" s="96" t="str">
        <f>IF(OR(P153="$",N153=1),+T153,"")</f>
        <v/>
      </c>
      <c r="T153" s="127">
        <f>H153*[0]!FMainPool1Fee+I153*[0]!FMainPool2Fee+J153*[0]!FMainPool3Fee+K153*[0]!FMainPool4Fee+B153*[0]!FMainEntryFee</f>
        <v>0</v>
      </c>
      <c r="U153" s="128"/>
      <c r="V153" s="129"/>
      <c r="W153" s="66"/>
      <c r="X153" s="97"/>
      <c r="Y153" s="97"/>
      <c r="Z153" s="98"/>
    </row>
    <row r="154" spans="1:26" ht="18">
      <c r="A154" s="88">
        <f t="shared" si="5"/>
        <v>143</v>
      </c>
      <c r="B154" s="89"/>
      <c r="C154" s="90" t="s">
        <v>330</v>
      </c>
      <c r="D154" s="90" t="s">
        <v>331</v>
      </c>
      <c r="E154" s="91" t="s">
        <v>332</v>
      </c>
      <c r="F154" s="92"/>
      <c r="G154" s="105"/>
      <c r="H154" s="94"/>
      <c r="I154" s="89"/>
      <c r="J154" s="89"/>
      <c r="K154" s="89"/>
      <c r="L154" s="89"/>
      <c r="M154" s="89"/>
      <c r="N154" s="89"/>
      <c r="O154" s="95">
        <f>T154*N154</f>
        <v>0</v>
      </c>
      <c r="P154" s="89"/>
      <c r="Q154" s="89"/>
      <c r="R154" s="96" t="str">
        <f>IF(OR(P154="c",P154="C"),+T154,"")</f>
        <v/>
      </c>
      <c r="S154" s="96" t="str">
        <f>IF(OR(P154="$",N154=1),+T154,"")</f>
        <v/>
      </c>
      <c r="T154" s="127">
        <f>H154*[0]!FMainPool1Fee+I154*[0]!FMainPool2Fee+J154*[0]!FMainPool3Fee+K154*[0]!FMainPool4Fee+B154*[0]!FMainEntryFee</f>
        <v>0</v>
      </c>
      <c r="U154" s="128"/>
      <c r="V154" s="129"/>
      <c r="W154" s="66"/>
      <c r="X154" s="97"/>
      <c r="Y154" s="97"/>
      <c r="Z154" s="98"/>
    </row>
    <row r="155" spans="1:26" ht="18">
      <c r="A155" s="88">
        <f t="shared" si="5"/>
        <v>144</v>
      </c>
      <c r="B155" s="89"/>
      <c r="C155" s="102" t="s">
        <v>16</v>
      </c>
      <c r="D155" s="102" t="s">
        <v>15</v>
      </c>
      <c r="E155" s="103" t="s">
        <v>212</v>
      </c>
      <c r="F155" s="107"/>
      <c r="G155" s="105" t="s">
        <v>356</v>
      </c>
      <c r="H155" s="94"/>
      <c r="I155" s="89"/>
      <c r="J155" s="89"/>
      <c r="K155" s="89"/>
      <c r="L155" s="89"/>
      <c r="M155" s="89"/>
      <c r="N155" s="89"/>
      <c r="O155" s="95">
        <f>T155*N155</f>
        <v>0</v>
      </c>
      <c r="P155" s="89"/>
      <c r="Q155" s="89"/>
      <c r="R155" s="96" t="str">
        <f>IF(OR(P155="c",P155="C"),+T155,"")</f>
        <v/>
      </c>
      <c r="S155" s="96" t="str">
        <f>IF(OR(P155="$",N155=1),+T155,"")</f>
        <v/>
      </c>
      <c r="T155" s="127">
        <f>H155*[0]!FMainPool1Fee+I155*[0]!FMainPool2Fee+J155*[0]!FMainPool3Fee+K155*[0]!FMainPool4Fee+B155*[0]!FMainEntryFee</f>
        <v>0</v>
      </c>
      <c r="U155" s="128"/>
      <c r="V155" s="129"/>
      <c r="W155" s="66"/>
      <c r="X155" s="97"/>
      <c r="Y155" s="97"/>
      <c r="Z155" s="98"/>
    </row>
    <row r="156" spans="1:26" ht="18">
      <c r="A156" s="88">
        <f t="shared" si="5"/>
        <v>145</v>
      </c>
      <c r="B156" s="89"/>
      <c r="C156" s="90" t="s">
        <v>304</v>
      </c>
      <c r="D156" s="90" t="s">
        <v>305</v>
      </c>
      <c r="E156" s="91" t="s">
        <v>306</v>
      </c>
      <c r="F156" s="92"/>
      <c r="G156" s="105" t="s">
        <v>339</v>
      </c>
      <c r="H156" s="94"/>
      <c r="I156" s="89"/>
      <c r="J156" s="89"/>
      <c r="K156" s="89"/>
      <c r="L156" s="89"/>
      <c r="M156" s="89"/>
      <c r="N156" s="89"/>
      <c r="O156" s="95">
        <f>T156*N156</f>
        <v>0</v>
      </c>
      <c r="P156" s="89"/>
      <c r="Q156" s="89"/>
      <c r="R156" s="96" t="str">
        <f>IF(OR(P156="c",P156="C"),+T156,"")</f>
        <v/>
      </c>
      <c r="S156" s="96" t="str">
        <f>IF(OR(P156="$",N156=1),+T156,"")</f>
        <v/>
      </c>
      <c r="T156" s="127">
        <f>H156*[0]!FMainPool1Fee+I156*[0]!FMainPool2Fee+J156*[0]!FMainPool3Fee+K156*[0]!FMainPool4Fee+B156*[0]!FMainEntryFee</f>
        <v>0</v>
      </c>
      <c r="U156" s="128"/>
      <c r="V156" s="129"/>
      <c r="W156" s="66"/>
      <c r="X156" s="97"/>
      <c r="Y156" s="97"/>
      <c r="Z156" s="98"/>
    </row>
    <row r="157" spans="1:26" ht="18">
      <c r="A157" s="88">
        <f t="shared" si="5"/>
        <v>146</v>
      </c>
      <c r="B157" s="89"/>
      <c r="C157" s="90" t="s">
        <v>335</v>
      </c>
      <c r="D157" s="90" t="s">
        <v>277</v>
      </c>
      <c r="E157" s="91" t="s">
        <v>336</v>
      </c>
      <c r="F157" s="92"/>
      <c r="G157" s="105" t="s">
        <v>357</v>
      </c>
      <c r="H157" s="94"/>
      <c r="I157" s="89"/>
      <c r="J157" s="89"/>
      <c r="K157" s="89"/>
      <c r="L157" s="89"/>
      <c r="M157" s="89"/>
      <c r="N157" s="89"/>
      <c r="O157" s="95">
        <f>T157*N157</f>
        <v>0</v>
      </c>
      <c r="P157" s="89"/>
      <c r="Q157" s="89"/>
      <c r="R157" s="96" t="str">
        <f>IF(OR(P157="c",P157="C"),+T157,"")</f>
        <v/>
      </c>
      <c r="S157" s="96" t="str">
        <f>IF(OR(P157="$",N157=1),+T157,"")</f>
        <v/>
      </c>
      <c r="T157" s="127">
        <f>H157*[0]!FMainPool1Fee+I157*[0]!FMainPool2Fee+J157*[0]!FMainPool3Fee+K157*[0]!FMainPool4Fee+B157*[0]!FMainEntryFee</f>
        <v>0</v>
      </c>
      <c r="U157" s="128"/>
      <c r="V157" s="129"/>
      <c r="W157" s="66"/>
      <c r="X157" s="97"/>
      <c r="Y157" s="97"/>
      <c r="Z157" s="98"/>
    </row>
    <row r="158" spans="1:26" ht="18">
      <c r="A158" s="88">
        <f t="shared" si="5"/>
        <v>147</v>
      </c>
      <c r="B158" s="89"/>
      <c r="C158" s="90" t="s">
        <v>152</v>
      </c>
      <c r="D158" s="90" t="s">
        <v>15</v>
      </c>
      <c r="E158" s="91" t="s">
        <v>194</v>
      </c>
      <c r="F158" s="100">
        <v>7074845031</v>
      </c>
      <c r="G158" s="105" t="s">
        <v>153</v>
      </c>
      <c r="H158" s="94"/>
      <c r="I158" s="89"/>
      <c r="J158" s="89"/>
      <c r="K158" s="89"/>
      <c r="L158" s="89"/>
      <c r="M158" s="89"/>
      <c r="N158" s="89"/>
      <c r="O158" s="95">
        <f>T158*N158</f>
        <v>0</v>
      </c>
      <c r="P158" s="89"/>
      <c r="Q158" s="89"/>
      <c r="R158" s="96" t="str">
        <f>IF(OR(P158="c",P158="C"),+T158,"")</f>
        <v/>
      </c>
      <c r="S158" s="96" t="str">
        <f>IF(OR(P158="$",N158=1),+T158,"")</f>
        <v/>
      </c>
      <c r="T158" s="127">
        <f>H158*[0]!FMainPool1Fee+I158*[0]!FMainPool2Fee+J158*[0]!FMainPool3Fee+K158*[0]!FMainPool4Fee+B158*[0]!FMainEntryFee</f>
        <v>0</v>
      </c>
      <c r="U158" s="128"/>
      <c r="V158" s="129"/>
      <c r="W158" s="66"/>
      <c r="X158" s="97"/>
      <c r="Y158" s="97"/>
      <c r="Z158" s="98"/>
    </row>
    <row r="159" spans="1:26" ht="18">
      <c r="A159" s="88">
        <f t="shared" si="5"/>
        <v>148</v>
      </c>
      <c r="B159" s="89"/>
      <c r="C159" s="90" t="s">
        <v>279</v>
      </c>
      <c r="D159" s="90" t="s">
        <v>57</v>
      </c>
      <c r="E159" s="91" t="s">
        <v>280</v>
      </c>
      <c r="F159" s="92"/>
      <c r="G159" s="105" t="s">
        <v>282</v>
      </c>
      <c r="H159" s="94"/>
      <c r="I159" s="89"/>
      <c r="J159" s="89"/>
      <c r="K159" s="89"/>
      <c r="L159" s="89"/>
      <c r="M159" s="89"/>
      <c r="N159" s="89"/>
      <c r="O159" s="95">
        <f>T159*N159</f>
        <v>0</v>
      </c>
      <c r="P159" s="89"/>
      <c r="Q159" s="89"/>
      <c r="R159" s="96" t="str">
        <f>IF(OR(P159="c",P159="C"),+T159,"")</f>
        <v/>
      </c>
      <c r="S159" s="96" t="str">
        <f>IF(OR(P159="$",N159=1),+T159,"")</f>
        <v/>
      </c>
      <c r="T159" s="127">
        <f>H159*[0]!FMainPool1Fee+I159*[0]!FMainPool2Fee+J159*[0]!FMainPool3Fee+K159*[0]!FMainPool4Fee+B159*[0]!FMainEntryFee</f>
        <v>0</v>
      </c>
      <c r="U159" s="128"/>
      <c r="V159" s="129"/>
      <c r="W159" s="66"/>
      <c r="X159" s="97"/>
      <c r="Y159" s="97"/>
      <c r="Z159" s="98"/>
    </row>
    <row r="160" spans="1:26" ht="18">
      <c r="A160" s="88">
        <f t="shared" si="5"/>
        <v>149</v>
      </c>
      <c r="B160" s="89">
        <v>1</v>
      </c>
      <c r="C160" s="102" t="s">
        <v>23</v>
      </c>
      <c r="D160" s="102" t="s">
        <v>5</v>
      </c>
      <c r="E160" s="103" t="s">
        <v>213</v>
      </c>
      <c r="F160" s="107">
        <v>5105046905</v>
      </c>
      <c r="G160" s="93" t="s">
        <v>494</v>
      </c>
      <c r="H160" s="94">
        <v>1</v>
      </c>
      <c r="I160" s="89">
        <v>1</v>
      </c>
      <c r="J160" s="89">
        <v>1</v>
      </c>
      <c r="K160" s="89">
        <v>1</v>
      </c>
      <c r="L160" s="89">
        <v>1</v>
      </c>
      <c r="M160" s="89"/>
      <c r="N160" s="89"/>
      <c r="O160" s="95">
        <f>T160*N160</f>
        <v>0</v>
      </c>
      <c r="P160" s="89" t="s">
        <v>692</v>
      </c>
      <c r="Q160" s="89">
        <v>5014</v>
      </c>
      <c r="R160" s="96">
        <f>IF(OR(P160="c",P160="C"),+T160,"")</f>
        <v>160</v>
      </c>
      <c r="S160" s="96" t="str">
        <f>IF(OR(P160="$",N160=1),+T160,"")</f>
        <v/>
      </c>
      <c r="T160" s="127">
        <f>H160*[0]!FMainPool1Fee+I160*[0]!FMainPool2Fee+J160*[0]!FMainPool3Fee+K160*[0]!FMainPool4Fee+B160*[0]!FMainEntryFee</f>
        <v>160</v>
      </c>
      <c r="U160" s="128">
        <v>1</v>
      </c>
      <c r="V160" s="129"/>
      <c r="W160" s="66"/>
      <c r="X160" s="97"/>
      <c r="Y160" s="97"/>
      <c r="Z160" s="98"/>
    </row>
    <row r="161" spans="1:26" ht="18">
      <c r="A161" s="88">
        <f t="shared" si="5"/>
        <v>150</v>
      </c>
      <c r="B161" s="89">
        <v>1</v>
      </c>
      <c r="C161" s="90" t="s">
        <v>249</v>
      </c>
      <c r="D161" s="90" t="s">
        <v>251</v>
      </c>
      <c r="E161" s="91" t="s">
        <v>250</v>
      </c>
      <c r="F161" s="108" t="s">
        <v>495</v>
      </c>
      <c r="G161" s="105" t="s">
        <v>274</v>
      </c>
      <c r="H161" s="94">
        <v>1</v>
      </c>
      <c r="I161" s="89">
        <v>1</v>
      </c>
      <c r="J161" s="89">
        <v>1</v>
      </c>
      <c r="K161" s="89">
        <v>1</v>
      </c>
      <c r="L161" s="89"/>
      <c r="M161" s="89"/>
      <c r="N161" s="89" t="s">
        <v>526</v>
      </c>
      <c r="O161" s="95" t="s">
        <v>526</v>
      </c>
      <c r="P161" s="89" t="s">
        <v>692</v>
      </c>
      <c r="Q161" s="89">
        <v>202</v>
      </c>
      <c r="R161" s="96">
        <f>IF(OR(P161="c",P161="C"),+T161,"")</f>
        <v>160</v>
      </c>
      <c r="S161" s="96" t="str">
        <f>IF(OR(P161="$",N161=1),+T161,"")</f>
        <v/>
      </c>
      <c r="T161" s="127">
        <f>H161*[0]!FMainPool1Fee+I161*[0]!FMainPool2Fee+J161*[0]!FMainPool3Fee+K161*[0]!FMainPool4Fee+B161*[0]!FMainEntryFee</f>
        <v>160</v>
      </c>
      <c r="U161" s="128"/>
      <c r="V161" s="129"/>
      <c r="W161" s="66">
        <v>1</v>
      </c>
      <c r="X161" s="97"/>
      <c r="Y161" s="97"/>
      <c r="Z161" s="98" t="s">
        <v>774</v>
      </c>
    </row>
    <row r="162" spans="1:26" ht="18">
      <c r="A162" s="88">
        <f t="shared" si="5"/>
        <v>151</v>
      </c>
      <c r="B162" s="89"/>
      <c r="C162" s="90" t="s">
        <v>652</v>
      </c>
      <c r="D162" s="90" t="s">
        <v>42</v>
      </c>
      <c r="E162" s="91" t="s">
        <v>653</v>
      </c>
      <c r="F162" s="108">
        <v>4086670073</v>
      </c>
      <c r="G162" s="122" t="s">
        <v>654</v>
      </c>
      <c r="H162" s="94"/>
      <c r="I162" s="89"/>
      <c r="J162" s="89"/>
      <c r="K162" s="89"/>
      <c r="L162" s="89"/>
      <c r="M162" s="89"/>
      <c r="N162" s="89"/>
      <c r="O162" s="95">
        <f>T162*N162</f>
        <v>0</v>
      </c>
      <c r="P162" s="89"/>
      <c r="Q162" s="89"/>
      <c r="R162" s="96" t="str">
        <f>IF(OR(P162="c",P162="C"),+T162,"")</f>
        <v/>
      </c>
      <c r="S162" s="96" t="str">
        <f>IF(OR(P162="$",N162=1),+T162,"")</f>
        <v/>
      </c>
      <c r="T162" s="127">
        <f>H162*[0]!FMainPool1Fee+I162*[0]!FMainPool2Fee+J162*[0]!FMainPool3Fee+K162*[0]!FMainPool4Fee+B162*[0]!FMainEntryFee</f>
        <v>0</v>
      </c>
      <c r="U162" s="128"/>
      <c r="V162" s="129"/>
      <c r="W162" s="66"/>
      <c r="X162" s="97"/>
      <c r="Y162" s="97"/>
      <c r="Z162" s="98"/>
    </row>
    <row r="163" spans="1:26" ht="18">
      <c r="A163" s="88">
        <f t="shared" ref="A163:A197" si="6">ROW() - ROW(FRegentiresEneteredHdr)</f>
        <v>152</v>
      </c>
      <c r="B163" s="89"/>
      <c r="C163" s="90" t="s">
        <v>737</v>
      </c>
      <c r="D163" s="90" t="s">
        <v>47</v>
      </c>
      <c r="E163" s="91" t="s">
        <v>712</v>
      </c>
      <c r="F163" s="108">
        <v>4086660276</v>
      </c>
      <c r="G163" s="122" t="s">
        <v>713</v>
      </c>
      <c r="H163" s="94"/>
      <c r="I163" s="89"/>
      <c r="J163" s="89"/>
      <c r="K163" s="89"/>
      <c r="L163" s="89"/>
      <c r="M163" s="89"/>
      <c r="N163" s="89"/>
      <c r="O163" s="95">
        <f>T163*N163</f>
        <v>0</v>
      </c>
      <c r="P163" s="89"/>
      <c r="Q163" s="89"/>
      <c r="R163" s="96" t="str">
        <f>IF(OR(P163="c",P163="C"),+T163,"")</f>
        <v/>
      </c>
      <c r="S163" s="96" t="str">
        <f>IF(OR(P163="$",N163=1),+T163,"")</f>
        <v/>
      </c>
      <c r="T163" s="127">
        <f>H163*[0]!FMainPool1Fee+I163*[0]!FMainPool2Fee+J163*[0]!FMainPool3Fee+K163*[0]!FMainPool4Fee+B163*[0]!FMainEntryFee</f>
        <v>0</v>
      </c>
      <c r="U163" s="128"/>
      <c r="V163" s="129"/>
      <c r="W163" s="66"/>
      <c r="X163" s="97"/>
      <c r="Y163" s="97"/>
      <c r="Z163" s="98"/>
    </row>
    <row r="164" spans="1:26" ht="18">
      <c r="A164" s="88">
        <f t="shared" si="6"/>
        <v>153</v>
      </c>
      <c r="B164" s="89"/>
      <c r="C164" s="102" t="s">
        <v>50</v>
      </c>
      <c r="D164" s="102" t="s">
        <v>51</v>
      </c>
      <c r="E164" s="103" t="s">
        <v>226</v>
      </c>
      <c r="F164" s="107">
        <v>9167697400</v>
      </c>
      <c r="G164" s="105" t="s">
        <v>229</v>
      </c>
      <c r="H164" s="94"/>
      <c r="I164" s="89"/>
      <c r="J164" s="89"/>
      <c r="K164" s="89"/>
      <c r="L164" s="89"/>
      <c r="M164" s="89"/>
      <c r="N164" s="89"/>
      <c r="O164" s="95">
        <f>T164*N164</f>
        <v>0</v>
      </c>
      <c r="P164" s="89"/>
      <c r="Q164" s="89"/>
      <c r="R164" s="96" t="str">
        <f>IF(OR(P164="c",P164="C"),+T164,"")</f>
        <v/>
      </c>
      <c r="S164" s="96" t="str">
        <f>IF(OR(P164="$",N164=1),+T164,"")</f>
        <v/>
      </c>
      <c r="T164" s="127">
        <f>H164*[0]!FMainPool1Fee+I164*[0]!FMainPool2Fee+J164*[0]!FMainPool3Fee+K164*[0]!FMainPool4Fee+B164*[0]!FMainEntryFee</f>
        <v>0</v>
      </c>
      <c r="U164" s="128"/>
      <c r="V164" s="129"/>
      <c r="W164" s="66"/>
      <c r="X164" s="97"/>
      <c r="Y164" s="97"/>
      <c r="Z164" s="98"/>
    </row>
    <row r="165" spans="1:26" ht="18">
      <c r="A165" s="88">
        <f t="shared" si="6"/>
        <v>154</v>
      </c>
      <c r="B165" s="89"/>
      <c r="C165" s="102" t="s">
        <v>114</v>
      </c>
      <c r="D165" s="102" t="s">
        <v>45</v>
      </c>
      <c r="E165" s="103" t="s">
        <v>214</v>
      </c>
      <c r="F165" s="107"/>
      <c r="G165" s="105" t="s">
        <v>382</v>
      </c>
      <c r="H165" s="94"/>
      <c r="I165" s="89"/>
      <c r="J165" s="89"/>
      <c r="K165" s="89"/>
      <c r="L165" s="89"/>
      <c r="M165" s="89"/>
      <c r="N165" s="89"/>
      <c r="O165" s="95">
        <f>T165*N165</f>
        <v>0</v>
      </c>
      <c r="P165" s="89"/>
      <c r="Q165" s="89"/>
      <c r="R165" s="96" t="str">
        <f>IF(OR(P165="c",P165="C"),+T165,"")</f>
        <v/>
      </c>
      <c r="S165" s="96" t="str">
        <f>IF(OR(P165="$",N165=1),+T165,"")</f>
        <v/>
      </c>
      <c r="T165" s="127">
        <f>H165*[0]!FMainPool1Fee+I165*[0]!FMainPool2Fee+J165*[0]!FMainPool3Fee+K165*[0]!FMainPool4Fee+B165*[0]!FMainEntryFee</f>
        <v>0</v>
      </c>
      <c r="U165" s="128"/>
      <c r="V165" s="129"/>
      <c r="W165" s="66"/>
      <c r="X165" s="97"/>
      <c r="Y165" s="97"/>
      <c r="Z165" s="98"/>
    </row>
    <row r="166" spans="1:26" ht="18">
      <c r="A166" s="88">
        <f t="shared" si="6"/>
        <v>155</v>
      </c>
      <c r="B166" s="89">
        <v>1</v>
      </c>
      <c r="C166" s="102" t="s">
        <v>648</v>
      </c>
      <c r="D166" s="102" t="s">
        <v>5</v>
      </c>
      <c r="E166" s="103" t="s">
        <v>650</v>
      </c>
      <c r="F166" s="107">
        <v>7072944291</v>
      </c>
      <c r="G166" s="93" t="s">
        <v>649</v>
      </c>
      <c r="H166" s="94"/>
      <c r="I166" s="89">
        <v>1</v>
      </c>
      <c r="J166" s="89">
        <v>1</v>
      </c>
      <c r="K166" s="89"/>
      <c r="L166" s="89"/>
      <c r="M166" s="89"/>
      <c r="N166" s="89"/>
      <c r="O166" s="95">
        <f>T166*N166</f>
        <v>0</v>
      </c>
      <c r="P166" s="89" t="s">
        <v>692</v>
      </c>
      <c r="Q166" s="89">
        <v>1412</v>
      </c>
      <c r="R166" s="96">
        <f>IF(OR(P166="c",P166="C"),+T166,"")</f>
        <v>100</v>
      </c>
      <c r="S166" s="96" t="str">
        <f>IF(OR(P166="$",N166=1),+T166,"")</f>
        <v/>
      </c>
      <c r="T166" s="127">
        <f>H166*[0]!FMainPool1Fee+I166*[0]!FMainPool2Fee+J166*[0]!FMainPool3Fee+K166*[0]!FMainPool4Fee+B166*[0]!FMainEntryFee</f>
        <v>100</v>
      </c>
      <c r="U166" s="128"/>
      <c r="V166" s="129"/>
      <c r="W166" s="66"/>
      <c r="X166" s="97">
        <v>1</v>
      </c>
      <c r="Y166" s="97"/>
      <c r="Z166" s="98"/>
    </row>
    <row r="167" spans="1:26" ht="18">
      <c r="A167" s="88">
        <f t="shared" si="6"/>
        <v>156</v>
      </c>
      <c r="B167" s="89"/>
      <c r="C167" s="102" t="s">
        <v>693</v>
      </c>
      <c r="D167" s="102" t="s">
        <v>694</v>
      </c>
      <c r="E167" s="103" t="s">
        <v>695</v>
      </c>
      <c r="F167" s="107">
        <v>4073616554</v>
      </c>
      <c r="G167" s="73" t="s">
        <v>696</v>
      </c>
      <c r="H167" s="94"/>
      <c r="I167" s="89"/>
      <c r="J167" s="89"/>
      <c r="K167" s="89"/>
      <c r="L167" s="89"/>
      <c r="M167" s="89"/>
      <c r="N167" s="89"/>
      <c r="O167" s="95">
        <f>T167*N167</f>
        <v>0</v>
      </c>
      <c r="P167" s="89"/>
      <c r="Q167" s="89"/>
      <c r="R167" s="96" t="str">
        <f>IF(OR(P167="c",P167="C"),+T167,"")</f>
        <v/>
      </c>
      <c r="S167" s="96" t="str">
        <f>IF(OR(P167="$",N167=1),+T167,"")</f>
        <v/>
      </c>
      <c r="T167" s="127">
        <f>H167*[0]!FMainPool1Fee+I167*[0]!FMainPool2Fee+J167*[0]!FMainPool3Fee+K167*[0]!FMainPool4Fee+B167*[0]!FMainEntryFee</f>
        <v>0</v>
      </c>
      <c r="U167" s="128"/>
      <c r="V167" s="129"/>
      <c r="W167" s="66"/>
      <c r="X167" s="97"/>
      <c r="Y167" s="97"/>
      <c r="Z167" s="98"/>
    </row>
    <row r="168" spans="1:26" ht="18">
      <c r="A168" s="88">
        <f t="shared" si="6"/>
        <v>157</v>
      </c>
      <c r="B168" s="89"/>
      <c r="C168" s="102" t="s">
        <v>78</v>
      </c>
      <c r="D168" s="102" t="s">
        <v>79</v>
      </c>
      <c r="E168" s="103" t="s">
        <v>215</v>
      </c>
      <c r="F168" s="107"/>
      <c r="G168" s="105" t="s">
        <v>383</v>
      </c>
      <c r="H168" s="94"/>
      <c r="I168" s="89"/>
      <c r="J168" s="89"/>
      <c r="K168" s="89"/>
      <c r="L168" s="89"/>
      <c r="M168" s="89"/>
      <c r="N168" s="89"/>
      <c r="O168" s="95">
        <f>T168*N168</f>
        <v>0</v>
      </c>
      <c r="P168" s="89"/>
      <c r="Q168" s="89"/>
      <c r="R168" s="96" t="str">
        <f>IF(OR(P168="c",P168="C"),+T168,"")</f>
        <v/>
      </c>
      <c r="S168" s="96" t="str">
        <f>IF(OR(P168="$",N168=1),+T168,"")</f>
        <v/>
      </c>
      <c r="T168" s="127">
        <f>H168*[0]!FMainPool1Fee+I168*[0]!FMainPool2Fee+J168*[0]!FMainPool3Fee+K168*[0]!FMainPool4Fee+B168*[0]!FMainEntryFee</f>
        <v>0</v>
      </c>
      <c r="U168" s="128"/>
      <c r="V168" s="129"/>
      <c r="W168" s="66"/>
      <c r="X168" s="97"/>
      <c r="Y168" s="97"/>
      <c r="Z168" s="98"/>
    </row>
    <row r="169" spans="1:26" ht="18">
      <c r="A169" s="88">
        <f t="shared" si="6"/>
        <v>158</v>
      </c>
      <c r="B169" s="89"/>
      <c r="C169" s="90" t="s">
        <v>235</v>
      </c>
      <c r="D169" s="90" t="s">
        <v>236</v>
      </c>
      <c r="E169" s="91" t="s">
        <v>237</v>
      </c>
      <c r="F169" s="92">
        <v>5302194729</v>
      </c>
      <c r="G169" s="93" t="s">
        <v>496</v>
      </c>
      <c r="H169" s="94"/>
      <c r="I169" s="89"/>
      <c r="J169" s="89"/>
      <c r="K169" s="89"/>
      <c r="L169" s="89"/>
      <c r="M169" s="89"/>
      <c r="N169" s="89"/>
      <c r="O169" s="95">
        <f>T169*N169</f>
        <v>0</v>
      </c>
      <c r="P169" s="89"/>
      <c r="Q169" s="89"/>
      <c r="R169" s="96" t="str">
        <f>IF(OR(P169="c",P169="C"),+T169,"")</f>
        <v/>
      </c>
      <c r="S169" s="96" t="str">
        <f>IF(OR(P169="$",N169=1),+T169,"")</f>
        <v/>
      </c>
      <c r="T169" s="127">
        <f>H169*[0]!FMainPool1Fee+I169*[0]!FMainPool2Fee+J169*[0]!FMainPool3Fee+K169*[0]!FMainPool4Fee+B169*[0]!FMainEntryFee</f>
        <v>0</v>
      </c>
      <c r="U169" s="128"/>
      <c r="V169" s="129"/>
      <c r="W169" s="66"/>
      <c r="X169" s="97"/>
      <c r="Y169" s="97"/>
      <c r="Z169" s="98"/>
    </row>
    <row r="170" spans="1:26" ht="18">
      <c r="A170" s="88">
        <f t="shared" si="6"/>
        <v>159</v>
      </c>
      <c r="B170" s="89"/>
      <c r="C170" s="90" t="s">
        <v>118</v>
      </c>
      <c r="D170" s="90" t="s">
        <v>119</v>
      </c>
      <c r="E170" s="91" t="s">
        <v>162</v>
      </c>
      <c r="F170" s="92"/>
      <c r="G170" s="105" t="s">
        <v>384</v>
      </c>
      <c r="H170" s="94"/>
      <c r="I170" s="89"/>
      <c r="J170" s="89"/>
      <c r="K170" s="89"/>
      <c r="L170" s="89"/>
      <c r="M170" s="89"/>
      <c r="N170" s="89"/>
      <c r="O170" s="95">
        <f>T170*N170</f>
        <v>0</v>
      </c>
      <c r="P170" s="89"/>
      <c r="Q170" s="89"/>
      <c r="R170" s="96" t="str">
        <f>IF(OR(P170="c",P170="C"),+T170,"")</f>
        <v/>
      </c>
      <c r="S170" s="96" t="str">
        <f>IF(OR(P170="$",N170=1),+T170,"")</f>
        <v/>
      </c>
      <c r="T170" s="127">
        <f>H170*[0]!FMainPool1Fee+I170*[0]!FMainPool2Fee+J170*[0]!FMainPool3Fee+K170*[0]!FMainPool4Fee+B170*[0]!FMainEntryFee</f>
        <v>0</v>
      </c>
      <c r="U170" s="128"/>
      <c r="V170" s="129"/>
      <c r="W170" s="66"/>
      <c r="X170" s="97"/>
      <c r="Y170" s="97"/>
      <c r="Z170" s="98"/>
    </row>
    <row r="171" spans="1:26" ht="18">
      <c r="A171" s="88">
        <f t="shared" si="6"/>
        <v>160</v>
      </c>
      <c r="B171" s="89"/>
      <c r="C171" s="99" t="s">
        <v>603</v>
      </c>
      <c r="D171" s="99" t="s">
        <v>73</v>
      </c>
      <c r="E171" s="66" t="s">
        <v>604</v>
      </c>
      <c r="F171" s="108"/>
      <c r="G171" s="93" t="s">
        <v>605</v>
      </c>
      <c r="H171" s="94"/>
      <c r="I171" s="89"/>
      <c r="J171" s="89"/>
      <c r="K171" s="89"/>
      <c r="L171" s="89"/>
      <c r="M171" s="89"/>
      <c r="N171" s="89"/>
      <c r="O171" s="95">
        <f>T171*N171</f>
        <v>0</v>
      </c>
      <c r="P171" s="89"/>
      <c r="Q171" s="89"/>
      <c r="R171" s="96" t="str">
        <f>IF(OR(P171="c",P171="C"),+T171,"")</f>
        <v/>
      </c>
      <c r="S171" s="96" t="str">
        <f>IF(OR(P171="$",N171=1),+T171,"")</f>
        <v/>
      </c>
      <c r="T171" s="127">
        <f>H171*[0]!FMainPool1Fee+I171*[0]!FMainPool2Fee+J171*[0]!FMainPool3Fee+K171*[0]!FMainPool4Fee+B171*[0]!FMainEntryFee</f>
        <v>0</v>
      </c>
      <c r="U171" s="128"/>
      <c r="V171" s="129"/>
      <c r="W171" s="66"/>
      <c r="X171" s="97"/>
      <c r="Y171" s="97"/>
      <c r="Z171" s="98"/>
    </row>
    <row r="172" spans="1:26" ht="18">
      <c r="A172" s="88">
        <f t="shared" si="6"/>
        <v>161</v>
      </c>
      <c r="B172" s="89">
        <v>1</v>
      </c>
      <c r="C172" s="90" t="s">
        <v>340</v>
      </c>
      <c r="D172" s="90" t="s">
        <v>40</v>
      </c>
      <c r="E172" s="91" t="s">
        <v>341</v>
      </c>
      <c r="F172" s="92">
        <v>7075991826</v>
      </c>
      <c r="G172" s="105" t="s">
        <v>358</v>
      </c>
      <c r="H172" s="94">
        <v>1</v>
      </c>
      <c r="I172" s="89">
        <v>1</v>
      </c>
      <c r="J172" s="89">
        <v>1</v>
      </c>
      <c r="K172" s="89">
        <v>1</v>
      </c>
      <c r="L172" s="89">
        <v>1</v>
      </c>
      <c r="M172" s="89"/>
      <c r="N172" s="89"/>
      <c r="O172" s="95">
        <f>T172*N172</f>
        <v>0</v>
      </c>
      <c r="P172" s="89" t="s">
        <v>692</v>
      </c>
      <c r="Q172" s="89">
        <v>1570</v>
      </c>
      <c r="R172" s="96">
        <f>IF(OR(P172="c",P172="C"),+T172,"")</f>
        <v>160</v>
      </c>
      <c r="S172" s="96" t="str">
        <f>IF(OR(P172="$",N172=1),+T172,"")</f>
        <v/>
      </c>
      <c r="T172" s="127">
        <f>H172*[0]!FMainPool1Fee+I172*[0]!FMainPool2Fee+J172*[0]!FMainPool3Fee+K172*[0]!FMainPool4Fee+B172*[0]!FMainEntryFee</f>
        <v>160</v>
      </c>
      <c r="U172" s="128"/>
      <c r="V172" s="129"/>
      <c r="W172" s="66"/>
      <c r="X172" s="97">
        <v>1</v>
      </c>
      <c r="Y172" s="97"/>
      <c r="Z172" s="98" t="s">
        <v>752</v>
      </c>
    </row>
    <row r="173" spans="1:26" ht="18">
      <c r="A173" s="88">
        <f t="shared" si="6"/>
        <v>162</v>
      </c>
      <c r="B173" s="89">
        <v>1</v>
      </c>
      <c r="C173" s="102" t="s">
        <v>39</v>
      </c>
      <c r="D173" s="102" t="s">
        <v>40</v>
      </c>
      <c r="E173" s="103" t="s">
        <v>190</v>
      </c>
      <c r="F173" s="107">
        <v>7075994605</v>
      </c>
      <c r="G173" s="99" t="s">
        <v>497</v>
      </c>
      <c r="H173" s="94">
        <v>1</v>
      </c>
      <c r="I173" s="89">
        <v>1</v>
      </c>
      <c r="J173" s="89">
        <v>1</v>
      </c>
      <c r="K173" s="89">
        <v>1</v>
      </c>
      <c r="L173" s="89">
        <v>1</v>
      </c>
      <c r="M173" s="89"/>
      <c r="N173" s="89"/>
      <c r="O173" s="95">
        <f>T173*N173</f>
        <v>0</v>
      </c>
      <c r="P173" s="89" t="s">
        <v>692</v>
      </c>
      <c r="Q173" s="89">
        <v>1570</v>
      </c>
      <c r="R173" s="96">
        <f>IF(OR(P173="c",P173="C"),+T173,"")</f>
        <v>160</v>
      </c>
      <c r="S173" s="96" t="str">
        <f>IF(OR(P173="$",N173=1),+T173,"")</f>
        <v/>
      </c>
      <c r="T173" s="127">
        <f>H173*[0]!FMainPool1Fee+I173*[0]!FMainPool2Fee+J173*[0]!FMainPool3Fee+K173*[0]!FMainPool4Fee+B173*[0]!FMainEntryFee</f>
        <v>160</v>
      </c>
      <c r="U173" s="128"/>
      <c r="V173" s="129"/>
      <c r="W173" s="66"/>
      <c r="X173" s="97"/>
      <c r="Y173" s="97">
        <v>1</v>
      </c>
      <c r="Z173" s="98" t="s">
        <v>751</v>
      </c>
    </row>
    <row r="174" spans="1:26" ht="18">
      <c r="A174" s="88">
        <f t="shared" si="6"/>
        <v>163</v>
      </c>
      <c r="B174" s="89"/>
      <c r="C174" s="90" t="s">
        <v>92</v>
      </c>
      <c r="D174" s="90" t="s">
        <v>93</v>
      </c>
      <c r="E174" s="91"/>
      <c r="F174" s="92"/>
      <c r="G174" s="105" t="s">
        <v>94</v>
      </c>
      <c r="H174" s="94"/>
      <c r="I174" s="89"/>
      <c r="J174" s="89"/>
      <c r="K174" s="89"/>
      <c r="L174" s="89"/>
      <c r="M174" s="89"/>
      <c r="N174" s="89"/>
      <c r="O174" s="95">
        <f>T174*N174</f>
        <v>0</v>
      </c>
      <c r="P174" s="89"/>
      <c r="Q174" s="89"/>
      <c r="R174" s="96" t="str">
        <f>IF(OR(P174="c",P174="C"),+T174,"")</f>
        <v/>
      </c>
      <c r="S174" s="96" t="str">
        <f>IF(OR(P174="$",N174=1),+T174,"")</f>
        <v/>
      </c>
      <c r="T174" s="127">
        <f>H174*[0]!FMainPool1Fee+I174*[0]!FMainPool2Fee+J174*[0]!FMainPool3Fee+K174*[0]!FMainPool4Fee+B174*[0]!FMainEntryFee</f>
        <v>0</v>
      </c>
      <c r="U174" s="128"/>
      <c r="V174" s="129"/>
      <c r="W174" s="66"/>
      <c r="X174" s="97"/>
      <c r="Y174" s="97"/>
      <c r="Z174" s="98"/>
    </row>
    <row r="175" spans="1:26" ht="18">
      <c r="A175" s="88">
        <f t="shared" si="6"/>
        <v>164</v>
      </c>
      <c r="B175" s="89"/>
      <c r="C175" s="90" t="s">
        <v>636</v>
      </c>
      <c r="D175" s="90" t="s">
        <v>637</v>
      </c>
      <c r="E175" s="91" t="s">
        <v>638</v>
      </c>
      <c r="F175" s="92">
        <v>7752876408</v>
      </c>
      <c r="G175" s="93" t="s">
        <v>639</v>
      </c>
      <c r="H175" s="94"/>
      <c r="I175" s="89"/>
      <c r="J175" s="89"/>
      <c r="K175" s="89"/>
      <c r="L175" s="89"/>
      <c r="M175" s="89"/>
      <c r="N175" s="89"/>
      <c r="O175" s="95">
        <f>T175*N175</f>
        <v>0</v>
      </c>
      <c r="P175" s="89"/>
      <c r="Q175" s="89"/>
      <c r="R175" s="96" t="str">
        <f>IF(OR(P175="c",P175="C"),+T175,"")</f>
        <v/>
      </c>
      <c r="S175" s="96" t="str">
        <f>IF(OR(P175="$",N175=1),+T175,"")</f>
        <v/>
      </c>
      <c r="T175" s="127">
        <f>H175*[0]!FMainPool1Fee+I175*[0]!FMainPool2Fee+J175*[0]!FMainPool3Fee+K175*[0]!FMainPool4Fee+B175*[0]!FMainEntryFee</f>
        <v>0</v>
      </c>
      <c r="U175" s="128"/>
      <c r="V175" s="129"/>
      <c r="W175" s="66"/>
      <c r="X175" s="97"/>
      <c r="Y175" s="97"/>
      <c r="Z175" s="98"/>
    </row>
    <row r="176" spans="1:26" ht="18">
      <c r="A176" s="88">
        <f t="shared" si="6"/>
        <v>165</v>
      </c>
      <c r="B176" s="89"/>
      <c r="C176" s="90" t="s">
        <v>425</v>
      </c>
      <c r="D176" s="90" t="s">
        <v>447</v>
      </c>
      <c r="E176" s="91" t="s">
        <v>424</v>
      </c>
      <c r="F176" s="92">
        <v>7073490481</v>
      </c>
      <c r="G176" s="93" t="s">
        <v>498</v>
      </c>
      <c r="H176" s="94"/>
      <c r="I176" s="89"/>
      <c r="J176" s="89"/>
      <c r="K176" s="89"/>
      <c r="L176" s="89"/>
      <c r="M176" s="89"/>
      <c r="N176" s="89"/>
      <c r="O176" s="95">
        <f>T176*N176</f>
        <v>0</v>
      </c>
      <c r="P176" s="89"/>
      <c r="Q176" s="89"/>
      <c r="R176" s="96" t="str">
        <f>IF(OR(P176="c",P176="C"),+T176,"")</f>
        <v/>
      </c>
      <c r="S176" s="96" t="str">
        <f>IF(OR(P176="$",N176=1),+T176,"")</f>
        <v/>
      </c>
      <c r="T176" s="127">
        <f>H176*[0]!FMainPool1Fee+I176*[0]!FMainPool2Fee+J176*[0]!FMainPool3Fee+K176*[0]!FMainPool4Fee+B176*[0]!FMainEntryFee</f>
        <v>0</v>
      </c>
      <c r="U176" s="128"/>
      <c r="V176" s="129"/>
      <c r="W176" s="66"/>
      <c r="X176" s="97"/>
      <c r="Y176" s="97"/>
      <c r="Z176" s="98"/>
    </row>
    <row r="177" spans="1:26" ht="18">
      <c r="A177" s="88">
        <f t="shared" si="6"/>
        <v>166</v>
      </c>
      <c r="B177" s="89"/>
      <c r="C177" s="99" t="s">
        <v>606</v>
      </c>
      <c r="D177" s="99" t="s">
        <v>5</v>
      </c>
      <c r="E177" s="66" t="s">
        <v>607</v>
      </c>
      <c r="F177" s="108">
        <v>7752876408</v>
      </c>
      <c r="G177" s="99"/>
      <c r="H177" s="94"/>
      <c r="I177" s="89"/>
      <c r="J177" s="89"/>
      <c r="K177" s="89"/>
      <c r="L177" s="89"/>
      <c r="M177" s="89"/>
      <c r="N177" s="89"/>
      <c r="O177" s="95">
        <f>T177*N177</f>
        <v>0</v>
      </c>
      <c r="P177" s="89"/>
      <c r="Q177" s="89"/>
      <c r="R177" s="96" t="str">
        <f>IF(OR(P177="c",P177="C"),+T177,"")</f>
        <v/>
      </c>
      <c r="S177" s="96" t="str">
        <f>IF(OR(P177="$",N177=1),+T177,"")</f>
        <v/>
      </c>
      <c r="T177" s="127">
        <f>H177*[0]!FMainPool1Fee+I177*[0]!FMainPool2Fee+J177*[0]!FMainPool3Fee+K177*[0]!FMainPool4Fee+B177*[0]!FMainEntryFee</f>
        <v>0</v>
      </c>
      <c r="U177" s="128"/>
      <c r="V177" s="129"/>
      <c r="W177" s="66"/>
      <c r="X177" s="97"/>
      <c r="Y177" s="97"/>
      <c r="Z177" s="98"/>
    </row>
    <row r="178" spans="1:26" ht="18">
      <c r="A178" s="88">
        <f t="shared" si="6"/>
        <v>167</v>
      </c>
      <c r="B178" s="89"/>
      <c r="C178" s="90" t="s">
        <v>100</v>
      </c>
      <c r="D178" s="90" t="s">
        <v>7</v>
      </c>
      <c r="E178" s="91" t="s">
        <v>216</v>
      </c>
      <c r="F178" s="92"/>
      <c r="G178" s="105" t="s">
        <v>385</v>
      </c>
      <c r="H178" s="94"/>
      <c r="I178" s="89"/>
      <c r="J178" s="89"/>
      <c r="K178" s="89"/>
      <c r="L178" s="89"/>
      <c r="M178" s="89"/>
      <c r="N178" s="89"/>
      <c r="O178" s="95">
        <f>T178*N178</f>
        <v>0</v>
      </c>
      <c r="P178" s="89"/>
      <c r="Q178" s="89"/>
      <c r="R178" s="96" t="str">
        <f>IF(OR(P178="c",P178="C"),+T178,"")</f>
        <v/>
      </c>
      <c r="S178" s="96" t="str">
        <f>IF(OR(P178="$",N178=1),+T178,"")</f>
        <v/>
      </c>
      <c r="T178" s="127">
        <f>H178*[0]!FMainPool1Fee+I178*[0]!FMainPool2Fee+J178*[0]!FMainPool3Fee+K178*[0]!FMainPool4Fee+B178*[0]!FMainEntryFee</f>
        <v>0</v>
      </c>
      <c r="U178" s="128"/>
      <c r="V178" s="129"/>
      <c r="W178" s="66"/>
      <c r="X178" s="97"/>
      <c r="Y178" s="97"/>
      <c r="Z178" s="98"/>
    </row>
    <row r="179" spans="1:26" ht="18">
      <c r="A179" s="88">
        <f t="shared" si="6"/>
        <v>168</v>
      </c>
      <c r="B179" s="89"/>
      <c r="C179" s="90" t="s">
        <v>688</v>
      </c>
      <c r="D179" s="90" t="s">
        <v>5</v>
      </c>
      <c r="E179" s="91" t="s">
        <v>689</v>
      </c>
      <c r="F179" s="92" t="s">
        <v>690</v>
      </c>
      <c r="G179" s="105" t="s">
        <v>691</v>
      </c>
      <c r="H179" s="94"/>
      <c r="I179" s="89"/>
      <c r="J179" s="89"/>
      <c r="K179" s="89"/>
      <c r="L179" s="89"/>
      <c r="M179" s="89"/>
      <c r="N179" s="89"/>
      <c r="O179" s="95">
        <f>T179*N179</f>
        <v>0</v>
      </c>
      <c r="P179" s="89"/>
      <c r="Q179" s="89"/>
      <c r="R179" s="96" t="str">
        <f>IF(OR(P179="c",P179="C"),+T179,"")</f>
        <v/>
      </c>
      <c r="S179" s="96" t="str">
        <f>IF(OR(P179="$",N179=1),+T179,"")</f>
        <v/>
      </c>
      <c r="T179" s="127">
        <f>H179*[0]!FMainPool1Fee+I179*[0]!FMainPool2Fee+J179*[0]!FMainPool3Fee+K179*[0]!FMainPool4Fee+B179*[0]!FMainEntryFee</f>
        <v>0</v>
      </c>
      <c r="U179" s="128"/>
      <c r="V179" s="129"/>
      <c r="W179" s="66"/>
      <c r="X179" s="97"/>
      <c r="Y179" s="97"/>
      <c r="Z179" s="98"/>
    </row>
    <row r="180" spans="1:26" ht="18.75">
      <c r="A180" s="88">
        <f t="shared" si="6"/>
        <v>169</v>
      </c>
      <c r="B180" s="89">
        <v>1</v>
      </c>
      <c r="C180" s="90" t="s">
        <v>784</v>
      </c>
      <c r="D180" s="90" t="s">
        <v>15</v>
      </c>
      <c r="E180" s="91" t="s">
        <v>785</v>
      </c>
      <c r="F180" s="92">
        <v>7074802768</v>
      </c>
      <c r="G180" s="126" t="s">
        <v>786</v>
      </c>
      <c r="H180" s="94">
        <v>1</v>
      </c>
      <c r="I180" s="89">
        <v>1</v>
      </c>
      <c r="J180" s="89">
        <v>1</v>
      </c>
      <c r="K180" s="89">
        <v>1</v>
      </c>
      <c r="L180" s="89"/>
      <c r="M180" s="89"/>
      <c r="N180" s="89"/>
      <c r="O180" s="95">
        <f>T180*N180</f>
        <v>0</v>
      </c>
      <c r="P180" s="89" t="s">
        <v>797</v>
      </c>
      <c r="Q180" s="89"/>
      <c r="R180" s="96" t="str">
        <f>IF(OR(P180="c",P180="C"),+T180,"")</f>
        <v/>
      </c>
      <c r="S180" s="96">
        <v>160</v>
      </c>
      <c r="T180" s="127">
        <f>H180*[0]!FMainPool1Fee+I180*[0]!FMainPool2Fee+J180*[0]!FMainPool3Fee+K180*[0]!FMainPool4Fee+B180*[0]!FMainEntryFee</f>
        <v>160</v>
      </c>
      <c r="U180" s="128"/>
      <c r="V180" s="129"/>
      <c r="W180" s="66"/>
      <c r="X180" s="97">
        <v>1</v>
      </c>
      <c r="Y180" s="97"/>
      <c r="Z180" s="98" t="s">
        <v>742</v>
      </c>
    </row>
    <row r="181" spans="1:26" ht="18">
      <c r="A181" s="88">
        <f t="shared" si="6"/>
        <v>170</v>
      </c>
      <c r="B181" s="89">
        <v>1</v>
      </c>
      <c r="C181" s="90" t="s">
        <v>764</v>
      </c>
      <c r="D181" s="90" t="s">
        <v>239</v>
      </c>
      <c r="E181" s="91" t="s">
        <v>765</v>
      </c>
      <c r="F181" s="92">
        <v>7077186800</v>
      </c>
      <c r="G181" s="105" t="s">
        <v>766</v>
      </c>
      <c r="H181" s="94">
        <v>1</v>
      </c>
      <c r="I181" s="89"/>
      <c r="J181" s="89">
        <v>1</v>
      </c>
      <c r="K181" s="89"/>
      <c r="L181" s="89"/>
      <c r="M181" s="89"/>
      <c r="N181" s="89"/>
      <c r="O181" s="95">
        <f>T181*N181</f>
        <v>0</v>
      </c>
      <c r="P181" s="89" t="s">
        <v>741</v>
      </c>
      <c r="Q181" s="89"/>
      <c r="R181" s="96" t="str">
        <f>IF(OR(P181="c",P181="C"),+T181,"")</f>
        <v/>
      </c>
      <c r="S181" s="96">
        <f>IF(OR(P181="$",N181=1),+T181,"")</f>
        <v>100</v>
      </c>
      <c r="T181" s="127">
        <f>H181*[0]!FMainPool1Fee+I181*[0]!FMainPool2Fee+J181*[0]!FMainPool3Fee+K181*[0]!FMainPool4Fee+B181*[0]!FMainEntryFee</f>
        <v>100</v>
      </c>
      <c r="U181" s="128"/>
      <c r="V181" s="129">
        <v>1</v>
      </c>
      <c r="W181" s="66"/>
      <c r="X181" s="97"/>
      <c r="Y181" s="97"/>
      <c r="Z181" s="98" t="s">
        <v>767</v>
      </c>
    </row>
    <row r="182" spans="1:26" ht="18">
      <c r="A182" s="88">
        <f t="shared" si="6"/>
        <v>171</v>
      </c>
      <c r="B182" s="89"/>
      <c r="C182" s="90" t="s">
        <v>426</v>
      </c>
      <c r="D182" s="90" t="s">
        <v>448</v>
      </c>
      <c r="E182" s="91" t="s">
        <v>471</v>
      </c>
      <c r="F182" s="92">
        <v>2093653232</v>
      </c>
      <c r="G182" s="93" t="s">
        <v>499</v>
      </c>
      <c r="H182" s="94"/>
      <c r="I182" s="89"/>
      <c r="J182" s="89"/>
      <c r="K182" s="89"/>
      <c r="L182" s="89"/>
      <c r="M182" s="89"/>
      <c r="N182" s="89"/>
      <c r="O182" s="95">
        <f>T182*N182</f>
        <v>0</v>
      </c>
      <c r="P182" s="89"/>
      <c r="Q182" s="89"/>
      <c r="R182" s="96" t="str">
        <f>IF(OR(P182="c",P182="C"),+T182,"")</f>
        <v/>
      </c>
      <c r="S182" s="96" t="str">
        <f>IF(OR(P182="$",N182=1),+T182,"")</f>
        <v/>
      </c>
      <c r="T182" s="127">
        <f>H182*[0]!FMainPool1Fee+I182*[0]!FMainPool2Fee+J182*[0]!FMainPool3Fee+K182*[0]!FMainPool4Fee+B182*[0]!FMainEntryFee</f>
        <v>0</v>
      </c>
      <c r="U182" s="128"/>
      <c r="V182" s="129"/>
      <c r="W182" s="66"/>
      <c r="X182" s="97"/>
      <c r="Y182" s="97"/>
      <c r="Z182" s="98"/>
    </row>
    <row r="183" spans="1:26" ht="18">
      <c r="A183" s="88">
        <f t="shared" si="6"/>
        <v>172</v>
      </c>
      <c r="B183" s="89">
        <v>1</v>
      </c>
      <c r="C183" s="90" t="s">
        <v>460</v>
      </c>
      <c r="D183" s="90" t="s">
        <v>472</v>
      </c>
      <c r="E183" s="91" t="s">
        <v>461</v>
      </c>
      <c r="F183" s="92">
        <v>7076641532</v>
      </c>
      <c r="G183" s="93" t="s">
        <v>500</v>
      </c>
      <c r="H183" s="94">
        <v>1</v>
      </c>
      <c r="I183" s="89">
        <v>1</v>
      </c>
      <c r="J183" s="89">
        <v>1</v>
      </c>
      <c r="K183" s="89"/>
      <c r="L183" s="89"/>
      <c r="M183" s="89"/>
      <c r="N183" s="89">
        <v>1</v>
      </c>
      <c r="O183" s="95">
        <f>T183*N183</f>
        <v>110</v>
      </c>
      <c r="P183" s="89" t="s">
        <v>741</v>
      </c>
      <c r="Q183" s="89"/>
      <c r="R183" s="96" t="str">
        <f>IF(OR(P183="c",P183="C"),+T183,"")</f>
        <v/>
      </c>
      <c r="S183" s="96">
        <f>IF(OR(P183="$",N183=1),+T183,"")</f>
        <v>110</v>
      </c>
      <c r="T183" s="127">
        <f>H183*[0]!FMainPool1Fee+I183*[0]!FMainPool2Fee+J183*[0]!FMainPool3Fee+K183*[0]!FMainPool4Fee+B183*[0]!FMainEntryFee</f>
        <v>110</v>
      </c>
      <c r="U183" s="128"/>
      <c r="V183" s="129"/>
      <c r="W183" s="66"/>
      <c r="X183" s="97">
        <v>1</v>
      </c>
      <c r="Y183" s="97"/>
      <c r="Z183" s="98" t="s">
        <v>748</v>
      </c>
    </row>
    <row r="184" spans="1:26" ht="18">
      <c r="A184" s="88">
        <f t="shared" si="6"/>
        <v>173</v>
      </c>
      <c r="B184" s="89">
        <v>1</v>
      </c>
      <c r="C184" s="90" t="s">
        <v>427</v>
      </c>
      <c r="D184" s="90" t="s">
        <v>5</v>
      </c>
      <c r="E184" s="91" t="s">
        <v>428</v>
      </c>
      <c r="F184" s="108" t="s">
        <v>501</v>
      </c>
      <c r="G184" s="105" t="s">
        <v>502</v>
      </c>
      <c r="H184" s="94">
        <v>1</v>
      </c>
      <c r="I184" s="89">
        <v>1</v>
      </c>
      <c r="J184" s="89">
        <v>1</v>
      </c>
      <c r="K184" s="89"/>
      <c r="L184" s="89"/>
      <c r="M184" s="89"/>
      <c r="N184" s="89"/>
      <c r="O184" s="95">
        <f>T184*N184</f>
        <v>0</v>
      </c>
      <c r="P184" s="89" t="s">
        <v>741</v>
      </c>
      <c r="Q184" s="89"/>
      <c r="R184" s="96" t="str">
        <f>IF(OR(P184="c",P184="C"),+T184,"")</f>
        <v/>
      </c>
      <c r="S184" s="96">
        <f>IF(OR(P184="$",N184=1),+T184,"")</f>
        <v>110</v>
      </c>
      <c r="T184" s="127">
        <f>H184*[0]!FMainPool1Fee+I184*[0]!FMainPool2Fee+J184*[0]!FMainPool3Fee+K184*[0]!FMainPool4Fee+B184*[0]!FMainEntryFee</f>
        <v>110</v>
      </c>
      <c r="U184" s="128"/>
      <c r="V184" s="129"/>
      <c r="W184" s="66"/>
      <c r="X184" s="97"/>
      <c r="Y184" s="97">
        <v>1</v>
      </c>
      <c r="Z184" s="98"/>
    </row>
    <row r="185" spans="1:26" ht="18">
      <c r="A185" s="88">
        <f t="shared" si="6"/>
        <v>174</v>
      </c>
      <c r="B185" s="89"/>
      <c r="C185" s="90" t="s">
        <v>643</v>
      </c>
      <c r="D185" s="90" t="s">
        <v>5</v>
      </c>
      <c r="E185" s="91"/>
      <c r="F185" s="108">
        <v>7074804517</v>
      </c>
      <c r="G185" s="93" t="s">
        <v>644</v>
      </c>
      <c r="H185" s="94"/>
      <c r="I185" s="89"/>
      <c r="J185" s="89"/>
      <c r="K185" s="89"/>
      <c r="L185" s="89"/>
      <c r="M185" s="89"/>
      <c r="N185" s="89"/>
      <c r="O185" s="95">
        <f>T185*N185</f>
        <v>0</v>
      </c>
      <c r="P185" s="89"/>
      <c r="Q185" s="89"/>
      <c r="R185" s="96" t="str">
        <f>IF(OR(P185="c",P185="C"),+T185,"")</f>
        <v/>
      </c>
      <c r="S185" s="96" t="str">
        <f>IF(OR(P185="$",N185=1),+T185,"")</f>
        <v/>
      </c>
      <c r="T185" s="127">
        <f>H185*[0]!FMainPool1Fee+I185*[0]!FMainPool2Fee+J185*[0]!FMainPool3Fee+K185*[0]!FMainPool4Fee+B185*[0]!FMainEntryFee</f>
        <v>0</v>
      </c>
      <c r="U185" s="128"/>
      <c r="V185" s="129"/>
      <c r="W185" s="66"/>
      <c r="X185" s="97"/>
      <c r="Y185" s="97"/>
      <c r="Z185" s="98"/>
    </row>
    <row r="186" spans="1:26" ht="18">
      <c r="A186" s="88">
        <f t="shared" si="6"/>
        <v>175</v>
      </c>
      <c r="B186" s="89"/>
      <c r="C186" s="102" t="s">
        <v>68</v>
      </c>
      <c r="D186" s="102" t="s">
        <v>26</v>
      </c>
      <c r="E186" s="103" t="s">
        <v>225</v>
      </c>
      <c r="F186" s="107"/>
      <c r="G186" s="105" t="s">
        <v>149</v>
      </c>
      <c r="H186" s="94"/>
      <c r="I186" s="89"/>
      <c r="J186" s="89"/>
      <c r="K186" s="89"/>
      <c r="L186" s="89"/>
      <c r="M186" s="89"/>
      <c r="N186" s="89"/>
      <c r="O186" s="95">
        <f>T186*N186</f>
        <v>0</v>
      </c>
      <c r="P186" s="89"/>
      <c r="Q186" s="89"/>
      <c r="R186" s="96" t="str">
        <f>IF(OR(P186="c",P186="C"),+T186,"")</f>
        <v/>
      </c>
      <c r="S186" s="96" t="str">
        <f>IF(OR(P186="$",N186=1),+T186,"")</f>
        <v/>
      </c>
      <c r="T186" s="127">
        <f>H186*[0]!FMainPool1Fee+I186*[0]!FMainPool2Fee+J186*[0]!FMainPool3Fee+K186*[0]!FMainPool4Fee+B186*[0]!FMainEntryFee</f>
        <v>0</v>
      </c>
      <c r="U186" s="128"/>
      <c r="V186" s="129"/>
      <c r="W186" s="66"/>
      <c r="X186" s="97"/>
      <c r="Y186" s="97"/>
      <c r="Z186" s="98"/>
    </row>
    <row r="187" spans="1:26" ht="18">
      <c r="A187" s="88">
        <f t="shared" si="6"/>
        <v>176</v>
      </c>
      <c r="B187" s="89"/>
      <c r="C187" s="90" t="s">
        <v>405</v>
      </c>
      <c r="D187" s="90" t="s">
        <v>407</v>
      </c>
      <c r="E187" s="91" t="s">
        <v>406</v>
      </c>
      <c r="F187" s="92"/>
      <c r="G187" s="105" t="s">
        <v>408</v>
      </c>
      <c r="H187" s="94"/>
      <c r="I187" s="89"/>
      <c r="J187" s="89"/>
      <c r="K187" s="89"/>
      <c r="L187" s="89"/>
      <c r="M187" s="89"/>
      <c r="N187" s="89"/>
      <c r="O187" s="95">
        <f>T187*N187</f>
        <v>0</v>
      </c>
      <c r="P187" s="89"/>
      <c r="Q187" s="89"/>
      <c r="R187" s="96" t="str">
        <f>IF(OR(P187="c",P187="C"),+T187,"")</f>
        <v/>
      </c>
      <c r="S187" s="96" t="str">
        <f>IF(OR(P187="$",N187=1),+T187,"")</f>
        <v/>
      </c>
      <c r="T187" s="127">
        <f>H187*[0]!FMainPool1Fee+I187*[0]!FMainPool2Fee+J187*[0]!FMainPool3Fee+K187*[0]!FMainPool4Fee+B187*[0]!FMainEntryFee</f>
        <v>0</v>
      </c>
      <c r="U187" s="128"/>
      <c r="V187" s="129"/>
      <c r="W187" s="66"/>
      <c r="X187" s="97"/>
      <c r="Y187" s="97"/>
      <c r="Z187" s="98"/>
    </row>
    <row r="188" spans="1:26" ht="18">
      <c r="A188" s="88">
        <f t="shared" si="6"/>
        <v>177</v>
      </c>
      <c r="B188" s="89"/>
      <c r="C188" s="90" t="s">
        <v>334</v>
      </c>
      <c r="D188" s="90" t="s">
        <v>93</v>
      </c>
      <c r="E188" s="91"/>
      <c r="F188" s="92"/>
      <c r="G188" s="105" t="s">
        <v>333</v>
      </c>
      <c r="H188" s="94"/>
      <c r="I188" s="89"/>
      <c r="J188" s="89"/>
      <c r="K188" s="89"/>
      <c r="L188" s="89"/>
      <c r="M188" s="89"/>
      <c r="N188" s="89"/>
      <c r="O188" s="95">
        <f>T188*N188</f>
        <v>0</v>
      </c>
      <c r="P188" s="89"/>
      <c r="Q188" s="89"/>
      <c r="R188" s="96" t="str">
        <f>IF(OR(P188="c",P188="C"),+T188,"")</f>
        <v/>
      </c>
      <c r="S188" s="96" t="str">
        <f>IF(OR(P188="$",N188=1),+T188,"")</f>
        <v/>
      </c>
      <c r="T188" s="127">
        <f>H188*[0]!FMainPool1Fee+I188*[0]!FMainPool2Fee+J188*[0]!FMainPool3Fee+K188*[0]!FMainPool4Fee+B188*[0]!FMainEntryFee</f>
        <v>0</v>
      </c>
      <c r="U188" s="128"/>
      <c r="V188" s="129"/>
      <c r="W188" s="66"/>
      <c r="X188" s="97"/>
      <c r="Y188" s="97"/>
      <c r="Z188" s="98"/>
    </row>
    <row r="189" spans="1:26" ht="18">
      <c r="A189" s="88">
        <f t="shared" si="6"/>
        <v>178</v>
      </c>
      <c r="B189" s="89">
        <v>1</v>
      </c>
      <c r="C189" s="90" t="s">
        <v>429</v>
      </c>
      <c r="D189" s="90" t="s">
        <v>5</v>
      </c>
      <c r="E189" s="91" t="s">
        <v>430</v>
      </c>
      <c r="F189" s="92">
        <v>5303666465</v>
      </c>
      <c r="G189" s="93" t="s">
        <v>503</v>
      </c>
      <c r="H189" s="94"/>
      <c r="I189" s="89">
        <v>1</v>
      </c>
      <c r="J189" s="89"/>
      <c r="K189" s="89"/>
      <c r="L189" s="89"/>
      <c r="M189" s="89"/>
      <c r="N189" s="89"/>
      <c r="O189" s="95">
        <f>T189*N189</f>
        <v>0</v>
      </c>
      <c r="P189" s="89" t="s">
        <v>692</v>
      </c>
      <c r="Q189" s="89">
        <v>8445</v>
      </c>
      <c r="R189" s="96">
        <f>IF(OR(P189="c",P189="C"),+T189,"")</f>
        <v>80</v>
      </c>
      <c r="S189" s="96" t="str">
        <f>IF(OR(P189="$",N189=1),+T189,"")</f>
        <v/>
      </c>
      <c r="T189" s="127">
        <f>H189*[0]!FMainPool1Fee+I189*[0]!FMainPool2Fee+J189*[0]!FMainPool3Fee+K189*[0]!FMainPool4Fee+B189*[0]!FMainEntryFee</f>
        <v>80</v>
      </c>
      <c r="U189" s="128"/>
      <c r="V189" s="129"/>
      <c r="W189" s="66"/>
      <c r="X189" s="97">
        <v>1</v>
      </c>
      <c r="Y189" s="97"/>
      <c r="Z189" s="98" t="s">
        <v>762</v>
      </c>
    </row>
    <row r="190" spans="1:26" ht="18">
      <c r="A190" s="88">
        <f t="shared" si="6"/>
        <v>179</v>
      </c>
      <c r="B190" s="89"/>
      <c r="C190" s="99" t="s">
        <v>608</v>
      </c>
      <c r="D190" s="99" t="s">
        <v>10</v>
      </c>
      <c r="E190" s="66" t="s">
        <v>584</v>
      </c>
      <c r="F190" s="108"/>
      <c r="G190" s="93" t="s">
        <v>609</v>
      </c>
      <c r="H190" s="94"/>
      <c r="I190" s="89"/>
      <c r="J190" s="89"/>
      <c r="K190" s="89"/>
      <c r="L190" s="89"/>
      <c r="M190" s="89"/>
      <c r="N190" s="89"/>
      <c r="O190" s="95">
        <f>T190*N190</f>
        <v>0</v>
      </c>
      <c r="P190" s="89"/>
      <c r="Q190" s="89"/>
      <c r="R190" s="96" t="str">
        <f>IF(OR(P190="c",P190="C"),+T190,"")</f>
        <v/>
      </c>
      <c r="S190" s="96" t="str">
        <f>IF(OR(P190="$",N190=1),+T190,"")</f>
        <v/>
      </c>
      <c r="T190" s="127">
        <f>H190*[0]!FMainPool1Fee+I190*[0]!FMainPool2Fee+J190*[0]!FMainPool3Fee+K190*[0]!FMainPool4Fee+B190*[0]!FMainEntryFee</f>
        <v>0</v>
      </c>
      <c r="U190" s="128"/>
      <c r="V190" s="129"/>
      <c r="W190" s="66"/>
      <c r="X190" s="97"/>
      <c r="Y190" s="97"/>
      <c r="Z190" s="98"/>
    </row>
    <row r="191" spans="1:26" ht="18">
      <c r="A191" s="88">
        <f t="shared" si="6"/>
        <v>180</v>
      </c>
      <c r="B191" s="89"/>
      <c r="C191" s="102" t="s">
        <v>52</v>
      </c>
      <c r="D191" s="102" t="s">
        <v>15</v>
      </c>
      <c r="E191" s="103" t="s">
        <v>217</v>
      </c>
      <c r="F191" s="107"/>
      <c r="G191" s="105" t="s">
        <v>386</v>
      </c>
      <c r="H191" s="94"/>
      <c r="I191" s="89"/>
      <c r="J191" s="89"/>
      <c r="K191" s="89"/>
      <c r="L191" s="89"/>
      <c r="M191" s="89"/>
      <c r="N191" s="89"/>
      <c r="O191" s="95">
        <f>T191*N191</f>
        <v>0</v>
      </c>
      <c r="P191" s="89"/>
      <c r="Q191" s="89"/>
      <c r="R191" s="96" t="str">
        <f>IF(OR(P191="c",P191="C"),+T191,"")</f>
        <v/>
      </c>
      <c r="S191" s="96" t="str">
        <f>IF(OR(P191="$",N191=1),+T191,"")</f>
        <v/>
      </c>
      <c r="T191" s="127">
        <f>H191*[0]!FMainPool1Fee+I191*[0]!FMainPool2Fee+J191*[0]!FMainPool3Fee+K191*[0]!FMainPool4Fee+B191*[0]!FMainEntryFee</f>
        <v>0</v>
      </c>
      <c r="U191" s="128"/>
      <c r="V191" s="129"/>
      <c r="W191" s="66"/>
      <c r="X191" s="97"/>
      <c r="Y191" s="97"/>
      <c r="Z191" s="98" t="s">
        <v>768</v>
      </c>
    </row>
    <row r="192" spans="1:26" ht="18">
      <c r="A192" s="88">
        <f t="shared" si="6"/>
        <v>181</v>
      </c>
      <c r="B192" s="89">
        <v>1</v>
      </c>
      <c r="C192" s="102" t="s">
        <v>37</v>
      </c>
      <c r="D192" s="102" t="s">
        <v>5</v>
      </c>
      <c r="E192" s="103" t="s">
        <v>192</v>
      </c>
      <c r="F192" s="107">
        <v>7072524331</v>
      </c>
      <c r="G192" s="105" t="s">
        <v>359</v>
      </c>
      <c r="H192" s="94">
        <v>1</v>
      </c>
      <c r="I192" s="89">
        <v>1</v>
      </c>
      <c r="J192" s="89">
        <v>1</v>
      </c>
      <c r="K192" s="89"/>
      <c r="L192" s="89"/>
      <c r="M192" s="89"/>
      <c r="N192" s="89"/>
      <c r="O192" s="95">
        <f>T192*N192</f>
        <v>0</v>
      </c>
      <c r="P192" s="89" t="s">
        <v>741</v>
      </c>
      <c r="Q192" s="89"/>
      <c r="R192" s="96" t="str">
        <f>IF(OR(P192="c",P192="C"),+T192,"")</f>
        <v/>
      </c>
      <c r="S192" s="96">
        <f>IF(OR(P192="$",N192=1),+T192,"")</f>
        <v>110</v>
      </c>
      <c r="T192" s="127">
        <f>H192*[0]!FMainPool1Fee+I192*[0]!FMainPool2Fee+J192*[0]!FMainPool3Fee+K192*[0]!FMainPool4Fee+B192*[0]!FMainEntryFee</f>
        <v>110</v>
      </c>
      <c r="U192" s="128"/>
      <c r="V192" s="129"/>
      <c r="W192" s="66"/>
      <c r="X192" s="97">
        <v>1</v>
      </c>
      <c r="Y192" s="97"/>
      <c r="Z192" s="98" t="s">
        <v>768</v>
      </c>
    </row>
    <row r="193" spans="1:26" ht="18">
      <c r="A193" s="88">
        <f t="shared" si="6"/>
        <v>182</v>
      </c>
      <c r="B193" s="89">
        <v>1</v>
      </c>
      <c r="C193" s="102" t="s">
        <v>60</v>
      </c>
      <c r="D193" s="102" t="s">
        <v>5</v>
      </c>
      <c r="E193" s="103" t="s">
        <v>193</v>
      </c>
      <c r="F193" s="107" t="s">
        <v>504</v>
      </c>
      <c r="G193" s="105" t="s">
        <v>360</v>
      </c>
      <c r="H193" s="94">
        <v>1</v>
      </c>
      <c r="I193" s="89">
        <v>1</v>
      </c>
      <c r="J193" s="89">
        <v>1</v>
      </c>
      <c r="K193" s="89">
        <v>1</v>
      </c>
      <c r="L193" s="89">
        <v>1</v>
      </c>
      <c r="M193" s="89">
        <v>1</v>
      </c>
      <c r="N193" s="89"/>
      <c r="O193" s="95">
        <f>T193*N193</f>
        <v>0</v>
      </c>
      <c r="P193" s="89" t="s">
        <v>741</v>
      </c>
      <c r="Q193" s="89"/>
      <c r="R193" s="96" t="str">
        <f>IF(OR(P193="c",P193="C"),+T193,"")</f>
        <v/>
      </c>
      <c r="S193" s="96">
        <f>IF(OR(P193="$",N193=1),+T193,"")</f>
        <v>160</v>
      </c>
      <c r="T193" s="127">
        <f>H193*[0]!FMainPool1Fee+I193*[0]!FMainPool2Fee+J193*[0]!FMainPool3Fee+K193*[0]!FMainPool4Fee+B193*[0]!FMainEntryFee</f>
        <v>160</v>
      </c>
      <c r="U193" s="128"/>
      <c r="V193" s="129"/>
      <c r="W193" s="66"/>
      <c r="X193" s="97">
        <v>1</v>
      </c>
      <c r="Y193" s="97"/>
      <c r="Z193" s="98"/>
    </row>
    <row r="194" spans="1:26" ht="18">
      <c r="A194" s="88">
        <f t="shared" si="6"/>
        <v>183</v>
      </c>
      <c r="B194" s="89">
        <v>1</v>
      </c>
      <c r="C194" s="105" t="s">
        <v>804</v>
      </c>
      <c r="D194" s="102" t="s">
        <v>803</v>
      </c>
      <c r="E194" s="103" t="s">
        <v>805</v>
      </c>
      <c r="F194" s="107">
        <v>5305666454</v>
      </c>
      <c r="G194" s="113" t="s">
        <v>675</v>
      </c>
      <c r="H194" s="94"/>
      <c r="I194" s="89"/>
      <c r="J194" s="89"/>
      <c r="K194" s="89"/>
      <c r="L194" s="89"/>
      <c r="M194" s="89"/>
      <c r="N194" s="89"/>
      <c r="O194" s="95">
        <f>T194*N194</f>
        <v>0</v>
      </c>
      <c r="P194" s="89" t="s">
        <v>741</v>
      </c>
      <c r="Q194" s="89"/>
      <c r="R194" s="96" t="str">
        <f>IF(OR(P194="c",P194="C"),+T194,"")</f>
        <v/>
      </c>
      <c r="S194" s="96">
        <f>IF(OR(P194="$",N194=1),+T194,"")</f>
        <v>70</v>
      </c>
      <c r="T194" s="127">
        <f>H194*[0]!FMainPool1Fee+I194*[0]!FMainPool2Fee+J194*[0]!FMainPool3Fee+K194*[0]!FMainPool4Fee+B194*[0]!FMainEntryFee</f>
        <v>70</v>
      </c>
      <c r="U194" s="128"/>
      <c r="V194" s="129"/>
      <c r="W194" s="66"/>
      <c r="X194" s="97">
        <v>1</v>
      </c>
      <c r="Y194" s="97"/>
      <c r="Z194" s="98" t="s">
        <v>806</v>
      </c>
    </row>
    <row r="195" spans="1:26" ht="18">
      <c r="A195" s="88">
        <f t="shared" si="6"/>
        <v>184</v>
      </c>
      <c r="B195" s="89"/>
      <c r="C195" s="102" t="s">
        <v>74</v>
      </c>
      <c r="D195" s="102" t="s">
        <v>75</v>
      </c>
      <c r="E195" s="103" t="s">
        <v>163</v>
      </c>
      <c r="F195" s="107"/>
      <c r="G195" s="105" t="s">
        <v>361</v>
      </c>
      <c r="H195" s="94"/>
      <c r="I195" s="89"/>
      <c r="J195" s="89"/>
      <c r="K195" s="89"/>
      <c r="L195" s="89"/>
      <c r="M195" s="89"/>
      <c r="N195" s="89"/>
      <c r="O195" s="95">
        <f>T195*N195</f>
        <v>0</v>
      </c>
      <c r="P195" s="89"/>
      <c r="Q195" s="89"/>
      <c r="R195" s="96" t="str">
        <f>IF(OR(P195="c",P195="C"),+T195,"")</f>
        <v/>
      </c>
      <c r="S195" s="96" t="str">
        <f>IF(OR(P195="$",N195=1),+T195,"")</f>
        <v/>
      </c>
      <c r="T195" s="127">
        <f>H195*[0]!FMainPool1Fee+I195*[0]!FMainPool2Fee+J195*[0]!FMainPool3Fee+K195*[0]!FMainPool4Fee+B195*[0]!FMainEntryFee</f>
        <v>0</v>
      </c>
      <c r="U195" s="128"/>
      <c r="V195" s="129"/>
      <c r="W195" s="66"/>
      <c r="X195" s="97"/>
      <c r="Y195" s="97"/>
      <c r="Z195" s="98"/>
    </row>
    <row r="196" spans="1:26" ht="18">
      <c r="A196" s="88">
        <f t="shared" si="6"/>
        <v>185</v>
      </c>
      <c r="B196" s="89"/>
      <c r="C196" s="90" t="s">
        <v>238</v>
      </c>
      <c r="D196" s="90" t="s">
        <v>239</v>
      </c>
      <c r="E196" s="91" t="s">
        <v>240</v>
      </c>
      <c r="F196" s="92"/>
      <c r="G196" s="105" t="s">
        <v>387</v>
      </c>
      <c r="H196" s="94"/>
      <c r="I196" s="89"/>
      <c r="J196" s="89"/>
      <c r="K196" s="89"/>
      <c r="L196" s="89"/>
      <c r="M196" s="89"/>
      <c r="N196" s="89"/>
      <c r="O196" s="95">
        <f>T196*N196</f>
        <v>0</v>
      </c>
      <c r="P196" s="89"/>
      <c r="Q196" s="89"/>
      <c r="R196" s="96" t="str">
        <f>IF(OR(P196="c",P196="C"),+T196,"")</f>
        <v/>
      </c>
      <c r="S196" s="96" t="str">
        <f>IF(OR(P196="$",N196=1),+T196,"")</f>
        <v/>
      </c>
      <c r="T196" s="127">
        <f>H196*[0]!FMainPool1Fee+I196*[0]!FMainPool2Fee+J196*[0]!FMainPool3Fee+K196*[0]!FMainPool4Fee+B196*[0]!FMainEntryFee</f>
        <v>0</v>
      </c>
      <c r="U196" s="128"/>
      <c r="V196" s="129"/>
      <c r="W196" s="66"/>
      <c r="X196" s="97"/>
      <c r="Y196" s="97"/>
      <c r="Z196" s="98"/>
    </row>
    <row r="197" spans="1:26" ht="18">
      <c r="A197" s="88">
        <f t="shared" si="6"/>
        <v>186</v>
      </c>
      <c r="B197" s="89"/>
      <c r="C197" s="90" t="s">
        <v>319</v>
      </c>
      <c r="D197" s="90" t="s">
        <v>133</v>
      </c>
      <c r="E197" s="91" t="s">
        <v>320</v>
      </c>
      <c r="F197" s="92"/>
      <c r="G197" s="105" t="s">
        <v>362</v>
      </c>
      <c r="H197" s="94"/>
      <c r="I197" s="89"/>
      <c r="J197" s="89"/>
      <c r="K197" s="89"/>
      <c r="L197" s="89"/>
      <c r="M197" s="89"/>
      <c r="N197" s="89"/>
      <c r="O197" s="95">
        <f>T197*N197</f>
        <v>0</v>
      </c>
      <c r="P197" s="89"/>
      <c r="Q197" s="89"/>
      <c r="R197" s="96" t="str">
        <f>IF(OR(P197="c",P197="C"),+T197,"")</f>
        <v/>
      </c>
      <c r="S197" s="96" t="str">
        <f>IF(OR(P197="$",N197=1),+T197,"")</f>
        <v/>
      </c>
      <c r="T197" s="127">
        <f>H197*[0]!FMainPool1Fee+I197*[0]!FMainPool2Fee+J197*[0]!FMainPool3Fee+K197*[0]!FMainPool4Fee+B197*[0]!FMainEntryFee</f>
        <v>0</v>
      </c>
      <c r="U197" s="128"/>
      <c r="V197" s="129"/>
      <c r="W197" s="66"/>
      <c r="X197" s="97"/>
      <c r="Y197" s="97"/>
      <c r="Z197" s="98"/>
    </row>
    <row r="198" spans="1:26" ht="18">
      <c r="A198" s="88">
        <f t="shared" ref="A198:A216" si="7">ROW() - ROW(FRegentiresEneteredHdr)</f>
        <v>187</v>
      </c>
      <c r="B198" s="89">
        <v>1</v>
      </c>
      <c r="C198" s="102" t="s">
        <v>67</v>
      </c>
      <c r="D198" s="102" t="s">
        <v>69</v>
      </c>
      <c r="E198" s="103" t="s">
        <v>218</v>
      </c>
      <c r="F198" s="92"/>
      <c r="G198" s="105" t="s">
        <v>337</v>
      </c>
      <c r="H198" s="94">
        <v>1</v>
      </c>
      <c r="I198" s="89"/>
      <c r="J198" s="89"/>
      <c r="K198" s="89"/>
      <c r="L198" s="89"/>
      <c r="M198" s="89"/>
      <c r="N198" s="89"/>
      <c r="O198" s="95">
        <f>T198*N198</f>
        <v>0</v>
      </c>
      <c r="P198" s="89" t="s">
        <v>692</v>
      </c>
      <c r="Q198" s="89">
        <v>2497</v>
      </c>
      <c r="R198" s="96">
        <f>IF(OR(P198="c",P198="C"),+T198,"")</f>
        <v>80</v>
      </c>
      <c r="S198" s="96" t="str">
        <f>IF(OR(P198="$",N198=1),+T198,"")</f>
        <v/>
      </c>
      <c r="T198" s="127">
        <f>H198*[0]!FMainPool1Fee+I198*[0]!FMainPool2Fee+J198*[0]!FMainPool3Fee+K198*[0]!FMainPool4Fee+B198*[0]!FMainEntryFee</f>
        <v>80</v>
      </c>
      <c r="U198" s="128"/>
      <c r="V198" s="129"/>
      <c r="W198" s="66">
        <v>1</v>
      </c>
      <c r="X198" s="97"/>
      <c r="Y198" s="97"/>
      <c r="Z198" s="98"/>
    </row>
    <row r="199" spans="1:26" ht="18">
      <c r="A199" s="88">
        <f t="shared" si="7"/>
        <v>188</v>
      </c>
      <c r="B199" s="89"/>
      <c r="C199" s="90" t="s">
        <v>431</v>
      </c>
      <c r="D199" s="90" t="s">
        <v>19</v>
      </c>
      <c r="E199" s="91" t="s">
        <v>432</v>
      </c>
      <c r="F199" s="108" t="s">
        <v>505</v>
      </c>
      <c r="G199" s="99" t="s">
        <v>506</v>
      </c>
      <c r="H199" s="94"/>
      <c r="I199" s="89"/>
      <c r="J199" s="89"/>
      <c r="K199" s="89"/>
      <c r="L199" s="89"/>
      <c r="M199" s="89"/>
      <c r="N199" s="89"/>
      <c r="O199" s="95">
        <f>T199*N199</f>
        <v>0</v>
      </c>
      <c r="P199" s="89"/>
      <c r="Q199" s="89"/>
      <c r="R199" s="96" t="str">
        <f>IF(OR(P199="c",P199="C"),+T199,"")</f>
        <v/>
      </c>
      <c r="S199" s="96" t="str">
        <f>IF(OR(P199="$",N199=1),+T199,"")</f>
        <v/>
      </c>
      <c r="T199" s="127">
        <f>H199*[0]!FMainPool1Fee+I199*[0]!FMainPool2Fee+J199*[0]!FMainPool3Fee+K199*[0]!FMainPool4Fee+B199*[0]!FMainEntryFee</f>
        <v>0</v>
      </c>
      <c r="U199" s="128"/>
      <c r="V199" s="129"/>
      <c r="W199" s="66"/>
      <c r="X199" s="97"/>
      <c r="Y199" s="97"/>
      <c r="Z199" s="98"/>
    </row>
    <row r="200" spans="1:26" ht="18">
      <c r="A200" s="88">
        <f t="shared" si="7"/>
        <v>189</v>
      </c>
      <c r="B200" s="89"/>
      <c r="C200" s="90" t="s">
        <v>243</v>
      </c>
      <c r="D200" s="90" t="s">
        <v>57</v>
      </c>
      <c r="E200" s="91" t="s">
        <v>291</v>
      </c>
      <c r="F200" s="92"/>
      <c r="G200" s="105"/>
      <c r="H200" s="94"/>
      <c r="I200" s="89"/>
      <c r="J200" s="89"/>
      <c r="K200" s="89"/>
      <c r="L200" s="89"/>
      <c r="M200" s="89"/>
      <c r="N200" s="89"/>
      <c r="O200" s="95">
        <f>T200*N200</f>
        <v>0</v>
      </c>
      <c r="P200" s="89"/>
      <c r="Q200" s="89"/>
      <c r="R200" s="96" t="str">
        <f>IF(OR(P200="c",P200="C"),+T200,"")</f>
        <v/>
      </c>
      <c r="S200" s="96" t="str">
        <f>IF(OR(P200="$",N200=1),+T200,"")</f>
        <v/>
      </c>
      <c r="T200" s="127">
        <f>H200*[0]!FMainPool1Fee+I200*[0]!FMainPool2Fee+J200*[0]!FMainPool3Fee+K200*[0]!FMainPool4Fee+B200*[0]!FMainEntryFee</f>
        <v>0</v>
      </c>
      <c r="U200" s="128"/>
      <c r="V200" s="129"/>
      <c r="W200" s="66"/>
      <c r="X200" s="97"/>
      <c r="Y200" s="97"/>
      <c r="Z200" s="98"/>
    </row>
    <row r="201" spans="1:26" ht="18">
      <c r="A201" s="88">
        <f t="shared" si="7"/>
        <v>190</v>
      </c>
      <c r="B201" s="89"/>
      <c r="C201" s="90" t="s">
        <v>285</v>
      </c>
      <c r="D201" s="90" t="s">
        <v>286</v>
      </c>
      <c r="E201" s="91" t="s">
        <v>287</v>
      </c>
      <c r="F201" s="92"/>
      <c r="G201" s="105"/>
      <c r="H201" s="94"/>
      <c r="I201" s="89"/>
      <c r="J201" s="89"/>
      <c r="K201" s="89"/>
      <c r="L201" s="89"/>
      <c r="M201" s="89"/>
      <c r="N201" s="89"/>
      <c r="O201" s="95">
        <f>T201*N201</f>
        <v>0</v>
      </c>
      <c r="P201" s="89"/>
      <c r="Q201" s="89"/>
      <c r="R201" s="96" t="str">
        <f>IF(OR(P201="c",P201="C"),+T201,"")</f>
        <v/>
      </c>
      <c r="S201" s="96" t="str">
        <f>IF(OR(P201="$",N201=1),+T201,"")</f>
        <v/>
      </c>
      <c r="T201" s="127">
        <f>H201*[0]!FMainPool1Fee+I201*[0]!FMainPool2Fee+J201*[0]!FMainPool3Fee+K201*[0]!FMainPool4Fee+B201*[0]!FMainEntryFee</f>
        <v>0</v>
      </c>
      <c r="U201" s="128"/>
      <c r="V201" s="129"/>
      <c r="W201" s="66"/>
      <c r="X201" s="97"/>
      <c r="Y201" s="97"/>
      <c r="Z201" s="98"/>
    </row>
    <row r="202" spans="1:26" ht="18">
      <c r="A202" s="88">
        <f t="shared" si="7"/>
        <v>191</v>
      </c>
      <c r="B202" s="89"/>
      <c r="C202" s="90" t="s">
        <v>316</v>
      </c>
      <c r="D202" s="90" t="s">
        <v>317</v>
      </c>
      <c r="E202" s="91" t="s">
        <v>318</v>
      </c>
      <c r="F202" s="92"/>
      <c r="G202" s="105" t="s">
        <v>363</v>
      </c>
      <c r="H202" s="94"/>
      <c r="I202" s="89"/>
      <c r="J202" s="89"/>
      <c r="K202" s="89"/>
      <c r="L202" s="89"/>
      <c r="M202" s="89"/>
      <c r="N202" s="89"/>
      <c r="O202" s="95">
        <f>T202*N202</f>
        <v>0</v>
      </c>
      <c r="P202" s="89"/>
      <c r="Q202" s="89"/>
      <c r="R202" s="96" t="str">
        <f>IF(OR(P202="c",P202="C"),+T202,"")</f>
        <v/>
      </c>
      <c r="S202" s="96" t="str">
        <f>IF(OR(P202="$",N202=1),+T202,"")</f>
        <v/>
      </c>
      <c r="T202" s="127">
        <f>H202*[0]!FMainPool1Fee+I202*[0]!FMainPool2Fee+J202*[0]!FMainPool3Fee+K202*[0]!FMainPool4Fee+B202*[0]!FMainEntryFee</f>
        <v>0</v>
      </c>
      <c r="U202" s="128"/>
      <c r="V202" s="129"/>
      <c r="W202" s="66"/>
      <c r="X202" s="97"/>
      <c r="Y202" s="97"/>
      <c r="Z202" s="98"/>
    </row>
    <row r="203" spans="1:26" ht="18">
      <c r="A203" s="88">
        <f t="shared" si="7"/>
        <v>192</v>
      </c>
      <c r="B203" s="89"/>
      <c r="C203" s="90" t="s">
        <v>433</v>
      </c>
      <c r="D203" s="90" t="s">
        <v>447</v>
      </c>
      <c r="E203" s="91" t="s">
        <v>434</v>
      </c>
      <c r="F203" s="92">
        <v>7075087889</v>
      </c>
      <c r="G203" s="116" t="s">
        <v>711</v>
      </c>
      <c r="H203" s="94"/>
      <c r="I203" s="89"/>
      <c r="J203" s="89"/>
      <c r="K203" s="89"/>
      <c r="L203" s="89"/>
      <c r="M203" s="89"/>
      <c r="N203" s="89"/>
      <c r="O203" s="95">
        <f>T203*N203</f>
        <v>0</v>
      </c>
      <c r="P203" s="89"/>
      <c r="Q203" s="89"/>
      <c r="R203" s="96" t="str">
        <f>IF(OR(P203="c",P203="C"),+T203,"")</f>
        <v/>
      </c>
      <c r="S203" s="96" t="str">
        <f>IF(OR(P203="$",N203=1),+T203,"")</f>
        <v/>
      </c>
      <c r="T203" s="127">
        <f>H203*[0]!FMainPool1Fee+I203*[0]!FMainPool2Fee+J203*[0]!FMainPool3Fee+K203*[0]!FMainPool4Fee+B203*[0]!FMainEntryFee</f>
        <v>0</v>
      </c>
      <c r="U203" s="128"/>
      <c r="V203" s="129"/>
      <c r="W203" s="66"/>
      <c r="X203" s="97"/>
      <c r="Y203" s="97"/>
      <c r="Z203" s="98"/>
    </row>
    <row r="204" spans="1:26" ht="18">
      <c r="A204" s="88">
        <f t="shared" si="7"/>
        <v>193</v>
      </c>
      <c r="B204" s="89"/>
      <c r="C204" s="90" t="s">
        <v>98</v>
      </c>
      <c r="D204" s="90" t="s">
        <v>99</v>
      </c>
      <c r="E204" s="91" t="s">
        <v>219</v>
      </c>
      <c r="F204" s="92"/>
      <c r="G204" s="105" t="s">
        <v>388</v>
      </c>
      <c r="H204" s="94"/>
      <c r="I204" s="89"/>
      <c r="J204" s="89"/>
      <c r="K204" s="89"/>
      <c r="L204" s="89"/>
      <c r="M204" s="89"/>
      <c r="N204" s="89"/>
      <c r="O204" s="95">
        <f>T204*N204</f>
        <v>0</v>
      </c>
      <c r="P204" s="89"/>
      <c r="Q204" s="89"/>
      <c r="R204" s="96" t="str">
        <f>IF(OR(P204="c",P204="C"),+T204,"")</f>
        <v/>
      </c>
      <c r="S204" s="96" t="str">
        <f>IF(OR(P204="$",N204=1),+T204,"")</f>
        <v/>
      </c>
      <c r="T204" s="127">
        <f>H204*[0]!FMainPool1Fee+I204*[0]!FMainPool2Fee+J204*[0]!FMainPool3Fee+K204*[0]!FMainPool4Fee+B204*[0]!FMainEntryFee</f>
        <v>0</v>
      </c>
      <c r="U204" s="128"/>
      <c r="V204" s="129"/>
      <c r="W204" s="66"/>
      <c r="X204" s="97"/>
      <c r="Y204" s="97"/>
      <c r="Z204" s="98"/>
    </row>
    <row r="205" spans="1:26" ht="18">
      <c r="A205" s="88">
        <f t="shared" si="7"/>
        <v>194</v>
      </c>
      <c r="B205" s="89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94"/>
      <c r="I205" s="89"/>
      <c r="J205" s="89"/>
      <c r="K205" s="89"/>
      <c r="L205" s="89"/>
      <c r="M205" s="89"/>
      <c r="N205" s="89"/>
      <c r="O205" s="95">
        <f>T205*N205</f>
        <v>0</v>
      </c>
      <c r="P205" s="89"/>
      <c r="Q205" s="89"/>
      <c r="R205" s="96" t="str">
        <f>IF(OR(P205="c",P205="C"),+T205,"")</f>
        <v/>
      </c>
      <c r="S205" s="96" t="str">
        <f>IF(OR(P205="$",N205=1),+T205,"")</f>
        <v/>
      </c>
      <c r="T205" s="127">
        <f>H205*[0]!FMainPool1Fee+I205*[0]!FMainPool2Fee+J205*[0]!FMainPool3Fee+K205*[0]!FMainPool4Fee+B205*[0]!FMainEntryFee</f>
        <v>0</v>
      </c>
      <c r="U205" s="128"/>
      <c r="V205" s="129"/>
      <c r="W205" s="66"/>
      <c r="X205" s="97"/>
      <c r="Y205" s="97"/>
      <c r="Z205" s="98"/>
    </row>
    <row r="206" spans="1:26" ht="18">
      <c r="A206" s="88">
        <f t="shared" si="7"/>
        <v>195</v>
      </c>
      <c r="B206" s="89"/>
      <c r="C206" s="102" t="s">
        <v>20</v>
      </c>
      <c r="D206" s="102" t="s">
        <v>19</v>
      </c>
      <c r="E206" s="103" t="s">
        <v>220</v>
      </c>
      <c r="F206" s="107"/>
      <c r="G206" s="105"/>
      <c r="H206" s="94"/>
      <c r="I206" s="89"/>
      <c r="J206" s="89"/>
      <c r="K206" s="89"/>
      <c r="L206" s="89"/>
      <c r="M206" s="89"/>
      <c r="N206" s="89"/>
      <c r="O206" s="95">
        <f>T206*N206</f>
        <v>0</v>
      </c>
      <c r="P206" s="89"/>
      <c r="Q206" s="89"/>
      <c r="R206" s="96" t="str">
        <f>IF(OR(P206="c",P206="C"),+T206,"")</f>
        <v/>
      </c>
      <c r="S206" s="96" t="str">
        <f>IF(OR(P206="$",N206=1),+T206,"")</f>
        <v/>
      </c>
      <c r="T206" s="127">
        <f>H206*[0]!FMainPool1Fee+I206*[0]!FMainPool2Fee+J206*[0]!FMainPool3Fee+K206*[0]!FMainPool4Fee+B206*[0]!FMainEntryFee</f>
        <v>0</v>
      </c>
      <c r="U206" s="128"/>
      <c r="V206" s="129"/>
      <c r="W206" s="66"/>
      <c r="X206" s="97"/>
      <c r="Y206" s="97"/>
      <c r="Z206" s="98"/>
    </row>
    <row r="207" spans="1:26" ht="18">
      <c r="A207" s="88">
        <f t="shared" si="7"/>
        <v>196</v>
      </c>
      <c r="B207" s="89"/>
      <c r="C207" s="102" t="s">
        <v>677</v>
      </c>
      <c r="D207" s="102" t="s">
        <v>450</v>
      </c>
      <c r="E207" s="103" t="s">
        <v>678</v>
      </c>
      <c r="F207" s="107"/>
      <c r="G207" s="105"/>
      <c r="H207" s="94"/>
      <c r="I207" s="89"/>
      <c r="J207" s="89"/>
      <c r="K207" s="89"/>
      <c r="L207" s="89"/>
      <c r="M207" s="89"/>
      <c r="N207" s="89"/>
      <c r="O207" s="95">
        <f>T207*N207</f>
        <v>0</v>
      </c>
      <c r="P207" s="89"/>
      <c r="Q207" s="89"/>
      <c r="R207" s="96" t="str">
        <f>IF(OR(P207="c",P207="C"),+T207,"")</f>
        <v/>
      </c>
      <c r="S207" s="96" t="str">
        <f>IF(OR(P207="$",N207=1),+T207,"")</f>
        <v/>
      </c>
      <c r="T207" s="127">
        <f>H207*[0]!FMainPool1Fee+I207*[0]!FMainPool2Fee+J207*[0]!FMainPool3Fee+K207*[0]!FMainPool4Fee+B207*[0]!FMainEntryFee</f>
        <v>0</v>
      </c>
      <c r="U207" s="128"/>
      <c r="V207" s="129"/>
      <c r="W207" s="66"/>
      <c r="X207" s="97"/>
      <c r="Y207" s="97"/>
      <c r="Z207" s="98"/>
    </row>
    <row r="208" spans="1:26" ht="18">
      <c r="A208" s="88">
        <f t="shared" si="7"/>
        <v>197</v>
      </c>
      <c r="B208" s="89"/>
      <c r="C208" s="90" t="s">
        <v>230</v>
      </c>
      <c r="D208" s="90" t="s">
        <v>22</v>
      </c>
      <c r="E208" s="91" t="s">
        <v>231</v>
      </c>
      <c r="F208" s="92"/>
      <c r="G208" s="105" t="s">
        <v>389</v>
      </c>
      <c r="H208" s="94"/>
      <c r="I208" s="89"/>
      <c r="J208" s="89"/>
      <c r="K208" s="89"/>
      <c r="L208" s="89"/>
      <c r="M208" s="89"/>
      <c r="N208" s="89"/>
      <c r="O208" s="95">
        <f>T208*N208</f>
        <v>0</v>
      </c>
      <c r="P208" s="89"/>
      <c r="Q208" s="89"/>
      <c r="R208" s="96" t="str">
        <f>IF(OR(P208="c",P208="C"),+T208,"")</f>
        <v/>
      </c>
      <c r="S208" s="96" t="str">
        <f>IF(OR(P208="$",N208=1),+T208,"")</f>
        <v/>
      </c>
      <c r="T208" s="127">
        <f>H208*[0]!FMainPool1Fee+I208*[0]!FMainPool2Fee+J208*[0]!FMainPool3Fee+K208*[0]!FMainPool4Fee+B208*[0]!FMainEntryFee</f>
        <v>0</v>
      </c>
      <c r="U208" s="128"/>
      <c r="V208" s="129"/>
      <c r="W208" s="66"/>
      <c r="X208" s="97"/>
      <c r="Y208" s="97"/>
      <c r="Z208" s="98"/>
    </row>
    <row r="209" spans="1:26" ht="18">
      <c r="A209" s="88">
        <f t="shared" si="7"/>
        <v>198</v>
      </c>
      <c r="B209" s="89"/>
      <c r="C209" s="90" t="s">
        <v>391</v>
      </c>
      <c r="D209" s="90" t="s">
        <v>236</v>
      </c>
      <c r="E209" s="91" t="s">
        <v>393</v>
      </c>
      <c r="F209" s="92"/>
      <c r="G209" s="105" t="s">
        <v>392</v>
      </c>
      <c r="H209" s="94"/>
      <c r="I209" s="89"/>
      <c r="J209" s="89"/>
      <c r="K209" s="89"/>
      <c r="L209" s="89"/>
      <c r="M209" s="89"/>
      <c r="N209" s="89"/>
      <c r="O209" s="95">
        <f>T209*N209</f>
        <v>0</v>
      </c>
      <c r="P209" s="89"/>
      <c r="Q209" s="89"/>
      <c r="R209" s="96" t="str">
        <f>IF(OR(P209="c",P209="C"),+T209,"")</f>
        <v/>
      </c>
      <c r="S209" s="96" t="str">
        <f>IF(OR(P209="$",N209=1),+T209,"")</f>
        <v/>
      </c>
      <c r="T209" s="127">
        <f>H209*[0]!FMainPool1Fee+I209*[0]!FMainPool2Fee+J209*[0]!FMainPool3Fee+K209*[0]!FMainPool4Fee+B209*[0]!FMainEntryFee</f>
        <v>0</v>
      </c>
      <c r="U209" s="128"/>
      <c r="V209" s="129"/>
      <c r="W209" s="66"/>
      <c r="X209" s="97"/>
      <c r="Y209" s="97"/>
      <c r="Z209" s="98"/>
    </row>
    <row r="210" spans="1:26" ht="18">
      <c r="A210" s="88">
        <f t="shared" si="7"/>
        <v>199</v>
      </c>
      <c r="B210" s="89"/>
      <c r="C210" s="90" t="s">
        <v>699</v>
      </c>
      <c r="D210" s="90" t="s">
        <v>700</v>
      </c>
      <c r="E210" s="91" t="s">
        <v>701</v>
      </c>
      <c r="F210" s="92">
        <v>4178488838</v>
      </c>
      <c r="G210" s="116" t="s">
        <v>702</v>
      </c>
      <c r="H210" s="94"/>
      <c r="I210" s="89"/>
      <c r="J210" s="89"/>
      <c r="K210" s="89"/>
      <c r="L210" s="89"/>
      <c r="M210" s="89"/>
      <c r="N210" s="89"/>
      <c r="O210" s="95">
        <f>T210*N210</f>
        <v>0</v>
      </c>
      <c r="P210" s="89"/>
      <c r="Q210" s="89"/>
      <c r="R210" s="96" t="str">
        <f>IF(OR(P210="c",P210="C"),+T210,"")</f>
        <v/>
      </c>
      <c r="S210" s="96" t="str">
        <f>IF(OR(P210="$",N210=1),+T210,"")</f>
        <v/>
      </c>
      <c r="T210" s="127">
        <f>H210*[0]!FMainPool1Fee+I210*[0]!FMainPool2Fee+J210*[0]!FMainPool3Fee+K210*[0]!FMainPool4Fee+B210*[0]!FMainEntryFee</f>
        <v>0</v>
      </c>
      <c r="U210" s="128"/>
      <c r="V210" s="129"/>
      <c r="W210" s="66"/>
      <c r="X210" s="97"/>
      <c r="Y210" s="97"/>
      <c r="Z210" s="98"/>
    </row>
    <row r="211" spans="1:26" ht="18">
      <c r="A211" s="88">
        <f t="shared" si="7"/>
        <v>200</v>
      </c>
      <c r="B211" s="89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94"/>
      <c r="I211" s="89"/>
      <c r="J211" s="89"/>
      <c r="K211" s="89"/>
      <c r="L211" s="89"/>
      <c r="M211" s="89"/>
      <c r="N211" s="89"/>
      <c r="O211" s="95">
        <f>T211*N211</f>
        <v>0</v>
      </c>
      <c r="P211" s="89"/>
      <c r="Q211" s="89"/>
      <c r="R211" s="96" t="str">
        <f>IF(OR(P211="c",P211="C"),+T211,"")</f>
        <v/>
      </c>
      <c r="S211" s="96" t="str">
        <f>IF(OR(P211="$",N211=1),+T211,"")</f>
        <v/>
      </c>
      <c r="T211" s="127">
        <f>H211*[0]!FMainPool1Fee+I211*[0]!FMainPool2Fee+J211*[0]!FMainPool3Fee+K211*[0]!FMainPool4Fee+B211*[0]!FMainEntryFee</f>
        <v>0</v>
      </c>
      <c r="U211" s="128"/>
      <c r="V211" s="129"/>
      <c r="W211" s="66"/>
      <c r="X211" s="97"/>
      <c r="Y211" s="97"/>
      <c r="Z211" s="98"/>
    </row>
    <row r="212" spans="1:26" ht="18">
      <c r="A212" s="88">
        <f t="shared" si="7"/>
        <v>201</v>
      </c>
      <c r="B212" s="89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94"/>
      <c r="I212" s="89"/>
      <c r="J212" s="89"/>
      <c r="K212" s="89"/>
      <c r="L212" s="89"/>
      <c r="M212" s="89"/>
      <c r="N212" s="89"/>
      <c r="O212" s="95">
        <f>T212*N212</f>
        <v>0</v>
      </c>
      <c r="P212" s="89"/>
      <c r="Q212" s="89"/>
      <c r="R212" s="96" t="str">
        <f>IF(OR(P212="c",P212="C"),+T212,"")</f>
        <v/>
      </c>
      <c r="S212" s="96" t="str">
        <f>IF(OR(P212="$",N212=1),+T212,"")</f>
        <v/>
      </c>
      <c r="T212" s="127">
        <f>H212*[0]!FMainPool1Fee+I212*[0]!FMainPool2Fee+J212*[0]!FMainPool3Fee+K212*[0]!FMainPool4Fee+B212*[0]!FMainEntryFee</f>
        <v>0</v>
      </c>
      <c r="U212" s="128"/>
      <c r="V212" s="129"/>
      <c r="W212" s="66"/>
      <c r="X212" s="97"/>
      <c r="Y212" s="97"/>
      <c r="Z212" s="98"/>
    </row>
    <row r="213" spans="1:26" ht="18">
      <c r="A213" s="88">
        <f t="shared" si="7"/>
        <v>202</v>
      </c>
      <c r="B213" s="89"/>
      <c r="C213" s="90" t="s">
        <v>310</v>
      </c>
      <c r="D213" s="90" t="s">
        <v>308</v>
      </c>
      <c r="E213" s="91" t="s">
        <v>311</v>
      </c>
      <c r="F213" s="92"/>
      <c r="G213" s="105"/>
      <c r="H213" s="94"/>
      <c r="I213" s="89"/>
      <c r="J213" s="89"/>
      <c r="K213" s="89"/>
      <c r="L213" s="89"/>
      <c r="M213" s="89"/>
      <c r="N213" s="89"/>
      <c r="O213" s="95">
        <f>T213*N213</f>
        <v>0</v>
      </c>
      <c r="P213" s="89"/>
      <c r="Q213" s="89"/>
      <c r="R213" s="96" t="str">
        <f>IF(OR(P213="c",P213="C"),+T213,"")</f>
        <v/>
      </c>
      <c r="S213" s="96" t="str">
        <f>IF(OR(P213="$",N213=1),+T213,"")</f>
        <v/>
      </c>
      <c r="T213" s="127">
        <f>H213*[0]!FMainPool1Fee+I213*[0]!FMainPool2Fee+J213*[0]!FMainPool3Fee+K213*[0]!FMainPool4Fee+B213*[0]!FMainEntryFee</f>
        <v>0</v>
      </c>
      <c r="U213" s="128"/>
      <c r="V213" s="129"/>
      <c r="W213" s="66"/>
      <c r="X213" s="97"/>
      <c r="Y213" s="97"/>
      <c r="Z213" s="98"/>
    </row>
    <row r="214" spans="1:26" ht="18">
      <c r="A214" s="88">
        <f t="shared" si="7"/>
        <v>203</v>
      </c>
      <c r="B214" s="89"/>
      <c r="C214" s="90" t="s">
        <v>307</v>
      </c>
      <c r="D214" s="90" t="s">
        <v>308</v>
      </c>
      <c r="E214" s="91" t="s">
        <v>309</v>
      </c>
      <c r="F214" s="108" t="s">
        <v>510</v>
      </c>
      <c r="G214" s="105" t="s">
        <v>390</v>
      </c>
      <c r="H214" s="94"/>
      <c r="I214" s="89"/>
      <c r="J214" s="89"/>
      <c r="K214" s="89"/>
      <c r="L214" s="89"/>
      <c r="M214" s="89"/>
      <c r="N214" s="89"/>
      <c r="O214" s="95">
        <f>T214*N214</f>
        <v>0</v>
      </c>
      <c r="P214" s="89"/>
      <c r="Q214" s="89"/>
      <c r="R214" s="96" t="str">
        <f>IF(OR(P214="c",P214="C"),+T214,"")</f>
        <v/>
      </c>
      <c r="S214" s="96" t="str">
        <f>IF(OR(P214="$",N214=1),+T214,"")</f>
        <v/>
      </c>
      <c r="T214" s="127">
        <f>H214*[0]!FMainPool1Fee+I214*[0]!FMainPool2Fee+J214*[0]!FMainPool3Fee+K214*[0]!FMainPool4Fee+B214*[0]!FMainEntryFee</f>
        <v>0</v>
      </c>
      <c r="U214" s="128"/>
      <c r="V214" s="129"/>
      <c r="W214" s="66"/>
      <c r="X214" s="97"/>
      <c r="Y214" s="97"/>
      <c r="Z214" s="98"/>
    </row>
    <row r="215" spans="1:26" ht="18">
      <c r="A215" s="88">
        <f t="shared" si="7"/>
        <v>204</v>
      </c>
      <c r="B215" s="89"/>
      <c r="C215" s="99" t="s">
        <v>610</v>
      </c>
      <c r="D215" s="99" t="s">
        <v>611</v>
      </c>
      <c r="E215" s="66" t="s">
        <v>612</v>
      </c>
      <c r="F215" s="108"/>
      <c r="G215" s="99"/>
      <c r="H215" s="94"/>
      <c r="I215" s="89"/>
      <c r="J215" s="89"/>
      <c r="K215" s="89"/>
      <c r="L215" s="89"/>
      <c r="M215" s="89"/>
      <c r="N215" s="89"/>
      <c r="O215" s="95">
        <f>T215*N215</f>
        <v>0</v>
      </c>
      <c r="P215" s="89"/>
      <c r="Q215" s="89"/>
      <c r="R215" s="96" t="str">
        <f>IF(OR(P215="c",P215="C"),+T215,"")</f>
        <v/>
      </c>
      <c r="S215" s="96" t="str">
        <f>IF(OR(P215="$",N215=1),+T215,"")</f>
        <v/>
      </c>
      <c r="T215" s="127">
        <f>H215*[0]!FMainPool1Fee+I215*[0]!FMainPool2Fee+J215*[0]!FMainPool3Fee+K215*[0]!FMainPool4Fee+B215*[0]!FMainEntryFee</f>
        <v>0</v>
      </c>
      <c r="U215" s="128"/>
      <c r="V215" s="129"/>
      <c r="W215" s="66"/>
      <c r="X215" s="97"/>
      <c r="Y215" s="97"/>
      <c r="Z215" s="98"/>
    </row>
    <row r="216" spans="1:26" ht="18">
      <c r="A216" s="88">
        <f t="shared" si="7"/>
        <v>205</v>
      </c>
      <c r="B216" s="89"/>
      <c r="C216" s="99" t="s">
        <v>613</v>
      </c>
      <c r="D216" s="99" t="s">
        <v>47</v>
      </c>
      <c r="E216" s="66" t="s">
        <v>614</v>
      </c>
      <c r="F216" s="108">
        <v>5103661378</v>
      </c>
      <c r="G216" s="93" t="s">
        <v>615</v>
      </c>
      <c r="H216" s="94"/>
      <c r="I216" s="89"/>
      <c r="J216" s="89"/>
      <c r="K216" s="89"/>
      <c r="L216" s="89"/>
      <c r="M216" s="89"/>
      <c r="N216" s="89"/>
      <c r="O216" s="95">
        <f>T216*N216</f>
        <v>0</v>
      </c>
      <c r="P216" s="89"/>
      <c r="Q216" s="89"/>
      <c r="R216" s="96" t="str">
        <f>IF(OR(P216="c",P216="C"),+T216,"")</f>
        <v/>
      </c>
      <c r="S216" s="96" t="str">
        <f>IF(OR(P216="$",N216=1),+T216,"")</f>
        <v/>
      </c>
      <c r="T216" s="127">
        <f>H216*[0]!FMainPool1Fee+I216*[0]!FMainPool2Fee+J216*[0]!FMainPool3Fee+K216*[0]!FMainPool4Fee+B216*[0]!FMainEntryFee</f>
        <v>0</v>
      </c>
      <c r="U216" s="128"/>
      <c r="V216" s="129"/>
      <c r="W216" s="66"/>
      <c r="X216" s="97"/>
      <c r="Y216" s="97"/>
      <c r="Z216" s="98" t="s">
        <v>753</v>
      </c>
    </row>
    <row r="217" spans="1:26" ht="18">
      <c r="A217" s="88">
        <f t="shared" ref="A217:A222" si="8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9">T217*N217</f>
        <v>0</v>
      </c>
      <c r="P217" s="89"/>
      <c r="Q217" s="89"/>
      <c r="R217" s="96" t="str">
        <f t="shared" ref="R217:R226" si="10">IF(OR(P217="c",P217="C"),+T217,"")</f>
        <v/>
      </c>
      <c r="S217" s="96" t="str">
        <f t="shared" ref="S217:S226" si="11">IF(OR(P217="$",N217=1),+T217,"")</f>
        <v/>
      </c>
      <c r="T217" s="127">
        <f>H217*[0]!FMainPool1Fee+I217*[0]!FMainPool2Fee+J217*[0]!FMainPool3Fee+K217*[0]!FMainPool4Fee+B217*[0]!FMainEntryFee</f>
        <v>0</v>
      </c>
      <c r="U217" s="128"/>
      <c r="V217" s="129"/>
      <c r="W217" s="66"/>
      <c r="X217" s="97"/>
      <c r="Y217" s="97"/>
      <c r="Z217" s="98"/>
    </row>
    <row r="218" spans="1:26" ht="18">
      <c r="A218" s="88">
        <f t="shared" si="8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9"/>
        <v>0</v>
      </c>
      <c r="P218" s="89"/>
      <c r="Q218" s="89"/>
      <c r="R218" s="96" t="str">
        <f t="shared" si="10"/>
        <v/>
      </c>
      <c r="S218" s="96" t="str">
        <f t="shared" si="11"/>
        <v/>
      </c>
      <c r="T218" s="127">
        <f>H218*[0]!FMainPool1Fee+I218*[0]!FMainPool2Fee+J218*[0]!FMainPool3Fee+K218*[0]!FMainPool4Fee+B218*[0]!FMainEntryFee</f>
        <v>0</v>
      </c>
      <c r="U218" s="128"/>
      <c r="V218" s="129"/>
      <c r="W218" s="66"/>
      <c r="X218" s="97"/>
      <c r="Y218" s="97"/>
      <c r="Z218" s="98"/>
    </row>
    <row r="219" spans="1:26" ht="18">
      <c r="A219" s="88">
        <f t="shared" si="8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9"/>
        <v>0</v>
      </c>
      <c r="P219" s="89"/>
      <c r="Q219" s="89"/>
      <c r="R219" s="96" t="str">
        <f t="shared" si="10"/>
        <v/>
      </c>
      <c r="S219" s="96" t="str">
        <f t="shared" si="11"/>
        <v/>
      </c>
      <c r="T219" s="127">
        <f>H219*[0]!FMainPool1Fee+I219*[0]!FMainPool2Fee+J219*[0]!FMainPool3Fee+K219*[0]!FMainPool4Fee+B219*[0]!FMainEntryFee</f>
        <v>0</v>
      </c>
      <c r="U219" s="128"/>
      <c r="V219" s="129"/>
      <c r="W219" s="66"/>
      <c r="X219" s="97"/>
      <c r="Y219" s="97"/>
      <c r="Z219" s="98"/>
    </row>
    <row r="220" spans="1:26" ht="18">
      <c r="A220" s="88">
        <f t="shared" si="8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12">T220*N220</f>
        <v>0</v>
      </c>
      <c r="P220" s="89"/>
      <c r="Q220" s="89"/>
      <c r="R220" s="96" t="str">
        <f t="shared" si="10"/>
        <v/>
      </c>
      <c r="S220" s="96" t="str">
        <f t="shared" si="11"/>
        <v/>
      </c>
      <c r="T220" s="127">
        <f>H220*[0]!FMainPool1Fee+I220*[0]!FMainPool2Fee+J220*[0]!FMainPool3Fee+K220*[0]!FMainPool4Fee+B220*[0]!FMainEntryFee</f>
        <v>0</v>
      </c>
      <c r="U220" s="128"/>
      <c r="V220" s="129"/>
      <c r="W220" s="66"/>
      <c r="X220" s="97"/>
      <c r="Y220" s="97"/>
      <c r="Z220" s="98"/>
    </row>
    <row r="221" spans="1:26" ht="18">
      <c r="A221" s="88">
        <f t="shared" si="8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12"/>
        <v>0</v>
      </c>
      <c r="P221" s="89"/>
      <c r="Q221" s="89"/>
      <c r="R221" s="96" t="str">
        <f t="shared" si="10"/>
        <v/>
      </c>
      <c r="S221" s="96" t="str">
        <f t="shared" si="11"/>
        <v/>
      </c>
      <c r="T221" s="127">
        <f>H221*[0]!FMainPool1Fee+I221*[0]!FMainPool2Fee+J221*[0]!FMainPool3Fee+K221*[0]!FMainPool4Fee+B221*[0]!FMainEntryFee</f>
        <v>0</v>
      </c>
      <c r="U221" s="128"/>
      <c r="V221" s="129"/>
      <c r="W221" s="66"/>
      <c r="X221" s="97"/>
      <c r="Y221" s="97"/>
      <c r="Z221" s="98"/>
    </row>
    <row r="222" spans="1:26" ht="18">
      <c r="A222" s="88">
        <f t="shared" si="8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12"/>
        <v>0</v>
      </c>
      <c r="P222" s="89"/>
      <c r="Q222" s="89"/>
      <c r="R222" s="96" t="str">
        <f t="shared" si="10"/>
        <v/>
      </c>
      <c r="S222" s="96" t="str">
        <f t="shared" si="11"/>
        <v/>
      </c>
      <c r="T222" s="127">
        <f>H222*[0]!FMainPool1Fee+I222*[0]!FMainPool2Fee+J222*[0]!FMainPool3Fee+K222*[0]!FMainPool4Fee+B222*[0]!FMainEntryFee</f>
        <v>0</v>
      </c>
      <c r="U222" s="128"/>
      <c r="V222" s="129"/>
      <c r="W222" s="66"/>
      <c r="X222" s="97"/>
      <c r="Y222" s="97"/>
      <c r="Z222" s="98"/>
    </row>
    <row r="223" spans="1:26" ht="18">
      <c r="A223" s="88">
        <f t="shared" ref="A223:A226" si="13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12"/>
        <v>0</v>
      </c>
      <c r="P223" s="89"/>
      <c r="Q223" s="89"/>
      <c r="R223" s="96" t="str">
        <f t="shared" si="10"/>
        <v/>
      </c>
      <c r="S223" s="96" t="str">
        <f t="shared" si="11"/>
        <v/>
      </c>
      <c r="T223" s="127">
        <f>H223*[0]!FMainPool1Fee+I223*[0]!FMainPool2Fee+J223*[0]!FMainPool3Fee+K223*[0]!FMainPool4Fee+B223*[0]!FMainEntryFee</f>
        <v>0</v>
      </c>
      <c r="U223" s="128"/>
      <c r="V223" s="129"/>
      <c r="W223" s="66"/>
      <c r="X223" s="97"/>
      <c r="Y223" s="97"/>
      <c r="Z223" s="98"/>
    </row>
    <row r="224" spans="1:26" ht="18">
      <c r="A224" s="88">
        <f t="shared" si="13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12"/>
        <v>0</v>
      </c>
      <c r="P224" s="89"/>
      <c r="Q224" s="89"/>
      <c r="R224" s="96" t="str">
        <f t="shared" si="10"/>
        <v/>
      </c>
      <c r="S224" s="96" t="str">
        <f t="shared" si="11"/>
        <v/>
      </c>
      <c r="T224" s="127">
        <f>H224*[0]!FMainPool1Fee+I224*[0]!FMainPool2Fee+J224*[0]!FMainPool3Fee+K224*[0]!FMainPool4Fee+B224*[0]!FMainEntryFee</f>
        <v>0</v>
      </c>
      <c r="U224" s="128"/>
      <c r="V224" s="129"/>
      <c r="W224" s="66"/>
      <c r="X224" s="97"/>
      <c r="Y224" s="97"/>
      <c r="Z224" s="98"/>
    </row>
    <row r="225" spans="1:26" ht="18">
      <c r="A225" s="88">
        <f t="shared" si="13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12"/>
        <v>0</v>
      </c>
      <c r="P225" s="89"/>
      <c r="Q225" s="89"/>
      <c r="R225" s="96" t="str">
        <f t="shared" si="10"/>
        <v/>
      </c>
      <c r="S225" s="96" t="str">
        <f t="shared" si="11"/>
        <v/>
      </c>
      <c r="T225" s="127">
        <f>H225*[0]!FMainPool1Fee+I225*[0]!FMainPool2Fee+J225*[0]!FMainPool3Fee+K225*[0]!FMainPool4Fee+B225*[0]!FMainEntryFee</f>
        <v>0</v>
      </c>
      <c r="U225" s="128"/>
      <c r="V225" s="129"/>
      <c r="W225" s="66"/>
      <c r="X225" s="97"/>
      <c r="Y225" s="97"/>
      <c r="Z225" s="98"/>
    </row>
    <row r="226" spans="1:26" ht="18">
      <c r="A226" s="88">
        <f t="shared" si="13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12"/>
        <v>0</v>
      </c>
      <c r="P226" s="89"/>
      <c r="Q226" s="89"/>
      <c r="R226" s="96" t="str">
        <f t="shared" si="10"/>
        <v/>
      </c>
      <c r="S226" s="96" t="str">
        <f t="shared" si="11"/>
        <v/>
      </c>
      <c r="T226" s="127">
        <f>H226*[0]!FMainPool1Fee+I226*[0]!FMainPool2Fee+J226*[0]!FMainPool3Fee+K226*[0]!FMainPool4Fee+B226*[0]!FMainEntryFee</f>
        <v>0</v>
      </c>
      <c r="U226" s="128"/>
      <c r="V226" s="129"/>
      <c r="W226" s="66"/>
      <c r="X226" s="97"/>
      <c r="Y226" s="97"/>
      <c r="Z226" s="98"/>
    </row>
  </sheetData>
  <sheetProtection selectLockedCells="1"/>
  <sortState xmlns:xlrd2="http://schemas.microsoft.com/office/spreadsheetml/2017/richdata2" ref="B12:U216"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82" r:id="rId1" xr:uid="{00000000-0004-0000-0200-000000000000}"/>
    <hyperlink ref="G183" r:id="rId2" xr:uid="{00000000-0004-0000-0200-000001000000}"/>
    <hyperlink ref="G22" r:id="rId3" xr:uid="{00000000-0004-0000-0200-000002000000}"/>
    <hyperlink ref="G26" r:id="rId4" xr:uid="{00000000-0004-0000-0200-000003000000}"/>
    <hyperlink ref="G34" r:id="rId5" xr:uid="{00000000-0004-0000-0200-000004000000}"/>
    <hyperlink ref="G62" r:id="rId6" xr:uid="{00000000-0004-0000-0200-000005000000}"/>
    <hyperlink ref="G76" r:id="rId7" xr:uid="{00000000-0004-0000-0200-000006000000}"/>
    <hyperlink ref="G83" r:id="rId8" xr:uid="{00000000-0004-0000-0200-000007000000}"/>
    <hyperlink ref="G91" r:id="rId9" xr:uid="{00000000-0004-0000-0200-000008000000}"/>
    <hyperlink ref="G94" r:id="rId10" xr:uid="{00000000-0004-0000-0200-000009000000}"/>
    <hyperlink ref="G108" r:id="rId11" xr:uid="{00000000-0004-0000-0200-00000A000000}"/>
    <hyperlink ref="G109" r:id="rId12" xr:uid="{00000000-0004-0000-0200-00000B000000}"/>
    <hyperlink ref="G112" r:id="rId13" xr:uid="{00000000-0004-0000-0200-00000C000000}"/>
    <hyperlink ref="G120" r:id="rId14" xr:uid="{00000000-0004-0000-0200-00000D000000}"/>
    <hyperlink ref="G160" r:id="rId15" xr:uid="{00000000-0004-0000-0200-00000E000000}"/>
    <hyperlink ref="G169" r:id="rId16" xr:uid="{00000000-0004-0000-0200-00000F000000}"/>
    <hyperlink ref="G176" r:id="rId17" xr:uid="{00000000-0004-0000-0200-000010000000}"/>
    <hyperlink ref="G182" r:id="rId18" xr:uid="{00000000-0004-0000-0200-000011000000}"/>
    <hyperlink ref="G189" r:id="rId19" xr:uid="{00000000-0004-0000-0200-000012000000}"/>
    <hyperlink ref="G205" r:id="rId20" xr:uid="{00000000-0004-0000-0200-000013000000}"/>
    <hyperlink ref="G211" r:id="rId21" xr:uid="{00000000-0004-0000-0200-000014000000}"/>
    <hyperlink ref="G212" r:id="rId22" xr:uid="{00000000-0004-0000-0200-000015000000}"/>
    <hyperlink ref="G133" r:id="rId23" xr:uid="{00000000-0004-0000-0200-000016000000}"/>
    <hyperlink ref="G134" r:id="rId24" xr:uid="{00000000-0004-0000-0200-000017000000}"/>
    <hyperlink ref="G59" r:id="rId25" xr:uid="{00000000-0004-0000-0200-000018000000}"/>
    <hyperlink ref="G124" r:id="rId26" xr:uid="{00000000-0004-0000-0200-000019000000}"/>
    <hyperlink ref="G92" r:id="rId27" xr:uid="{00000000-0004-0000-0200-00001A000000}"/>
    <hyperlink ref="G148" r:id="rId28" xr:uid="{00000000-0004-0000-0200-00001B000000}"/>
    <hyperlink ref="G142" r:id="rId29" xr:uid="{00000000-0004-0000-0200-00001C000000}"/>
    <hyperlink ref="G128" r:id="rId30" xr:uid="{00000000-0004-0000-0200-00001D000000}"/>
    <hyperlink ref="G93" r:id="rId31" xr:uid="{00000000-0004-0000-0200-00001E000000}"/>
    <hyperlink ref="G171" r:id="rId32" xr:uid="{00000000-0004-0000-0200-00001F000000}"/>
    <hyperlink ref="G190" r:id="rId33" xr:uid="{00000000-0004-0000-0200-000020000000}"/>
    <hyperlink ref="G216" r:id="rId34" xr:uid="{00000000-0004-0000-0200-000021000000}"/>
    <hyperlink ref="G175" r:id="rId35" xr:uid="{00000000-0004-0000-0200-000022000000}"/>
    <hyperlink ref="G141" r:id="rId36" xr:uid="{00000000-0004-0000-0200-000023000000}"/>
    <hyperlink ref="G185" r:id="rId37" xr:uid="{00000000-0004-0000-0200-000024000000}"/>
    <hyperlink ref="G41" r:id="rId38" xr:uid="{00000000-0004-0000-0200-000025000000}"/>
    <hyperlink ref="G166" r:id="rId39" xr:uid="{00000000-0004-0000-0200-000026000000}"/>
    <hyperlink ref="G162" r:id="rId40" xr:uid="{00000000-0004-0000-0200-000027000000}"/>
    <hyperlink ref="G102" r:id="rId41" xr:uid="{00000000-0004-0000-0200-000028000000}"/>
    <hyperlink ref="G88" r:id="rId42" xr:uid="{00000000-0004-0000-0200-000029000000}"/>
    <hyperlink ref="G89" r:id="rId43" xr:uid="{00000000-0004-0000-0200-00002A000000}"/>
    <hyperlink ref="G60" r:id="rId44" xr:uid="{00000000-0004-0000-0200-00002B000000}"/>
    <hyperlink ref="G17" r:id="rId45" xr:uid="{00000000-0004-0000-0200-00002C000000}"/>
    <hyperlink ref="G135" r:id="rId46" xr:uid="{00000000-0004-0000-0200-00002D000000}"/>
    <hyperlink ref="G35" r:id="rId47" xr:uid="{00000000-0004-0000-0200-00002E000000}"/>
    <hyperlink ref="G87" r:id="rId48" xr:uid="{00000000-0004-0000-0200-00002F000000}"/>
    <hyperlink ref="G77" r:id="rId49" xr:uid="{00000000-0004-0000-0200-000030000000}"/>
    <hyperlink ref="G143" r:id="rId50" xr:uid="{00000000-0004-0000-0200-000031000000}"/>
    <hyperlink ref="G210" r:id="rId51" xr:uid="{00000000-0004-0000-0200-000032000000}"/>
    <hyperlink ref="G45" r:id="rId52" xr:uid="{00000000-0004-0000-0200-000033000000}"/>
    <hyperlink ref="G47" r:id="rId53" xr:uid="{00000000-0004-0000-0200-000034000000}"/>
    <hyperlink ref="G203" r:id="rId54" xr:uid="{00000000-0004-0000-0200-000035000000}"/>
    <hyperlink ref="G163" r:id="rId55" xr:uid="{00000000-0004-0000-0200-000036000000}"/>
    <hyperlink ref="G12" r:id="rId56" xr:uid="{00000000-0004-0000-0200-000037000000}"/>
    <hyperlink ref="G151" r:id="rId57" xr:uid="{00000000-0004-0000-0200-000038000000}"/>
    <hyperlink ref="G48" r:id="rId58" xr:uid="{00000000-0004-0000-0200-000039000000}"/>
    <hyperlink ref="G54" r:id="rId59" xr:uid="{2BA56756-1389-C949-A9C1-A6B31C5C37EA}"/>
    <hyperlink ref="G27" r:id="rId60" xr:uid="{BB0E14EE-29EF-7749-8516-11EA67AB809F}"/>
    <hyperlink ref="G19" r:id="rId61" xr:uid="{CB7BE7CD-40CB-D547-9A90-C7E15DF5FF60}"/>
    <hyperlink ref="G20" r:id="rId62" xr:uid="{3A1AFFD3-4C16-0247-8EA3-5402C4976C37}"/>
    <hyperlink ref="G33" r:id="rId63" xr:uid="{7C712349-29B5-EF41-9F02-84A619CEB1BA}"/>
    <hyperlink ref="G51" r:id="rId64" xr:uid="{4E728977-38D1-DD4C-8671-D4A3B8D3E746}"/>
    <hyperlink ref="G28" r:id="rId65" xr:uid="{E80436D5-959B-B942-9289-FDB6E294422D}"/>
    <hyperlink ref="G57" r:id="rId66" xr:uid="{B9920269-7CD4-A14B-87D7-8D6D6DD4896E}"/>
    <hyperlink ref="G180" r:id="rId67" xr:uid="{09A0786F-0DED-AC43-BA97-77563ABBC618}"/>
    <hyperlink ref="G14" r:id="rId68" xr:uid="{C258E794-A2D7-8B4B-A9E6-8B4FBA555A4F}"/>
    <hyperlink ref="G15" r:id="rId69" xr:uid="{C0206411-D0F5-D841-8203-CFB77FF60C48}"/>
    <hyperlink ref="G194" r:id="rId70" xr:uid="{0D767831-BDE9-C649-96BF-5BD6741D34F4}"/>
  </hyperlinks>
  <pageMargins left="0.25" right="0.25" top="0.75" bottom="0.75" header="0.3" footer="0.3"/>
  <pageSetup scale="51" orientation="landscape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2026-04-17T22:02:36Z</dcterms:modified>
</cp:coreProperties>
</file>