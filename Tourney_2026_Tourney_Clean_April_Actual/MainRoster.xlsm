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ourney_Clean_April_Actual\"/>
    </mc:Choice>
  </mc:AlternateContent>
  <xr:revisionPtr revIDLastSave="0" documentId="13_ncr:1_{4C88D361-294F-4F5D-A579-7191D5C01164}" xr6:coauthVersionLast="47" xr6:coauthVersionMax="47" xr10:uidLastSave="{00000000-0000-0000-0000-000000000000}"/>
  <bookViews>
    <workbookView xWindow="-120" yWindow="-120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32" i="13" l="1"/>
  <c r="T32" i="13" s="1"/>
  <c r="U32" i="13" s="1"/>
  <c r="S31" i="13"/>
  <c r="T31" i="13" s="1"/>
  <c r="U31" i="13" s="1"/>
  <c r="S30" i="13"/>
  <c r="T30" i="13" s="1"/>
  <c r="U30" i="13" s="1"/>
  <c r="T29" i="13"/>
  <c r="U29" i="13" s="1"/>
  <c r="S29" i="13"/>
  <c r="S28" i="13"/>
  <c r="T28" i="13" s="1"/>
  <c r="U28" i="13" s="1"/>
  <c r="S27" i="13"/>
  <c r="T27" i="13" s="1"/>
  <c r="U27" i="13" s="1"/>
  <c r="S26" i="13"/>
  <c r="T26" i="13" s="1"/>
  <c r="U26" i="13" s="1"/>
  <c r="S25" i="13"/>
  <c r="T25" i="13" s="1"/>
  <c r="U25" i="13" s="1"/>
  <c r="S24" i="13"/>
  <c r="T24" i="13" s="1"/>
  <c r="U24" i="13" s="1"/>
  <c r="U23" i="13"/>
  <c r="T23" i="13"/>
  <c r="S23" i="13"/>
  <c r="S22" i="13"/>
  <c r="T22" i="13" s="1"/>
  <c r="U22" i="13" s="1"/>
  <c r="S21" i="13"/>
  <c r="T21" i="13" s="1"/>
  <c r="U21" i="13" s="1"/>
  <c r="S20" i="13"/>
  <c r="T20" i="13" s="1"/>
  <c r="U20" i="13" s="1"/>
  <c r="S19" i="13"/>
  <c r="T19" i="13" s="1"/>
  <c r="U19" i="13" s="1"/>
  <c r="S18" i="13"/>
  <c r="T18" i="13" s="1"/>
  <c r="U18" i="13" s="1"/>
  <c r="S17" i="13"/>
  <c r="T17" i="13" s="1"/>
  <c r="U17" i="13" s="1"/>
  <c r="S16" i="13"/>
  <c r="T16" i="13" s="1"/>
  <c r="U16" i="13" s="1"/>
  <c r="S15" i="13"/>
  <c r="T15" i="13" s="1"/>
  <c r="U15" i="13" s="1"/>
  <c r="T14" i="13"/>
  <c r="U14" i="13" s="1"/>
  <c r="S14" i="13"/>
  <c r="S13" i="13"/>
  <c r="T13" i="13" s="1"/>
  <c r="U13" i="13" s="1"/>
  <c r="S12" i="13"/>
  <c r="T12" i="13" s="1"/>
  <c r="U12" i="13" s="1"/>
  <c r="S11" i="13"/>
  <c r="T11" i="13" s="1"/>
  <c r="U11" i="13" s="1"/>
  <c r="S10" i="13"/>
  <c r="T10" i="13" s="1"/>
  <c r="U10" i="13" s="1"/>
  <c r="T9" i="13"/>
  <c r="U9" i="13" s="1"/>
  <c r="S9" i="13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A3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8" i="9"/>
  <c r="A5" i="9"/>
  <c r="A3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6" i="8"/>
  <c r="A7" i="8" s="1"/>
  <c r="A8" i="8" s="1"/>
  <c r="A9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6" i="7"/>
  <c r="A7" i="7" s="1"/>
  <c r="A8" i="7" s="1"/>
  <c r="A9" i="7" s="1"/>
  <c r="A10" i="7" s="1"/>
  <c r="A11" i="7" s="1"/>
  <c r="A12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6" i="6"/>
  <c r="A7" i="6" s="1"/>
  <c r="A8" i="6" s="1"/>
  <c r="A9" i="6" s="1"/>
  <c r="A10" i="6" s="1"/>
  <c r="A11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T11" i="3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26" i="1"/>
  <c r="Q68" i="1"/>
  <c r="Q25" i="1"/>
  <c r="Q67" i="1"/>
  <c r="R66" i="1"/>
  <c r="Q62" i="1"/>
  <c r="R23" i="1"/>
  <c r="R60" i="1"/>
  <c r="R59" i="1"/>
  <c r="R58" i="1"/>
  <c r="R22" i="1"/>
  <c r="Q55" i="1"/>
  <c r="R53" i="1"/>
  <c r="Q20" i="1"/>
  <c r="R51" i="1"/>
  <c r="R49" i="1"/>
  <c r="Q48" i="1"/>
  <c r="Q18" i="1"/>
  <c r="R45" i="1"/>
  <c r="Q42" i="1"/>
  <c r="R40" i="1"/>
  <c r="R39" i="1"/>
  <c r="R16" i="1"/>
  <c r="Q15" i="1"/>
  <c r="R34" i="1"/>
  <c r="R33" i="1"/>
  <c r="Q32" i="1"/>
  <c r="R13" i="1"/>
  <c r="Q30" i="1"/>
  <c r="Q29" i="1"/>
  <c r="Q28" i="1"/>
  <c r="R27" i="1"/>
  <c r="T10" i="1"/>
  <c r="M10" i="1"/>
  <c r="L10" i="1"/>
  <c r="K10" i="1"/>
  <c r="J10" i="1"/>
  <c r="I10" i="1"/>
  <c r="H10" i="1"/>
  <c r="G10" i="1"/>
  <c r="C10" i="1"/>
  <c r="B10" i="1"/>
  <c r="A7" i="9" s="1"/>
  <c r="S46" i="1" a="1"/>
  <c r="S41" i="1" a="1"/>
  <c r="S62" i="1" a="1"/>
  <c r="S58" i="1" a="1"/>
  <c r="S47" i="1" a="1"/>
  <c r="S22" i="1" a="1"/>
  <c r="S13" i="1" a="1"/>
  <c r="S44" i="1" a="1"/>
  <c r="S50" i="1" a="1"/>
  <c r="S64" i="1" a="1"/>
  <c r="S70" i="1" a="1"/>
  <c r="S45" i="1" a="1"/>
  <c r="S52" i="1" a="1"/>
  <c r="S21" i="1" a="1"/>
  <c r="S63" i="1" a="1"/>
  <c r="S38" i="1" a="1"/>
  <c r="S27" i="1" a="1"/>
  <c r="S39" i="1" a="1"/>
  <c r="S37" i="1" a="1"/>
  <c r="S56" i="1" a="1"/>
  <c r="S12" i="1" a="1"/>
  <c r="S33" i="1" a="1"/>
  <c r="S29" i="1" a="1"/>
  <c r="S20" i="1" a="1"/>
  <c r="S48" i="1" a="1"/>
  <c r="S68" i="1" a="1"/>
  <c r="S59" i="1" a="1"/>
  <c r="S17" i="1" a="1"/>
  <c r="S66" i="1" a="1"/>
  <c r="S60" i="1" a="1"/>
  <c r="S32" i="1" a="1"/>
  <c r="S31" i="1" a="1"/>
  <c r="S23" i="1" a="1"/>
  <c r="S28" i="1" a="1"/>
  <c r="S40" i="1" a="1"/>
  <c r="S26" i="1" a="1"/>
  <c r="S14" i="1" a="1"/>
  <c r="S30" i="1" a="1"/>
  <c r="S19" i="1" a="1"/>
  <c r="S54" i="1" a="1"/>
  <c r="S43" i="1" a="1"/>
  <c r="S53" i="1" a="1"/>
  <c r="S57" i="1" a="1"/>
  <c r="S35" i="1" a="1"/>
  <c r="S36" i="1" a="1"/>
  <c r="S51" i="1" a="1"/>
  <c r="S55" i="1" a="1"/>
  <c r="S34" i="1" a="1"/>
  <c r="S69" i="1" a="1"/>
  <c r="S49" i="1" a="1"/>
  <c r="S61" i="1" a="1"/>
  <c r="S16" i="1" a="1"/>
  <c r="S18" i="1" a="1"/>
  <c r="S42" i="1" a="1"/>
  <c r="S15" i="1" a="1"/>
  <c r="S25" i="1" a="1"/>
  <c r="S71" i="1" a="1"/>
  <c r="S65" i="1" a="1"/>
  <c r="S24" i="1" a="1"/>
  <c r="S67" i="1" a="1"/>
  <c r="T12" i="3" l="1"/>
  <c r="V11" i="3"/>
  <c r="U11" i="3"/>
  <c r="S37" i="1"/>
  <c r="S57" i="1"/>
  <c r="S27" i="1"/>
  <c r="Q27" i="1" s="1"/>
  <c r="S53" i="1"/>
  <c r="Q53" i="1" s="1"/>
  <c r="S63" i="1"/>
  <c r="S20" i="1"/>
  <c r="R20" i="1" s="1"/>
  <c r="S47" i="1"/>
  <c r="S44" i="1"/>
  <c r="S13" i="1"/>
  <c r="Q13" i="1" s="1"/>
  <c r="S56" i="1"/>
  <c r="S42" i="1"/>
  <c r="R42" i="1" s="1"/>
  <c r="S62" i="1"/>
  <c r="R62" i="1" s="1"/>
  <c r="S48" i="1"/>
  <c r="R48" i="1" s="1"/>
  <c r="S28" i="1"/>
  <c r="R28" i="1" s="1"/>
  <c r="S54" i="1"/>
  <c r="S64" i="1"/>
  <c r="S29" i="1"/>
  <c r="R29" i="1" s="1"/>
  <c r="S50" i="1"/>
  <c r="S60" i="1"/>
  <c r="Q60" i="1" s="1"/>
  <c r="S39" i="1"/>
  <c r="Q39" i="1" s="1"/>
  <c r="S46" i="1"/>
  <c r="S51" i="1"/>
  <c r="Q51" i="1" s="1"/>
  <c r="S55" i="1"/>
  <c r="R55" i="1" s="1"/>
  <c r="S23" i="1"/>
  <c r="Q23" i="1" s="1"/>
  <c r="S66" i="1"/>
  <c r="Q66" i="1" s="1"/>
  <c r="S41" i="1"/>
  <c r="S52" i="1"/>
  <c r="S32" i="1"/>
  <c r="R32" i="1" s="1"/>
  <c r="S43" i="1"/>
  <c r="S58" i="1"/>
  <c r="Q58" i="1" s="1"/>
  <c r="S49" i="1"/>
  <c r="Q49" i="1" s="1"/>
  <c r="S45" i="1"/>
  <c r="Q45" i="1" s="1"/>
  <c r="S21" i="1"/>
  <c r="S35" i="1"/>
  <c r="S36" i="1"/>
  <c r="S61" i="1"/>
  <c r="S15" i="1"/>
  <c r="R15" i="1" s="1"/>
  <c r="S38" i="1"/>
  <c r="S59" i="1"/>
  <c r="Q59" i="1" s="1"/>
  <c r="S16" i="1"/>
  <c r="Q16" i="1" s="1"/>
  <c r="S65" i="1"/>
  <c r="S30" i="1"/>
  <c r="R30" i="1" s="1"/>
  <c r="S18" i="1"/>
  <c r="R18" i="1" s="1"/>
  <c r="S31" i="1"/>
  <c r="S33" i="1"/>
  <c r="Q33" i="1" s="1"/>
  <c r="S34" i="1"/>
  <c r="Q34" i="1" s="1"/>
  <c r="S12" i="1"/>
  <c r="S14" i="1"/>
  <c r="S40" i="1"/>
  <c r="Q40" i="1" s="1"/>
  <c r="S17" i="1"/>
  <c r="S19" i="1"/>
  <c r="S22" i="1"/>
  <c r="Q22" i="1" s="1"/>
  <c r="S24" i="1"/>
  <c r="S25" i="1"/>
  <c r="R25" i="1" s="1"/>
  <c r="S70" i="1"/>
  <c r="S71" i="1"/>
  <c r="S68" i="1"/>
  <c r="R68" i="1" s="1"/>
  <c r="S67" i="1"/>
  <c r="R67" i="1" s="1"/>
  <c r="S26" i="1"/>
  <c r="Q26" i="1" s="1"/>
  <c r="S69" i="1"/>
  <c r="A7" i="10"/>
  <c r="V12" i="3" l="1"/>
  <c r="U12" i="3"/>
  <c r="T13" i="3"/>
  <c r="R35" i="1"/>
  <c r="Q35" i="1"/>
  <c r="Q50" i="1"/>
  <c r="R50" i="1"/>
  <c r="Q56" i="1"/>
  <c r="R56" i="1"/>
  <c r="R21" i="1"/>
  <c r="Q21" i="1"/>
  <c r="R43" i="1"/>
  <c r="Q43" i="1"/>
  <c r="Q37" i="1"/>
  <c r="R37" i="1"/>
  <c r="Q14" i="1"/>
  <c r="R14" i="1"/>
  <c r="Q31" i="1"/>
  <c r="R31" i="1"/>
  <c r="R61" i="1"/>
  <c r="Q61" i="1"/>
  <c r="Q64" i="1"/>
  <c r="R64" i="1"/>
  <c r="Q44" i="1"/>
  <c r="R44" i="1"/>
  <c r="Q17" i="1"/>
  <c r="R17" i="1"/>
  <c r="R41" i="1"/>
  <c r="Q41" i="1"/>
  <c r="R24" i="1"/>
  <c r="Q24" i="1"/>
  <c r="Q65" i="1"/>
  <c r="R65" i="1"/>
  <c r="R46" i="1"/>
  <c r="Q46" i="1"/>
  <c r="Q63" i="1"/>
  <c r="R63" i="1"/>
  <c r="R19" i="1"/>
  <c r="Q19" i="1"/>
  <c r="R12" i="1"/>
  <c r="Q12" i="1"/>
  <c r="Q36" i="1"/>
  <c r="R36" i="1"/>
  <c r="R52" i="1"/>
  <c r="Q52" i="1"/>
  <c r="R54" i="1"/>
  <c r="Q54" i="1"/>
  <c r="R47" i="1"/>
  <c r="Q47" i="1"/>
  <c r="Q57" i="1"/>
  <c r="R57" i="1"/>
  <c r="Q38" i="1"/>
  <c r="R38" i="1"/>
  <c r="S10" i="1"/>
  <c r="N10" i="1"/>
  <c r="T14" i="3" l="1"/>
  <c r="U13" i="3"/>
  <c r="V13" i="3"/>
  <c r="Q10" i="1"/>
  <c r="R10" i="1"/>
  <c r="V14" i="3" l="1"/>
  <c r="T15" i="3"/>
  <c r="U14" i="3"/>
  <c r="T16" i="3" l="1"/>
  <c r="U15" i="3"/>
  <c r="V15" i="3"/>
  <c r="T17" i="3" l="1"/>
  <c r="V16" i="3"/>
  <c r="U16" i="3"/>
  <c r="V17" i="3" l="1"/>
  <c r="U17" i="3"/>
  <c r="T18" i="3"/>
  <c r="T19" i="3" l="1"/>
  <c r="V18" i="3"/>
  <c r="U18" i="3"/>
  <c r="V19" i="3" l="1"/>
  <c r="U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<sst xmlns="http://schemas.openxmlformats.org/spreadsheetml/2006/main" count="544" uniqueCount="245">
  <si>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</si>
  <si>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</si>
  <si>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</si>
  <si>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</si>
  <si>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</si>
  <si>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</si>
  <si>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</si>
  <si>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</si>
  <si>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</si>
  <si>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</si>
  <si>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</si>
  <si>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</si>
  <si>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</si>
  <si>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</si>
  <si>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</si>
  <si>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</si>
  <si>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</si>
  <si>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</si>
  <si>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</si>
  <si>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</si>
  <si>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</si>
  <si>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</si>
  <si>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</si>
  <si>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</si>
  <si>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</si>
  <si>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</si>
  <si>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</si>
  <si>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</si>
  <si>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</si>
  <si>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</si>
  <si>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</si>
  <si>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</si>
  <si>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</si>
  <si>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</si>
  <si>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</si>
  <si>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</si>
  <si>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</si>
  <si>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</si>
  <si>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</si>
  <si>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</si>
  <si>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</si>
  <si>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</si>
  <si>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</si>
  <si>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</si>
  <si>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</si>
  <si>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</si>
  <si>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</si>
  <si>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</si>
  <si>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</si>
  <si>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</si>
  <si>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</si>
  <si>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</si>
  <si>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</si>
  <si>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</si>
  <si>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</si>
  <si>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</si>
  <si>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</si>
  <si>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</si>
  <si>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</si>
  <si>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</si>
  <si>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</si>
  <si>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</si>
  <si>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</si>
  <si>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</si>
  <si>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</si>
  <si>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</si>
  <si>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</si>
  <si>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</si>
  <si>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</si>
  <si>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</si>
  <si>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</si>
  <si>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</si>
  <si>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</si>
  <si>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</si>
  <si>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</si>
  <si>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</si>
  <si>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</si>
  <si>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</si>
  <si>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</si>
  <si>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</si>
  <si>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</si>
  <si>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</si>
  <si>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</si>
  <si>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</si>
  <si>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</si>
  <si>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</si>
  <si>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</si>
  <si>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</si>
  <si>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</si>
  <si>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</si>
  <si>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</si>
  <si>
    <t>Aasen, Kirby</t>
  </si>
  <si>
    <t>Kelseyville, CA</t>
  </si>
  <si>
    <t>CA-7573</t>
  </si>
  <si>
    <t>Aiello, Danny</t>
  </si>
  <si>
    <t>Sebastopol, CA.</t>
  </si>
  <si>
    <t>No Acc#</t>
  </si>
  <si>
    <t>Aiello, John</t>
  </si>
  <si>
    <t>CA-7967</t>
  </si>
  <si>
    <t>Aiello, Michael</t>
  </si>
  <si>
    <t>CA-8114</t>
  </si>
  <si>
    <t>Aleschus Jr., James</t>
  </si>
  <si>
    <t>Rancho Cordova, CA</t>
  </si>
  <si>
    <t>CA-3942</t>
  </si>
  <si>
    <t>Aleschus Sr., James</t>
  </si>
  <si>
    <t>Fair Oaks, CA</t>
  </si>
  <si>
    <t>CA3773L</t>
  </si>
  <si>
    <t>Alves, Joe</t>
  </si>
  <si>
    <t>Vacaville, CA</t>
  </si>
  <si>
    <t>CA-8224</t>
  </si>
  <si>
    <t>Alves, KC</t>
  </si>
  <si>
    <t>CA-8223</t>
  </si>
  <si>
    <t>Bartosh, Jae</t>
  </si>
  <si>
    <t>Grass Valley, CA</t>
  </si>
  <si>
    <t>CA-7786</t>
  </si>
  <si>
    <t>Bartosh, Scott</t>
  </si>
  <si>
    <t>CA-4893</t>
  </si>
  <si>
    <t>Bedolla, Scott</t>
  </si>
  <si>
    <t>Martinez, CA</t>
  </si>
  <si>
    <t>CA-8362</t>
  </si>
  <si>
    <t>Bickham, Anita</t>
  </si>
  <si>
    <t>Discovery Bay, CA</t>
  </si>
  <si>
    <t>CA-8307</t>
  </si>
  <si>
    <t>Borchardt, Randy</t>
  </si>
  <si>
    <t>Marina, CA</t>
  </si>
  <si>
    <t>CA-6788</t>
  </si>
  <si>
    <t>Boyer, Lori</t>
  </si>
  <si>
    <t>Chico, CA</t>
  </si>
  <si>
    <t>CA-7198</t>
  </si>
  <si>
    <t>Brekke, Sheryl</t>
  </si>
  <si>
    <t>Eureka, CA</t>
  </si>
  <si>
    <t>CA-6872</t>
  </si>
  <si>
    <t>Chisholm, Alana</t>
  </si>
  <si>
    <t>Oakley, CA</t>
  </si>
  <si>
    <t>CA-8167</t>
  </si>
  <si>
    <t>Collinge, Elizabeth</t>
  </si>
  <si>
    <t>Rio Vista, CA</t>
  </si>
  <si>
    <t>CA-2490</t>
  </si>
  <si>
    <t>Cox, Robert</t>
  </si>
  <si>
    <t>Santa Rosa, CA</t>
  </si>
  <si>
    <t>CA-6616</t>
  </si>
  <si>
    <t>Cushman, Kathy</t>
  </si>
  <si>
    <t>Sparks, NV</t>
  </si>
  <si>
    <t>CA-5510</t>
  </si>
  <si>
    <t>Dalton, Sue</t>
  </si>
  <si>
    <t>Napa, CA</t>
  </si>
  <si>
    <t>CA-8075</t>
  </si>
  <si>
    <t>Doppelt, Jackie</t>
  </si>
  <si>
    <t>Fairfield, CA</t>
  </si>
  <si>
    <t>CA-1582</t>
  </si>
  <si>
    <t>Dresbach, Doug</t>
  </si>
  <si>
    <t>CA-5254</t>
  </si>
  <si>
    <t>Eiffert, Annett</t>
  </si>
  <si>
    <t>CA-2306</t>
  </si>
  <si>
    <t>Emerson, Mike</t>
  </si>
  <si>
    <t>CA-2183</t>
  </si>
  <si>
    <t>Fernandez, Cres</t>
  </si>
  <si>
    <t>CA-2690</t>
  </si>
  <si>
    <t>Hall, Roland</t>
  </si>
  <si>
    <t>CA-1222L</t>
  </si>
  <si>
    <t>Higgins, Terry</t>
  </si>
  <si>
    <t>Hayward, CA</t>
  </si>
  <si>
    <t>CA-6372</t>
  </si>
  <si>
    <t>Hom, Jones</t>
  </si>
  <si>
    <t>Walnut Creek, CA</t>
  </si>
  <si>
    <t>CA-925L</t>
  </si>
  <si>
    <t>Humiston, Lisa</t>
  </si>
  <si>
    <t>Susuin City, CA</t>
  </si>
  <si>
    <t>CA-7257</t>
  </si>
  <si>
    <t>Jackson, Peter A.</t>
  </si>
  <si>
    <t>CA-4206</t>
  </si>
  <si>
    <t>Jarzombek, Chris</t>
  </si>
  <si>
    <t>CA-6318</t>
  </si>
  <si>
    <t>Katzman, Stan</t>
  </si>
  <si>
    <t>CA-4499</t>
  </si>
  <si>
    <t>Kimsal, Michael</t>
  </si>
  <si>
    <t>CA-6348</t>
  </si>
  <si>
    <t>Laurence, Andrew</t>
  </si>
  <si>
    <t>Alameda, CA</t>
  </si>
  <si>
    <t>CA-2929</t>
  </si>
  <si>
    <t>Lens, Christy</t>
  </si>
  <si>
    <t>Carmel, CA</t>
  </si>
  <si>
    <t>CA-1737</t>
  </si>
  <si>
    <t>Lewis, Bob</t>
  </si>
  <si>
    <t>Pittsburg, CA</t>
  </si>
  <si>
    <t>CA-6983</t>
  </si>
  <si>
    <t>Lind, Dick</t>
  </si>
  <si>
    <t>Spreckels, CA</t>
  </si>
  <si>
    <t>CA-6780</t>
  </si>
  <si>
    <t>Long, David</t>
  </si>
  <si>
    <t>Lower Lake, CA</t>
  </si>
  <si>
    <t>CA-6693</t>
  </si>
  <si>
    <t>Meza, Nicole</t>
  </si>
  <si>
    <t>Rohnert  Park, CA</t>
  </si>
  <si>
    <t>CA-8037</t>
  </si>
  <si>
    <t>Moore, Denny</t>
  </si>
  <si>
    <t>CA-0793</t>
  </si>
  <si>
    <t>Morris, Wayne</t>
  </si>
  <si>
    <t>Fremont, CA</t>
  </si>
  <si>
    <t>CA-6409</t>
  </si>
  <si>
    <t>Njaa, H.Ross</t>
  </si>
  <si>
    <t>Salinas, CA</t>
  </si>
  <si>
    <t>CA-3226</t>
  </si>
  <si>
    <t>Pilecki, Tad</t>
  </si>
  <si>
    <t>CA-3377</t>
  </si>
  <si>
    <t>Rogers, Michael</t>
  </si>
  <si>
    <t>CA-6999</t>
  </si>
  <si>
    <t>Rojas, Nancy</t>
  </si>
  <si>
    <t>Citrus Heights, CA</t>
  </si>
  <si>
    <t>CA-3077</t>
  </si>
  <si>
    <t>Salinas, Amy</t>
  </si>
  <si>
    <t>CA-8116</t>
  </si>
  <si>
    <t>Shea, Peggy</t>
  </si>
  <si>
    <t>CA-3048</t>
  </si>
  <si>
    <t>Shea, Rick</t>
  </si>
  <si>
    <t>CA-4103</t>
  </si>
  <si>
    <t>Soekland, Jared</t>
  </si>
  <si>
    <t>CA-8136</t>
  </si>
  <si>
    <t>Sontag, Harold</t>
  </si>
  <si>
    <t>Dixon, CA</t>
  </si>
  <si>
    <t>CA-0114</t>
  </si>
  <si>
    <t>Spero, Denny</t>
  </si>
  <si>
    <t>CA-6237</t>
  </si>
  <si>
    <t>Spurgeon, Donald</t>
  </si>
  <si>
    <t>CA-7974</t>
  </si>
  <si>
    <t>Tellez, Barbara</t>
  </si>
  <si>
    <t>CA-5378</t>
  </si>
  <si>
    <t>Van Scyoc, Cheryl</t>
  </si>
  <si>
    <t>CA-1638</t>
  </si>
  <si>
    <t>Van Scyoc, Garrett</t>
  </si>
  <si>
    <t>CA-5859</t>
  </si>
  <si>
    <t>Villalobos, Angelina</t>
  </si>
  <si>
    <t>Oroville, CA</t>
  </si>
  <si>
    <t>CA-7572</t>
  </si>
  <si>
    <t>Washington, Carolyn</t>
  </si>
  <si>
    <t>CA-6863</t>
  </si>
  <si>
    <t>C</t>
  </si>
  <si>
    <t>$</t>
  </si>
  <si>
    <t xml:space="preserve"> </t>
  </si>
  <si>
    <t>S</t>
  </si>
  <si>
    <t>Napa Wine County Open</t>
  </si>
  <si>
    <t>The Moose Lodge</t>
  </si>
  <si>
    <t>Napa CA 94558</t>
  </si>
  <si>
    <t>EQ Pool</t>
  </si>
  <si>
    <t>1:6 Graduated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</si>
</sst>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49" fontId="9" fillId="0" borderId="0" xfId="0" applyNumberFormat="1" applyFont="1" applyProtection="1"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zoomScale="70" zoomScaleNormal="70" workbookViewId="0">
      <pane ySplit="11" topLeftCell="A12" activePane="bottomLeft" state="frozen"/>
      <selection pane="bottomLeft" activeCell="C38" sqref="C38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 t="s">
        <v>240</v>
      </c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 t="s">
        <v>241</v>
      </c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 t="s">
        <v>242</v>
      </c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>
        <v>46130</v>
      </c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57</v>
      </c>
      <c r="C10" s="51">
        <f>COUNTIF(C12:C322,"&lt;&gt;"&amp;"")</f>
        <v>15</v>
      </c>
      <c r="G10" s="51">
        <f t="shared" ref="G10:M10" si="0">COUNTIF(G12:G322,"&lt;&gt;"&amp;"")</f>
        <v>40</v>
      </c>
      <c r="H10" s="51">
        <f t="shared" si="0"/>
        <v>31</v>
      </c>
      <c r="I10" s="51">
        <f t="shared" si="0"/>
        <v>37</v>
      </c>
      <c r="J10" s="51">
        <f t="shared" si="0"/>
        <v>20</v>
      </c>
      <c r="K10" s="51">
        <f t="shared" si="0"/>
        <v>13</v>
      </c>
      <c r="L10" s="51">
        <f t="shared" si="0"/>
        <v>4</v>
      </c>
      <c r="M10" s="51">
        <f t="shared" si="0"/>
        <v>9</v>
      </c>
      <c r="N10" s="149">
        <f>SUM(N12:N211)</f>
        <v>730</v>
      </c>
      <c r="Q10" s="84">
        <f>SUM(Q12:Q211)</f>
        <v>3600</v>
      </c>
      <c r="R10" s="149">
        <f>SUM(R12:R211)</f>
        <v>2680</v>
      </c>
      <c r="S10" s="149">
        <f>SUM(S12:S211)</f>
        <v>6440</v>
      </c>
      <c r="T10" s="51">
        <f>COUNTIF(T12:T411,"&lt;&gt;"&amp;"")</f>
        <v>6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>
        <v>1</v>
      </c>
      <c r="C12" s="105">
        <v>1</v>
      </c>
      <c r="D12" s="145" t="s">
        <v>101</v>
      </c>
      <c r="E12" s="145" t="s">
        <v>102</v>
      </c>
      <c r="F12" s="111" t="s">
        <v>103</v>
      </c>
      <c r="G12" s="94">
        <v>1</v>
      </c>
      <c r="H12" s="105"/>
      <c r="I12" s="105">
        <v>1</v>
      </c>
      <c r="J12" s="105"/>
      <c r="K12" s="105"/>
      <c r="L12" s="143"/>
      <c r="M12" s="67"/>
      <c r="N12" s="108">
        <v>0</v>
      </c>
      <c r="O12" s="54" t="s">
        <v>236</v>
      </c>
      <c r="P12" s="7">
        <v>968</v>
      </c>
      <c r="Q12" s="144">
        <f t="shared" ref="Q12:Q43" si="1">IF(OR(O12="c",O12="C"),+S12,"")</f>
        <v>100</v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100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106">
        <v>1</v>
      </c>
      <c r="C13" s="105">
        <v>1</v>
      </c>
      <c r="D13" s="145" t="s">
        <v>104</v>
      </c>
      <c r="E13" s="145" t="s">
        <v>105</v>
      </c>
      <c r="F13" s="114" t="s">
        <v>106</v>
      </c>
      <c r="G13" s="106">
        <v>1</v>
      </c>
      <c r="H13" s="106"/>
      <c r="I13" s="106">
        <v>1</v>
      </c>
      <c r="J13" s="106"/>
      <c r="K13" s="106"/>
      <c r="L13" s="143"/>
      <c r="M13" s="108"/>
      <c r="N13" s="108">
        <v>0</v>
      </c>
      <c r="O13" s="54" t="s">
        <v>236</v>
      </c>
      <c r="P13" s="7">
        <v>968</v>
      </c>
      <c r="Q13" s="144">
        <f t="shared" si="1"/>
        <v>100</v>
      </c>
      <c r="R13" s="115" t="str">
        <f t="shared" si="2"/>
        <v/>
      </c>
      <c r="S13" s="54" cm="1">
        <f t="array" ref="S13">B13*MainEntryFee()+G13*MPool1Fee()+H13*MPool2Fee()+I13*MPool3Fee()+J13*MPool4Fee()</f>
        <v>100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>
        <v>1</v>
      </c>
      <c r="C14" s="105">
        <v>1</v>
      </c>
      <c r="D14" s="145" t="s">
        <v>120</v>
      </c>
      <c r="E14" s="145" t="s">
        <v>121</v>
      </c>
      <c r="F14" s="111" t="s">
        <v>122</v>
      </c>
      <c r="G14" s="94"/>
      <c r="H14" s="105"/>
      <c r="I14" s="105"/>
      <c r="J14" s="105"/>
      <c r="K14" s="105"/>
      <c r="L14" s="143"/>
      <c r="M14" s="67"/>
      <c r="N14" s="108">
        <v>0</v>
      </c>
      <c r="O14" s="54" t="s">
        <v>237</v>
      </c>
      <c r="P14" s="7"/>
      <c r="Q14" s="144" t="str">
        <f t="shared" si="1"/>
        <v/>
      </c>
      <c r="R14" s="115">
        <f t="shared" si="2"/>
        <v>70</v>
      </c>
      <c r="S14" s="54" cm="1">
        <f t="array" ref="S14">B14*MainEntryFee()+G14*MPool1Fee()+H14*MPool2Fee()+I14*MPool3Fee()+J14*MPool4Fee()</f>
        <v>70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94">
        <v>1</v>
      </c>
      <c r="C15" s="105">
        <v>1</v>
      </c>
      <c r="D15" s="145" t="s">
        <v>129</v>
      </c>
      <c r="E15" s="145" t="s">
        <v>130</v>
      </c>
      <c r="F15" s="111" t="s">
        <v>131</v>
      </c>
      <c r="G15" s="94">
        <v>1</v>
      </c>
      <c r="H15" s="105">
        <v>1</v>
      </c>
      <c r="I15" s="105">
        <v>1</v>
      </c>
      <c r="J15" s="105"/>
      <c r="K15" s="105">
        <v>1</v>
      </c>
      <c r="L15" s="143"/>
      <c r="M15" s="166"/>
      <c r="N15" s="108">
        <v>0</v>
      </c>
      <c r="O15" s="54" t="s">
        <v>237</v>
      </c>
      <c r="P15" s="7"/>
      <c r="Q15" s="144" t="str">
        <f t="shared" si="1"/>
        <v/>
      </c>
      <c r="R15" s="115">
        <f t="shared" si="2"/>
        <v>110</v>
      </c>
      <c r="S15" s="54" cm="1">
        <f t="array" ref="S15">B15*MainEntryFee()+G15*MPool1Fee()+H15*MPool2Fee()+I15*MPool3Fee()+J15*MPool4Fee()</f>
        <v>110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94">
        <v>1</v>
      </c>
      <c r="C16" s="105">
        <v>1</v>
      </c>
      <c r="D16" s="145" t="s">
        <v>135</v>
      </c>
      <c r="E16" s="145" t="s">
        <v>136</v>
      </c>
      <c r="F16" s="114" t="s">
        <v>137</v>
      </c>
      <c r="G16" s="106">
        <v>1</v>
      </c>
      <c r="H16" s="106">
        <v>1</v>
      </c>
      <c r="I16" s="106"/>
      <c r="J16" s="106"/>
      <c r="K16" s="106"/>
      <c r="L16" s="143"/>
      <c r="M16" s="108"/>
      <c r="N16" s="108">
        <v>0</v>
      </c>
      <c r="O16" s="54" t="s">
        <v>236</v>
      </c>
      <c r="P16" s="7">
        <v>227</v>
      </c>
      <c r="Q16" s="144">
        <f t="shared" si="1"/>
        <v>90</v>
      </c>
      <c r="R16" s="115" t="str">
        <f t="shared" si="2"/>
        <v/>
      </c>
      <c r="S16" s="54" cm="1">
        <f t="array" ref="S16">B16*MainEntryFee()+G16*MPool1Fee()+H16*MPool2Fee()+I16*MPool3Fee()+J16*MPool4Fee()</f>
        <v>90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>
        <v>1</v>
      </c>
      <c r="C17" s="105">
        <v>1</v>
      </c>
      <c r="D17" s="145" t="s">
        <v>158</v>
      </c>
      <c r="E17" s="145" t="s">
        <v>145</v>
      </c>
      <c r="F17" s="114" t="s">
        <v>159</v>
      </c>
      <c r="G17" s="106">
        <v>1</v>
      </c>
      <c r="H17" s="106">
        <v>1</v>
      </c>
      <c r="I17" s="106">
        <v>1</v>
      </c>
      <c r="J17" s="106">
        <v>1</v>
      </c>
      <c r="K17" s="106">
        <v>1</v>
      </c>
      <c r="L17" s="143"/>
      <c r="M17" s="108"/>
      <c r="N17" s="108">
        <v>0</v>
      </c>
      <c r="O17" s="54" t="s">
        <v>237</v>
      </c>
      <c r="P17" s="7"/>
      <c r="Q17" s="144" t="str">
        <f t="shared" si="1"/>
        <v/>
      </c>
      <c r="R17" s="115">
        <f t="shared" si="2"/>
        <v>160</v>
      </c>
      <c r="S17" s="54" cm="1">
        <f t="array" ref="S17">B17*MainEntryFee()+G17*MPool1Fee()+H17*MPool2Fee()+I17*MPool3Fee()+J17*MPool4Fee()</f>
        <v>160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106">
        <v>1</v>
      </c>
      <c r="C18" s="105">
        <v>1</v>
      </c>
      <c r="D18" s="145" t="s">
        <v>160</v>
      </c>
      <c r="E18" s="145" t="s">
        <v>161</v>
      </c>
      <c r="F18" s="111" t="s">
        <v>162</v>
      </c>
      <c r="G18" s="94">
        <v>1</v>
      </c>
      <c r="H18" s="105">
        <v>1</v>
      </c>
      <c r="I18" s="105">
        <v>1</v>
      </c>
      <c r="J18" s="105">
        <v>1</v>
      </c>
      <c r="K18" s="105">
        <v>1</v>
      </c>
      <c r="L18" s="143"/>
      <c r="M18" s="67"/>
      <c r="N18" s="108">
        <v>0</v>
      </c>
      <c r="O18" s="54" t="s">
        <v>237</v>
      </c>
      <c r="P18" s="7"/>
      <c r="Q18" s="144" t="str">
        <f t="shared" si="1"/>
        <v/>
      </c>
      <c r="R18" s="115">
        <f t="shared" si="2"/>
        <v>160</v>
      </c>
      <c r="S18" s="54" cm="1">
        <f t="array" ref="S18">B18*MainEntryFee()+G18*MPool1Fee()+H18*MPool2Fee()+I18*MPool3Fee()+J18*MPool4Fee()</f>
        <v>160</v>
      </c>
      <c r="T18" s="144">
        <v>1</v>
      </c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>
        <v>1</v>
      </c>
      <c r="C19" s="105">
        <v>1</v>
      </c>
      <c r="D19" s="145" t="s">
        <v>175</v>
      </c>
      <c r="E19" s="145" t="s">
        <v>164</v>
      </c>
      <c r="F19" s="111" t="s">
        <v>176</v>
      </c>
      <c r="G19" s="105">
        <v>1</v>
      </c>
      <c r="H19" s="105">
        <v>1</v>
      </c>
      <c r="I19" s="105">
        <v>1</v>
      </c>
      <c r="J19" s="105">
        <v>1</v>
      </c>
      <c r="K19" s="105"/>
      <c r="L19" s="143"/>
      <c r="M19" s="67"/>
      <c r="N19" s="108">
        <v>0</v>
      </c>
      <c r="O19" s="54" t="s">
        <v>236</v>
      </c>
      <c r="P19" s="7">
        <v>678</v>
      </c>
      <c r="Q19" s="144">
        <f t="shared" si="1"/>
        <v>160</v>
      </c>
      <c r="R19" s="115" t="str">
        <f t="shared" si="2"/>
        <v/>
      </c>
      <c r="S19" s="54" cm="1">
        <f t="array" ref="S19">B19*MainEntryFee()+G19*MPool1Fee()+H19*MPool2Fee()+I19*MPool3Fee()+J19*MPool4Fee()</f>
        <v>160</v>
      </c>
      <c r="T19" s="144">
        <v>1</v>
      </c>
      <c r="W19" s="1"/>
      <c r="X19" s="1"/>
      <c r="Y19" s="1"/>
      <c r="Z19" s="126"/>
      <c r="AA19" s="83"/>
    </row>
    <row r="20" spans="1:30" x14ac:dyDescent="0.25">
      <c r="A20" s="7"/>
      <c r="B20" s="106">
        <v>1</v>
      </c>
      <c r="C20" s="105">
        <v>1</v>
      </c>
      <c r="D20" s="145" t="s">
        <v>177</v>
      </c>
      <c r="E20" s="145" t="s">
        <v>178</v>
      </c>
      <c r="F20" s="114" t="s">
        <v>179</v>
      </c>
      <c r="G20" s="106"/>
      <c r="H20" s="106"/>
      <c r="I20" s="106"/>
      <c r="J20" s="106"/>
      <c r="K20" s="106"/>
      <c r="L20" s="165"/>
      <c r="M20" s="108"/>
      <c r="N20" s="108">
        <v>0</v>
      </c>
      <c r="O20" s="54" t="s">
        <v>237</v>
      </c>
      <c r="P20" s="7"/>
      <c r="Q20" s="144" t="str">
        <f t="shared" si="1"/>
        <v/>
      </c>
      <c r="R20" s="115">
        <f t="shared" si="2"/>
        <v>70</v>
      </c>
      <c r="S20" s="54" cm="1">
        <f t="array" ref="S20">B20*MainEntryFee()+G20*MPool1Fee()+H20*MPool2Fee()+I20*MPool3Fee()+J20*MPool4Fee()</f>
        <v>70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106">
        <v>1</v>
      </c>
      <c r="C21" s="105">
        <v>1</v>
      </c>
      <c r="D21" s="145" t="s">
        <v>189</v>
      </c>
      <c r="E21" s="145" t="s">
        <v>190</v>
      </c>
      <c r="F21" s="114" t="s">
        <v>191</v>
      </c>
      <c r="G21" s="106"/>
      <c r="H21" s="106"/>
      <c r="I21" s="106"/>
      <c r="J21" s="106"/>
      <c r="K21" s="106"/>
      <c r="L21" s="143"/>
      <c r="M21" s="108"/>
      <c r="N21" s="108">
        <v>0</v>
      </c>
      <c r="O21" s="54" t="s">
        <v>236</v>
      </c>
      <c r="P21" s="7">
        <v>1824</v>
      </c>
      <c r="Q21" s="144">
        <f t="shared" si="1"/>
        <v>70</v>
      </c>
      <c r="R21" s="115" t="str">
        <f t="shared" si="2"/>
        <v/>
      </c>
      <c r="S21" s="54" cm="1">
        <f t="array" ref="S21">B21*MainEntryFee()+G21*MPool1Fee()+H21*MPool2Fee()+I21*MPool3Fee()+J21*MPool4Fee()</f>
        <v>70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106">
        <v>1</v>
      </c>
      <c r="C22" s="105">
        <v>1</v>
      </c>
      <c r="D22" s="145" t="s">
        <v>195</v>
      </c>
      <c r="E22" s="145" t="s">
        <v>145</v>
      </c>
      <c r="F22" s="111" t="s">
        <v>196</v>
      </c>
      <c r="G22" s="94">
        <v>1</v>
      </c>
      <c r="H22" s="105">
        <v>1</v>
      </c>
      <c r="I22" s="105">
        <v>1</v>
      </c>
      <c r="J22" s="105">
        <v>1</v>
      </c>
      <c r="K22" s="105">
        <v>1</v>
      </c>
      <c r="L22" s="143"/>
      <c r="M22" s="67"/>
      <c r="N22" s="108">
        <v>0</v>
      </c>
      <c r="O22" s="54" t="s">
        <v>236</v>
      </c>
      <c r="P22" s="7">
        <v>2615</v>
      </c>
      <c r="Q22" s="144">
        <f t="shared" si="1"/>
        <v>160</v>
      </c>
      <c r="R22" s="115" t="str">
        <f t="shared" si="2"/>
        <v/>
      </c>
      <c r="S22" s="54" cm="1">
        <f t="array" ref="S22">B22*MainEntryFee()+G22*MPool1Fee()+H22*MPool2Fee()+I22*MPool3Fee()+J22*MPool4Fee()</f>
        <v>160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94">
        <v>1</v>
      </c>
      <c r="C23" s="105">
        <v>1</v>
      </c>
      <c r="D23" s="145" t="s">
        <v>210</v>
      </c>
      <c r="E23" s="145" t="s">
        <v>145</v>
      </c>
      <c r="F23" s="114" t="s">
        <v>211</v>
      </c>
      <c r="G23" s="94"/>
      <c r="H23" s="105">
        <v>1</v>
      </c>
      <c r="I23" s="105">
        <v>1</v>
      </c>
      <c r="J23" s="105"/>
      <c r="K23" s="105"/>
      <c r="L23" s="143"/>
      <c r="M23" s="67"/>
      <c r="N23" s="108">
        <v>0</v>
      </c>
      <c r="O23" s="54" t="s">
        <v>236</v>
      </c>
      <c r="P23" s="7">
        <v>1412</v>
      </c>
      <c r="Q23" s="144">
        <f t="shared" si="1"/>
        <v>100</v>
      </c>
      <c r="R23" s="115" t="str">
        <f t="shared" si="2"/>
        <v/>
      </c>
      <c r="S23" s="54" cm="1">
        <f t="array" ref="S23">B23*MainEntryFee()+G23*MPool1Fee()+H23*MPool2Fee()+I23*MPool3Fee()+J23*MPool4Fee()</f>
        <v>100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>
        <v>1</v>
      </c>
      <c r="C24" s="105">
        <v>1</v>
      </c>
      <c r="D24" s="145" t="s">
        <v>212</v>
      </c>
      <c r="E24" s="145" t="s">
        <v>130</v>
      </c>
      <c r="F24" s="114" t="s">
        <v>213</v>
      </c>
      <c r="G24" s="106">
        <v>1</v>
      </c>
      <c r="H24" s="106">
        <v>1</v>
      </c>
      <c r="I24" s="106">
        <v>1</v>
      </c>
      <c r="J24" s="106">
        <v>1</v>
      </c>
      <c r="K24" s="106">
        <v>1</v>
      </c>
      <c r="L24" s="143"/>
      <c r="M24" s="108"/>
      <c r="N24" s="108">
        <v>0</v>
      </c>
      <c r="O24" s="54" t="s">
        <v>236</v>
      </c>
      <c r="P24" s="7">
        <v>1570</v>
      </c>
      <c r="Q24" s="144">
        <f t="shared" si="1"/>
        <v>160</v>
      </c>
      <c r="R24" s="115" t="str">
        <f t="shared" si="2"/>
        <v/>
      </c>
      <c r="S24" s="54" cm="1">
        <f t="array" ref="S24">B24*MainEntryFee()+G24*MPool1Fee()+H24*MPool2Fee()+I24*MPool3Fee()+J24*MPool4Fee()</f>
        <v>160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106">
        <v>1</v>
      </c>
      <c r="C25" s="105">
        <v>1</v>
      </c>
      <c r="D25" s="145" t="s">
        <v>229</v>
      </c>
      <c r="E25" s="145" t="s">
        <v>145</v>
      </c>
      <c r="F25" s="114" t="s">
        <v>230</v>
      </c>
      <c r="G25" s="94">
        <v>1</v>
      </c>
      <c r="H25" s="105">
        <v>1</v>
      </c>
      <c r="I25" s="105">
        <v>1</v>
      </c>
      <c r="J25" s="105">
        <v>1</v>
      </c>
      <c r="K25" s="105">
        <v>1</v>
      </c>
      <c r="L25" s="165">
        <v>1</v>
      </c>
      <c r="M25" s="67"/>
      <c r="N25" s="108">
        <v>0</v>
      </c>
      <c r="O25" s="54" t="s">
        <v>237</v>
      </c>
      <c r="P25" s="7"/>
      <c r="Q25" s="144" t="str">
        <f t="shared" si="1"/>
        <v/>
      </c>
      <c r="R25" s="115">
        <f t="shared" si="2"/>
        <v>160</v>
      </c>
      <c r="S25" s="54" cm="1">
        <f t="array" ref="S25">B25*MainEntryFee()+G25*MPool1Fee()+H25*MPool2Fee()+I25*MPool3Fee()+J25*MPool4Fee()</f>
        <v>160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106">
        <v>1</v>
      </c>
      <c r="C26" s="105">
        <v>1</v>
      </c>
      <c r="D26" s="145" t="s">
        <v>234</v>
      </c>
      <c r="E26" s="145" t="s">
        <v>105</v>
      </c>
      <c r="F26" s="111" t="s">
        <v>235</v>
      </c>
      <c r="G26" s="94">
        <v>1</v>
      </c>
      <c r="H26" s="105"/>
      <c r="I26" s="105"/>
      <c r="J26" s="105"/>
      <c r="K26" s="105"/>
      <c r="L26" s="165"/>
      <c r="M26" s="67"/>
      <c r="N26" s="108">
        <v>0</v>
      </c>
      <c r="O26" s="54" t="s">
        <v>236</v>
      </c>
      <c r="P26" s="7">
        <v>2497</v>
      </c>
      <c r="Q26" s="144">
        <f t="shared" si="1"/>
        <v>80</v>
      </c>
      <c r="R26" s="115" t="str">
        <f t="shared" si="2"/>
        <v/>
      </c>
      <c r="S26" s="54" cm="1">
        <f t="array" ref="S26">B26*MainEntryFee()+G26*MPool1Fee()+H26*MPool2Fee()+I26*MPool3Fee()+J26*MPool4Fee()</f>
        <v>80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106">
        <v>1</v>
      </c>
      <c r="C27" s="105"/>
      <c r="D27" s="145" t="s">
        <v>91</v>
      </c>
      <c r="E27" s="145" t="s">
        <v>92</v>
      </c>
      <c r="F27" s="111" t="s">
        <v>93</v>
      </c>
      <c r="G27" s="94"/>
      <c r="H27" s="105"/>
      <c r="I27" s="105"/>
      <c r="J27" s="105"/>
      <c r="K27" s="105"/>
      <c r="L27" s="165"/>
      <c r="M27" s="67"/>
      <c r="N27" s="108">
        <v>0</v>
      </c>
      <c r="O27" s="54" t="s">
        <v>236</v>
      </c>
      <c r="P27" s="7">
        <v>3488</v>
      </c>
      <c r="Q27" s="144">
        <f t="shared" si="1"/>
        <v>70</v>
      </c>
      <c r="R27" s="115" t="str">
        <f t="shared" si="2"/>
        <v/>
      </c>
      <c r="S27" s="54" cm="1">
        <f t="array" ref="S27">B27*MainEntryFee()+G27*MPool1Fee()+H27*MPool2Fee()+I27*MPool3Fee()+J27*MPool4Fee()</f>
        <v>70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>
        <v>1</v>
      </c>
      <c r="C28" s="105"/>
      <c r="D28" s="145" t="s">
        <v>94</v>
      </c>
      <c r="E28" s="145" t="s">
        <v>95</v>
      </c>
      <c r="F28" s="114" t="s">
        <v>96</v>
      </c>
      <c r="G28" s="94"/>
      <c r="H28" s="105"/>
      <c r="I28" s="105"/>
      <c r="J28" s="105"/>
      <c r="K28" s="105"/>
      <c r="L28" s="165"/>
      <c r="M28" s="67">
        <v>1</v>
      </c>
      <c r="N28" s="108">
        <v>70</v>
      </c>
      <c r="O28" s="54" t="s">
        <v>237</v>
      </c>
      <c r="P28" s="7" t="s">
        <v>238</v>
      </c>
      <c r="Q28" s="144" t="str">
        <f t="shared" si="1"/>
        <v/>
      </c>
      <c r="R28" s="115">
        <f t="shared" si="2"/>
        <v>70</v>
      </c>
      <c r="S28" s="54" cm="1">
        <f t="array" ref="S28">B28*MainEntryFee()+G28*MPool1Fee()+H28*MPool2Fee()+I28*MPool3Fee()+J28*MPool4Fee()</f>
        <v>70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>
        <v>1</v>
      </c>
      <c r="C29" s="105"/>
      <c r="D29" s="145" t="s">
        <v>97</v>
      </c>
      <c r="E29" s="145" t="s">
        <v>95</v>
      </c>
      <c r="F29" s="114" t="s">
        <v>98</v>
      </c>
      <c r="G29" s="106"/>
      <c r="H29" s="106"/>
      <c r="I29" s="106"/>
      <c r="J29" s="106"/>
      <c r="K29" s="106"/>
      <c r="L29" s="143"/>
      <c r="M29" s="108">
        <v>1</v>
      </c>
      <c r="N29" s="108">
        <v>70</v>
      </c>
      <c r="O29" s="54" t="s">
        <v>237</v>
      </c>
      <c r="P29" s="7" t="s">
        <v>238</v>
      </c>
      <c r="Q29" s="144" t="str">
        <f t="shared" si="1"/>
        <v/>
      </c>
      <c r="R29" s="115">
        <f t="shared" si="2"/>
        <v>70</v>
      </c>
      <c r="S29" s="54" cm="1">
        <f t="array" ref="S29">B29*MainEntryFee()+G29*MPool1Fee()+H29*MPool2Fee()+I29*MPool3Fee()+J29*MPool4Fee()</f>
        <v>70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>
        <v>1</v>
      </c>
      <c r="C30" s="105"/>
      <c r="D30" s="145" t="s">
        <v>99</v>
      </c>
      <c r="E30" s="145" t="s">
        <v>95</v>
      </c>
      <c r="F30" s="111" t="s">
        <v>100</v>
      </c>
      <c r="G30" s="94"/>
      <c r="H30" s="105"/>
      <c r="I30" s="105"/>
      <c r="J30" s="105"/>
      <c r="K30" s="105"/>
      <c r="L30" s="165"/>
      <c r="M30" s="67">
        <v>1</v>
      </c>
      <c r="N30" s="108">
        <v>70</v>
      </c>
      <c r="O30" s="54" t="s">
        <v>237</v>
      </c>
      <c r="P30" s="7" t="s">
        <v>238</v>
      </c>
      <c r="Q30" s="144" t="str">
        <f t="shared" si="1"/>
        <v/>
      </c>
      <c r="R30" s="115">
        <f t="shared" si="2"/>
        <v>70</v>
      </c>
      <c r="S30" s="54" cm="1">
        <f t="array" ref="S30">B30*MainEntryFee()+G30*MPool1Fee()+H30*MPool2Fee()+I30*MPool3Fee()+J30*MPool4Fee()</f>
        <v>70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94">
        <v>1</v>
      </c>
      <c r="C31" s="105"/>
      <c r="D31" s="145" t="s">
        <v>107</v>
      </c>
      <c r="E31" s="145" t="s">
        <v>108</v>
      </c>
      <c r="F31" s="114" t="s">
        <v>109</v>
      </c>
      <c r="G31" s="106"/>
      <c r="H31" s="106"/>
      <c r="I31" s="106"/>
      <c r="J31" s="106"/>
      <c r="K31" s="106"/>
      <c r="L31" s="165"/>
      <c r="M31" s="108"/>
      <c r="N31" s="108">
        <v>0</v>
      </c>
      <c r="O31" s="54" t="s">
        <v>237</v>
      </c>
      <c r="P31" s="7"/>
      <c r="Q31" s="144" t="str">
        <f t="shared" si="1"/>
        <v/>
      </c>
      <c r="R31" s="115">
        <f t="shared" si="2"/>
        <v>70</v>
      </c>
      <c r="S31" s="54" cm="1">
        <f t="array" ref="S31">B31*MainEntryFee()+G31*MPool1Fee()+H31*MPool2Fee()+I31*MPool3Fee()+J31*MPool4Fee()</f>
        <v>70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106">
        <v>1</v>
      </c>
      <c r="C32" s="105"/>
      <c r="D32" s="145" t="s">
        <v>110</v>
      </c>
      <c r="E32" s="145" t="s">
        <v>108</v>
      </c>
      <c r="F32" s="114" t="s">
        <v>111</v>
      </c>
      <c r="G32" s="94"/>
      <c r="H32" s="105"/>
      <c r="I32" s="105"/>
      <c r="J32" s="105"/>
      <c r="K32" s="105"/>
      <c r="L32" s="143"/>
      <c r="M32" s="67"/>
      <c r="N32" s="108">
        <v>0</v>
      </c>
      <c r="O32" s="54" t="s">
        <v>237</v>
      </c>
      <c r="P32" s="7"/>
      <c r="Q32" s="144" t="str">
        <f t="shared" si="1"/>
        <v/>
      </c>
      <c r="R32" s="115">
        <f t="shared" si="2"/>
        <v>70</v>
      </c>
      <c r="S32" s="54" cm="1">
        <f t="array" ref="S32">B32*MainEntryFee()+G32*MPool1Fee()+H32*MPool2Fee()+I32*MPool3Fee()+J32*MPool4Fee()</f>
        <v>70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>
        <v>1</v>
      </c>
      <c r="C33" s="105"/>
      <c r="D33" s="145" t="s">
        <v>112</v>
      </c>
      <c r="E33" s="145" t="s">
        <v>113</v>
      </c>
      <c r="F33" s="111" t="s">
        <v>114</v>
      </c>
      <c r="G33" s="94">
        <v>1</v>
      </c>
      <c r="H33" s="105">
        <v>1</v>
      </c>
      <c r="I33" s="105">
        <v>1</v>
      </c>
      <c r="J33" s="105">
        <v>1</v>
      </c>
      <c r="K33" s="105"/>
      <c r="L33" s="143"/>
      <c r="M33" s="67"/>
      <c r="N33" s="108">
        <v>0</v>
      </c>
      <c r="O33" s="54" t="s">
        <v>236</v>
      </c>
      <c r="P33" s="7">
        <v>1886</v>
      </c>
      <c r="Q33" s="144">
        <f t="shared" si="1"/>
        <v>160</v>
      </c>
      <c r="R33" s="115" t="str">
        <f t="shared" si="2"/>
        <v/>
      </c>
      <c r="S33" s="54" cm="1">
        <f t="array" ref="S33">B33*MainEntryFee()+G33*MPool1Fee()+H33*MPool2Fee()+I33*MPool3Fee()+J33*MPool4Fee()</f>
        <v>160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94">
        <v>1</v>
      </c>
      <c r="C34" s="105"/>
      <c r="D34" s="145" t="s">
        <v>115</v>
      </c>
      <c r="E34" s="145" t="s">
        <v>113</v>
      </c>
      <c r="F34" s="111" t="s">
        <v>116</v>
      </c>
      <c r="G34" s="94">
        <v>1</v>
      </c>
      <c r="H34" s="105">
        <v>1</v>
      </c>
      <c r="I34" s="105">
        <v>1</v>
      </c>
      <c r="J34" s="105">
        <v>1</v>
      </c>
      <c r="K34" s="105"/>
      <c r="L34" s="143"/>
      <c r="M34" s="67"/>
      <c r="N34" s="108">
        <v>0</v>
      </c>
      <c r="O34" s="54" t="s">
        <v>236</v>
      </c>
      <c r="P34" s="7">
        <v>1886</v>
      </c>
      <c r="Q34" s="144">
        <f t="shared" si="1"/>
        <v>160</v>
      </c>
      <c r="R34" s="115" t="str">
        <f t="shared" si="2"/>
        <v/>
      </c>
      <c r="S34" s="54" cm="1">
        <f t="array" ref="S34">B34*MainEntryFee()+G34*MPool1Fee()+H34*MPool2Fee()+I34*MPool3Fee()+J34*MPool4Fee()</f>
        <v>160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>
        <v>1</v>
      </c>
      <c r="C35" s="105"/>
      <c r="D35" s="145" t="s">
        <v>117</v>
      </c>
      <c r="E35" s="145" t="s">
        <v>118</v>
      </c>
      <c r="F35" s="111" t="s">
        <v>119</v>
      </c>
      <c r="G35" s="94">
        <v>1</v>
      </c>
      <c r="H35" s="105"/>
      <c r="I35" s="105">
        <v>1</v>
      </c>
      <c r="J35" s="105"/>
      <c r="K35" s="105"/>
      <c r="L35" s="143"/>
      <c r="M35" s="67"/>
      <c r="N35" s="108">
        <v>0</v>
      </c>
      <c r="O35" s="54" t="s">
        <v>236</v>
      </c>
      <c r="P35" s="7">
        <v>109</v>
      </c>
      <c r="Q35" s="144">
        <f t="shared" si="1"/>
        <v>100</v>
      </c>
      <c r="R35" s="115" t="str">
        <f t="shared" si="2"/>
        <v/>
      </c>
      <c r="S35" s="54" cm="1">
        <f t="array" ref="S35">B35*MainEntryFee()+G35*MPool1Fee()+H35*MPool2Fee()+I35*MPool3Fee()+J35*MPool4Fee()</f>
        <v>100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>
        <v>1</v>
      </c>
      <c r="C36" s="105"/>
      <c r="D36" s="145" t="s">
        <v>123</v>
      </c>
      <c r="E36" s="145" t="s">
        <v>124</v>
      </c>
      <c r="F36" s="114" t="s">
        <v>125</v>
      </c>
      <c r="G36" s="94">
        <v>1</v>
      </c>
      <c r="H36" s="105"/>
      <c r="I36" s="105"/>
      <c r="J36" s="105"/>
      <c r="K36" s="105">
        <v>1</v>
      </c>
      <c r="L36" s="143"/>
      <c r="M36" s="67"/>
      <c r="N36" s="108">
        <v>0</v>
      </c>
      <c r="O36" s="54" t="s">
        <v>237</v>
      </c>
      <c r="P36" s="7"/>
      <c r="Q36" s="144" t="str">
        <f t="shared" si="1"/>
        <v/>
      </c>
      <c r="R36" s="115">
        <f t="shared" si="2"/>
        <v>80</v>
      </c>
      <c r="S36" s="54" cm="1">
        <f t="array" ref="S36">B36*MainEntryFee()+G36*MPool1Fee()+H36*MPool2Fee()+I36*MPool3Fee()+J36*MPool4Fee()</f>
        <v>80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94">
        <v>1</v>
      </c>
      <c r="C37" s="105"/>
      <c r="D37" s="145" t="s">
        <v>126</v>
      </c>
      <c r="E37" s="145" t="s">
        <v>127</v>
      </c>
      <c r="F37" s="114" t="s">
        <v>128</v>
      </c>
      <c r="G37" s="106">
        <v>1</v>
      </c>
      <c r="H37" s="106">
        <v>1</v>
      </c>
      <c r="I37" s="106">
        <v>1</v>
      </c>
      <c r="J37" s="106">
        <v>1</v>
      </c>
      <c r="K37" s="106">
        <v>1</v>
      </c>
      <c r="L37" s="143"/>
      <c r="M37" s="108"/>
      <c r="N37" s="108">
        <v>0</v>
      </c>
      <c r="O37" s="54" t="s">
        <v>237</v>
      </c>
      <c r="P37" s="7"/>
      <c r="Q37" s="144" t="str">
        <f t="shared" si="1"/>
        <v/>
      </c>
      <c r="R37" s="115">
        <f t="shared" si="2"/>
        <v>160</v>
      </c>
      <c r="S37" s="54" cm="1">
        <f t="array" ref="S37">B37*MainEntryFee()+G37*MPool1Fee()+H37*MPool2Fee()+I37*MPool3Fee()+J37*MPool4Fee()</f>
        <v>160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94">
        <v>1</v>
      </c>
      <c r="C38" s="105"/>
      <c r="D38" s="145" t="s">
        <v>132</v>
      </c>
      <c r="E38" s="145" t="s">
        <v>133</v>
      </c>
      <c r="F38" s="111" t="s">
        <v>134</v>
      </c>
      <c r="G38" s="105"/>
      <c r="H38" s="105"/>
      <c r="I38" s="105"/>
      <c r="J38" s="105"/>
      <c r="K38" s="105"/>
      <c r="L38" s="143"/>
      <c r="M38" s="67">
        <v>1</v>
      </c>
      <c r="N38" s="108">
        <v>70</v>
      </c>
      <c r="O38" s="54" t="s">
        <v>237</v>
      </c>
      <c r="P38" s="7"/>
      <c r="Q38" s="144" t="str">
        <f t="shared" si="1"/>
        <v/>
      </c>
      <c r="R38" s="115">
        <f t="shared" si="2"/>
        <v>70</v>
      </c>
      <c r="S38" s="54" cm="1">
        <f t="array" ref="S38">B38*MainEntryFee()+G38*MPool1Fee()+H38*MPool2Fee()+I38*MPool3Fee()+J38*MPool4Fee()</f>
        <v>70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106">
        <v>1</v>
      </c>
      <c r="C39" s="105"/>
      <c r="D39" s="145" t="s">
        <v>138</v>
      </c>
      <c r="E39" s="145" t="s">
        <v>139</v>
      </c>
      <c r="F39" s="114" t="s">
        <v>140</v>
      </c>
      <c r="G39" s="106">
        <v>1</v>
      </c>
      <c r="H39" s="106"/>
      <c r="I39" s="106"/>
      <c r="J39" s="106"/>
      <c r="K39" s="106">
        <v>1</v>
      </c>
      <c r="L39" s="143"/>
      <c r="M39" s="108"/>
      <c r="N39" s="108">
        <v>0</v>
      </c>
      <c r="O39" s="54" t="s">
        <v>236</v>
      </c>
      <c r="P39" s="7">
        <v>241</v>
      </c>
      <c r="Q39" s="144">
        <f t="shared" si="1"/>
        <v>80</v>
      </c>
      <c r="R39" s="115" t="str">
        <f t="shared" si="2"/>
        <v/>
      </c>
      <c r="S39" s="54" cm="1">
        <f t="array" ref="S39">B39*MainEntryFee()+G39*MPool1Fee()+H39*MPool2Fee()+I39*MPool3Fee()+J39*MPool4Fee()</f>
        <v>80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>
        <v>1</v>
      </c>
      <c r="C40" s="105"/>
      <c r="D40" s="145" t="s">
        <v>141</v>
      </c>
      <c r="E40" s="145" t="s">
        <v>142</v>
      </c>
      <c r="F40" s="114" t="s">
        <v>143</v>
      </c>
      <c r="G40" s="106">
        <v>1</v>
      </c>
      <c r="H40" s="106">
        <v>1</v>
      </c>
      <c r="I40" s="106">
        <v>1</v>
      </c>
      <c r="J40" s="106">
        <v>1</v>
      </c>
      <c r="K40" s="106"/>
      <c r="L40" s="143">
        <v>1</v>
      </c>
      <c r="M40" s="108"/>
      <c r="N40" s="108">
        <v>0</v>
      </c>
      <c r="O40" s="54" t="s">
        <v>236</v>
      </c>
      <c r="P40" s="7">
        <v>19</v>
      </c>
      <c r="Q40" s="144">
        <f t="shared" si="1"/>
        <v>160</v>
      </c>
      <c r="R40" s="115" t="str">
        <f t="shared" si="2"/>
        <v/>
      </c>
      <c r="S40" s="54" cm="1">
        <f t="array" ref="S40">B40*MainEntryFee()+G40*MPool1Fee()+H40*MPool2Fee()+I40*MPool3Fee()+J40*MPool4Fee()</f>
        <v>160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>
        <v>1</v>
      </c>
      <c r="C41" s="105"/>
      <c r="D41" s="145" t="s">
        <v>144</v>
      </c>
      <c r="E41" s="145" t="s">
        <v>145</v>
      </c>
      <c r="F41" s="114" t="s">
        <v>146</v>
      </c>
      <c r="G41" s="106"/>
      <c r="H41" s="106"/>
      <c r="I41" s="106"/>
      <c r="J41" s="106"/>
      <c r="K41" s="106"/>
      <c r="L41" s="165"/>
      <c r="M41" s="108"/>
      <c r="N41" s="108">
        <v>0</v>
      </c>
      <c r="O41" s="54" t="s">
        <v>236</v>
      </c>
      <c r="P41" s="7">
        <v>1219</v>
      </c>
      <c r="Q41" s="144">
        <f t="shared" si="1"/>
        <v>70</v>
      </c>
      <c r="R41" s="115" t="str">
        <f t="shared" si="2"/>
        <v/>
      </c>
      <c r="S41" s="54" cm="1">
        <f t="array" ref="S41">B41*MainEntryFee()+G41*MPool1Fee()+H41*MPool2Fee()+I41*MPool3Fee()+J41*MPool4Fee()</f>
        <v>70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94">
        <v>1</v>
      </c>
      <c r="C42" s="105"/>
      <c r="D42" s="145" t="s">
        <v>147</v>
      </c>
      <c r="E42" s="145" t="s">
        <v>148</v>
      </c>
      <c r="F42" s="111" t="s">
        <v>149</v>
      </c>
      <c r="G42" s="94"/>
      <c r="H42" s="105">
        <v>1</v>
      </c>
      <c r="I42" s="105">
        <v>1</v>
      </c>
      <c r="J42" s="105"/>
      <c r="K42" s="105"/>
      <c r="L42" s="143"/>
      <c r="M42" s="67"/>
      <c r="N42" s="108">
        <v>0</v>
      </c>
      <c r="O42" s="54" t="s">
        <v>237</v>
      </c>
      <c r="P42" s="7"/>
      <c r="Q42" s="144" t="str">
        <f t="shared" si="1"/>
        <v/>
      </c>
      <c r="R42" s="115">
        <f t="shared" si="2"/>
        <v>100</v>
      </c>
      <c r="S42" s="54" cm="1">
        <f t="array" ref="S42">B42*MainEntryFee()+G42*MPool1Fee()+H42*MPool2Fee()+I42*MPool3Fee()+J42*MPool4Fee()</f>
        <v>100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106">
        <v>1</v>
      </c>
      <c r="C43" s="105"/>
      <c r="D43" s="145" t="s">
        <v>150</v>
      </c>
      <c r="E43" s="145" t="s">
        <v>102</v>
      </c>
      <c r="F43" s="114" t="s">
        <v>151</v>
      </c>
      <c r="G43" s="106">
        <v>1</v>
      </c>
      <c r="H43" s="106">
        <v>1</v>
      </c>
      <c r="I43" s="106">
        <v>1</v>
      </c>
      <c r="J43" s="106">
        <v>1</v>
      </c>
      <c r="K43" s="106">
        <v>1</v>
      </c>
      <c r="L43" s="143"/>
      <c r="M43" s="108"/>
      <c r="N43" s="108">
        <v>0</v>
      </c>
      <c r="O43" s="54" t="s">
        <v>236</v>
      </c>
      <c r="P43" s="7">
        <v>1418</v>
      </c>
      <c r="Q43" s="144">
        <f t="shared" si="1"/>
        <v>160</v>
      </c>
      <c r="R43" s="115" t="str">
        <f t="shared" si="2"/>
        <v/>
      </c>
      <c r="S43" s="54" cm="1">
        <f t="array" ref="S43">B43*MainEntryFee()+G43*MPool1Fee()+H43*MPool2Fee()+I43*MPool3Fee()+J43*MPool4Fee()</f>
        <v>160</v>
      </c>
      <c r="T43" s="144"/>
      <c r="W43" s="1"/>
      <c r="X43" s="1"/>
      <c r="Y43" s="1"/>
      <c r="Z43" s="126"/>
      <c r="AA43" s="83"/>
      <c r="AC43" s="21"/>
    </row>
    <row r="44" spans="1:29" x14ac:dyDescent="0.25">
      <c r="A44" s="7"/>
      <c r="B44" s="106">
        <v>1</v>
      </c>
      <c r="C44" s="105"/>
      <c r="D44" s="145" t="s">
        <v>152</v>
      </c>
      <c r="E44" s="145" t="s">
        <v>105</v>
      </c>
      <c r="F44" s="114" t="s">
        <v>153</v>
      </c>
      <c r="G44" s="106">
        <v>1</v>
      </c>
      <c r="H44" s="106"/>
      <c r="I44" s="106">
        <v>1</v>
      </c>
      <c r="J44" s="106"/>
      <c r="K44" s="106"/>
      <c r="L44" s="143"/>
      <c r="M44" s="108"/>
      <c r="N44" s="108">
        <v>0</v>
      </c>
      <c r="O44" s="54" t="s">
        <v>237</v>
      </c>
      <c r="P44" s="7"/>
      <c r="Q44" s="144" t="str">
        <f t="shared" ref="Q44:Q79" si="3">IF(OR(O44="c",O44="C"),+S44,"")</f>
        <v/>
      </c>
      <c r="R44" s="115">
        <f t="shared" ref="R44:R75" si="4">IF(OR(O44="$",M44=1),+S44,"")</f>
        <v>100</v>
      </c>
      <c r="S44" s="54" cm="1">
        <f t="array" ref="S44">B44*MainEntryFee()+G44*MPool1Fee()+H44*MPool2Fee()+I44*MPool3Fee()+J44*MPool4Fee()</f>
        <v>100</v>
      </c>
      <c r="T44" s="144">
        <v>1</v>
      </c>
      <c r="W44" s="1"/>
      <c r="X44" s="1"/>
      <c r="Y44" s="1"/>
      <c r="Z44" s="126"/>
      <c r="AA44" s="83"/>
      <c r="AC44" s="21"/>
    </row>
    <row r="45" spans="1:29" x14ac:dyDescent="0.25">
      <c r="A45" s="7"/>
      <c r="B45" s="94">
        <v>1</v>
      </c>
      <c r="C45" s="105"/>
      <c r="D45" s="145" t="s">
        <v>154</v>
      </c>
      <c r="E45" s="145" t="s">
        <v>139</v>
      </c>
      <c r="F45" s="111" t="s">
        <v>155</v>
      </c>
      <c r="G45" s="106">
        <v>1</v>
      </c>
      <c r="H45" s="106">
        <v>1</v>
      </c>
      <c r="I45" s="106">
        <v>1</v>
      </c>
      <c r="J45" s="106">
        <v>1</v>
      </c>
      <c r="K45" s="106"/>
      <c r="L45" s="143"/>
      <c r="M45" s="108"/>
      <c r="N45" s="108">
        <v>0</v>
      </c>
      <c r="O45" s="54" t="s">
        <v>236</v>
      </c>
      <c r="P45" s="7">
        <v>2074</v>
      </c>
      <c r="Q45" s="144">
        <f t="shared" si="3"/>
        <v>160</v>
      </c>
      <c r="R45" s="115" t="str">
        <f t="shared" si="4"/>
        <v/>
      </c>
      <c r="S45" s="54" cm="1">
        <f t="array" ref="S45">B45*MainEntryFee()+G45*MPool1Fee()+H45*MPool2Fee()+I45*MPool3Fee()+J45*MPool4Fee()</f>
        <v>160</v>
      </c>
      <c r="T45" s="144"/>
      <c r="W45" s="1"/>
      <c r="X45" s="1"/>
      <c r="Y45" s="1"/>
      <c r="Z45" s="126"/>
      <c r="AA45" s="127"/>
      <c r="AC45" s="21"/>
    </row>
    <row r="46" spans="1:29" x14ac:dyDescent="0.25">
      <c r="A46" s="7"/>
      <c r="B46" s="106">
        <v>1</v>
      </c>
      <c r="C46" s="105"/>
      <c r="D46" s="145" t="s">
        <v>156</v>
      </c>
      <c r="E46" s="145" t="s">
        <v>139</v>
      </c>
      <c r="F46" s="114" t="s">
        <v>157</v>
      </c>
      <c r="G46" s="106">
        <v>1</v>
      </c>
      <c r="H46" s="106">
        <v>1</v>
      </c>
      <c r="I46" s="106">
        <v>1</v>
      </c>
      <c r="J46" s="106">
        <v>1</v>
      </c>
      <c r="K46" s="106"/>
      <c r="L46" s="143"/>
      <c r="M46" s="108"/>
      <c r="N46" s="108">
        <v>0</v>
      </c>
      <c r="O46" s="54" t="s">
        <v>236</v>
      </c>
      <c r="P46" s="7">
        <v>2334</v>
      </c>
      <c r="Q46" s="144">
        <f t="shared" si="3"/>
        <v>160</v>
      </c>
      <c r="R46" s="115" t="str">
        <f t="shared" si="4"/>
        <v/>
      </c>
      <c r="S46" s="54" cm="1">
        <f t="array" ref="S46">B46*MainEntryFee()+G46*MPool1Fee()+H46*MPool2Fee()+I46*MPool3Fee()+J46*MPool4Fee()</f>
        <v>160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94">
        <v>1</v>
      </c>
      <c r="C47" s="105"/>
      <c r="D47" s="145" t="s">
        <v>163</v>
      </c>
      <c r="E47" s="145" t="s">
        <v>164</v>
      </c>
      <c r="F47" s="114" t="s">
        <v>165</v>
      </c>
      <c r="G47" s="94">
        <v>1</v>
      </c>
      <c r="H47" s="105"/>
      <c r="I47" s="105"/>
      <c r="J47" s="105"/>
      <c r="K47" s="105"/>
      <c r="L47" s="143"/>
      <c r="M47" s="67"/>
      <c r="N47" s="108">
        <v>0</v>
      </c>
      <c r="O47" s="54" t="s">
        <v>236</v>
      </c>
      <c r="P47" s="7">
        <v>122</v>
      </c>
      <c r="Q47" s="144">
        <f t="shared" si="3"/>
        <v>80</v>
      </c>
      <c r="R47" s="115" t="str">
        <f t="shared" si="4"/>
        <v/>
      </c>
      <c r="S47" s="54" cm="1">
        <f t="array" ref="S47">B47*MainEntryFee()+G47*MPool1Fee()+H47*MPool2Fee()+I47*MPool3Fee()+J47*MPool4Fee()</f>
        <v>80</v>
      </c>
      <c r="T47" s="144"/>
      <c r="W47" s="1"/>
      <c r="X47" s="1"/>
      <c r="Y47" s="1"/>
      <c r="Z47" s="126"/>
      <c r="AA47" s="83"/>
      <c r="AC47" s="21"/>
    </row>
    <row r="48" spans="1:29" x14ac:dyDescent="0.25">
      <c r="A48" s="7"/>
      <c r="B48" s="106">
        <v>1</v>
      </c>
      <c r="C48" s="105"/>
      <c r="D48" s="145" t="s">
        <v>166</v>
      </c>
      <c r="E48" s="145" t="s">
        <v>167</v>
      </c>
      <c r="F48" s="111" t="s">
        <v>168</v>
      </c>
      <c r="G48" s="106">
        <v>1</v>
      </c>
      <c r="H48" s="106">
        <v>1</v>
      </c>
      <c r="I48" s="106"/>
      <c r="J48" s="106"/>
      <c r="K48" s="106"/>
      <c r="L48" s="143"/>
      <c r="M48" s="108">
        <v>1</v>
      </c>
      <c r="N48" s="108">
        <v>90</v>
      </c>
      <c r="O48" s="54" t="s">
        <v>237</v>
      </c>
      <c r="P48" s="7"/>
      <c r="Q48" s="144" t="str">
        <f t="shared" si="3"/>
        <v/>
      </c>
      <c r="R48" s="115">
        <f t="shared" si="4"/>
        <v>90</v>
      </c>
      <c r="S48" s="54" cm="1">
        <f t="array" ref="S48">B48*MainEntryFee()+G48*MPool1Fee()+H48*MPool2Fee()+I48*MPool3Fee()+J48*MPool4Fee()</f>
        <v>90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>
        <v>1</v>
      </c>
      <c r="C49" s="105"/>
      <c r="D49" s="145" t="s">
        <v>169</v>
      </c>
      <c r="E49" s="145" t="s">
        <v>127</v>
      </c>
      <c r="F49" s="104" t="s">
        <v>170</v>
      </c>
      <c r="G49" s="106">
        <v>1</v>
      </c>
      <c r="H49" s="106">
        <v>1</v>
      </c>
      <c r="I49" s="106">
        <v>1</v>
      </c>
      <c r="J49" s="106"/>
      <c r="K49" s="106"/>
      <c r="L49" s="165"/>
      <c r="M49" s="108"/>
      <c r="N49" s="108">
        <v>0</v>
      </c>
      <c r="O49" s="54" t="s">
        <v>236</v>
      </c>
      <c r="P49" s="7">
        <v>7457</v>
      </c>
      <c r="Q49" s="144">
        <f t="shared" si="3"/>
        <v>110</v>
      </c>
      <c r="R49" s="115" t="str">
        <f t="shared" si="4"/>
        <v/>
      </c>
      <c r="S49" s="54" cm="1">
        <f t="array" ref="S49">B49*MainEntryFee()+G49*MPool1Fee()+H49*MPool2Fee()+I49*MPool3Fee()+J49*MPool4Fee()</f>
        <v>110</v>
      </c>
      <c r="T49" s="144"/>
      <c r="W49" s="1"/>
      <c r="X49" s="1"/>
      <c r="Y49" s="1"/>
      <c r="Z49" s="126"/>
      <c r="AA49" s="83"/>
      <c r="AC49" s="21"/>
    </row>
    <row r="50" spans="1:29" x14ac:dyDescent="0.25">
      <c r="A50" s="7"/>
      <c r="B50" s="106">
        <v>1</v>
      </c>
      <c r="C50" s="105"/>
      <c r="D50" s="145" t="s">
        <v>171</v>
      </c>
      <c r="E50" s="145" t="s">
        <v>139</v>
      </c>
      <c r="F50" s="114" t="s">
        <v>172</v>
      </c>
      <c r="G50" s="106">
        <v>1</v>
      </c>
      <c r="H50" s="106"/>
      <c r="I50" s="106">
        <v>1</v>
      </c>
      <c r="J50" s="106">
        <v>1</v>
      </c>
      <c r="K50" s="106"/>
      <c r="L50" s="143"/>
      <c r="M50" s="108"/>
      <c r="N50" s="108"/>
      <c r="O50" s="54" t="s">
        <v>237</v>
      </c>
      <c r="P50" s="7"/>
      <c r="Q50" s="144" t="str">
        <f t="shared" si="3"/>
        <v/>
      </c>
      <c r="R50" s="115">
        <f t="shared" si="4"/>
        <v>150</v>
      </c>
      <c r="S50" s="54" cm="1">
        <f t="array" ref="S50">B50*MainEntryFee()+G50*MPool1Fee()+H50*MPool2Fee()+I50*MPool3Fee()+J50*MPool4Fee()</f>
        <v>150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94">
        <v>1</v>
      </c>
      <c r="C51" s="105"/>
      <c r="D51" s="145" t="s">
        <v>173</v>
      </c>
      <c r="E51" s="145" t="s">
        <v>136</v>
      </c>
      <c r="F51" s="114" t="s">
        <v>174</v>
      </c>
      <c r="G51" s="106">
        <v>1</v>
      </c>
      <c r="H51" s="106">
        <v>1</v>
      </c>
      <c r="I51" s="106">
        <v>1</v>
      </c>
      <c r="J51" s="106">
        <v>1</v>
      </c>
      <c r="K51" s="106"/>
      <c r="L51" s="143"/>
      <c r="M51" s="108"/>
      <c r="N51" s="108">
        <v>0</v>
      </c>
      <c r="O51" s="54" t="s">
        <v>236</v>
      </c>
      <c r="P51" s="7">
        <v>5302</v>
      </c>
      <c r="Q51" s="144">
        <f t="shared" si="3"/>
        <v>160</v>
      </c>
      <c r="R51" s="115" t="str">
        <f t="shared" si="4"/>
        <v/>
      </c>
      <c r="S51" s="54" cm="1">
        <f t="array" ref="S51">B51*MainEntryFee()+G51*MPool1Fee()+H51*MPool2Fee()+I51*MPool3Fee()+J51*MPool4Fee()</f>
        <v>160</v>
      </c>
      <c r="T51" s="144"/>
      <c r="W51" s="1"/>
      <c r="X51" s="1"/>
      <c r="Y51" s="1"/>
      <c r="Z51" s="126"/>
      <c r="AA51" s="83"/>
      <c r="AC51" s="21"/>
    </row>
    <row r="52" spans="1:29" x14ac:dyDescent="0.25">
      <c r="A52" s="7"/>
      <c r="B52" s="94">
        <v>1</v>
      </c>
      <c r="C52" s="105"/>
      <c r="D52" s="145" t="s">
        <v>180</v>
      </c>
      <c r="E52" s="145" t="s">
        <v>181</v>
      </c>
      <c r="F52" s="111" t="s">
        <v>182</v>
      </c>
      <c r="G52" s="94"/>
      <c r="H52" s="105"/>
      <c r="I52" s="105"/>
      <c r="J52" s="105"/>
      <c r="K52" s="105"/>
      <c r="L52" s="143">
        <v>1</v>
      </c>
      <c r="M52" s="67"/>
      <c r="N52" s="108">
        <v>0</v>
      </c>
      <c r="O52" s="54" t="s">
        <v>236</v>
      </c>
      <c r="P52" s="7">
        <v>5112</v>
      </c>
      <c r="Q52" s="144">
        <f t="shared" si="3"/>
        <v>70</v>
      </c>
      <c r="R52" s="115" t="str">
        <f t="shared" si="4"/>
        <v/>
      </c>
      <c r="S52" s="54" cm="1">
        <f t="array" ref="S52">B52*MainEntryFee()+G52*MPool1Fee()+H52*MPool2Fee()+I52*MPool3Fee()+J52*MPool4Fee()</f>
        <v>70</v>
      </c>
      <c r="T52" s="144"/>
      <c r="W52" s="1"/>
      <c r="X52" s="1"/>
      <c r="Y52" s="1"/>
      <c r="Z52" s="126"/>
      <c r="AA52" s="127"/>
      <c r="AC52" s="21"/>
    </row>
    <row r="53" spans="1:29" x14ac:dyDescent="0.25">
      <c r="A53" s="7"/>
      <c r="B53" s="106">
        <v>1</v>
      </c>
      <c r="C53" s="105"/>
      <c r="D53" s="145" t="s">
        <v>183</v>
      </c>
      <c r="E53" s="145" t="s">
        <v>184</v>
      </c>
      <c r="F53" s="114" t="s">
        <v>185</v>
      </c>
      <c r="G53" s="94">
        <v>1</v>
      </c>
      <c r="H53" s="105">
        <v>1</v>
      </c>
      <c r="I53" s="105">
        <v>1</v>
      </c>
      <c r="J53" s="105"/>
      <c r="K53" s="105"/>
      <c r="L53" s="143"/>
      <c r="M53" s="67"/>
      <c r="N53" s="108">
        <v>0</v>
      </c>
      <c r="O53" s="54" t="s">
        <v>236</v>
      </c>
      <c r="P53" s="7">
        <v>2307</v>
      </c>
      <c r="Q53" s="144">
        <f t="shared" si="3"/>
        <v>110</v>
      </c>
      <c r="R53" s="115" t="str">
        <f t="shared" si="4"/>
        <v/>
      </c>
      <c r="S53" s="54" cm="1">
        <f t="array" ref="S53">B53*MainEntryFee()+G53*MPool1Fee()+H53*MPool2Fee()+I53*MPool3Fee()+J53*MPool4Fee()</f>
        <v>110</v>
      </c>
      <c r="T53" s="144"/>
      <c r="W53" s="1"/>
      <c r="X53" s="1"/>
      <c r="Y53" s="1"/>
      <c r="Z53" s="126"/>
      <c r="AA53" s="83"/>
      <c r="AC53" s="21"/>
    </row>
    <row r="54" spans="1:29" x14ac:dyDescent="0.25">
      <c r="A54" s="7"/>
      <c r="B54" s="106">
        <v>1</v>
      </c>
      <c r="C54" s="105"/>
      <c r="D54" s="145" t="s">
        <v>186</v>
      </c>
      <c r="E54" s="145" t="s">
        <v>187</v>
      </c>
      <c r="F54" s="111" t="s">
        <v>188</v>
      </c>
      <c r="G54" s="94">
        <v>1</v>
      </c>
      <c r="H54" s="105"/>
      <c r="I54" s="105">
        <v>1</v>
      </c>
      <c r="J54" s="105"/>
      <c r="K54" s="105"/>
      <c r="L54" s="143"/>
      <c r="M54" s="67"/>
      <c r="N54" s="108"/>
      <c r="O54" s="54" t="s">
        <v>236</v>
      </c>
      <c r="P54" s="7">
        <v>16750</v>
      </c>
      <c r="Q54" s="144">
        <f t="shared" si="3"/>
        <v>100</v>
      </c>
      <c r="R54" s="115" t="str">
        <f t="shared" si="4"/>
        <v/>
      </c>
      <c r="S54" s="54" cm="1">
        <f t="array" ref="S54">B54*MainEntryFee()+G54*MPool1Fee()+H54*MPool2Fee()+I54*MPool3Fee()+J54*MPool4Fee()</f>
        <v>100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>
        <v>1</v>
      </c>
      <c r="C55" s="105"/>
      <c r="D55" s="145" t="s">
        <v>192</v>
      </c>
      <c r="E55" s="145" t="s">
        <v>193</v>
      </c>
      <c r="F55" s="114" t="s">
        <v>194</v>
      </c>
      <c r="G55" s="106"/>
      <c r="H55" s="106">
        <v>1</v>
      </c>
      <c r="I55" s="106">
        <v>1</v>
      </c>
      <c r="J55" s="106">
        <v>1</v>
      </c>
      <c r="K55" s="106"/>
      <c r="L55" s="143"/>
      <c r="M55" s="108">
        <v>1</v>
      </c>
      <c r="N55" s="108">
        <v>150</v>
      </c>
      <c r="O55" s="54" t="s">
        <v>237</v>
      </c>
      <c r="P55" s="7"/>
      <c r="Q55" s="144" t="str">
        <f t="shared" si="3"/>
        <v/>
      </c>
      <c r="R55" s="115">
        <f t="shared" si="4"/>
        <v>150</v>
      </c>
      <c r="S55" s="54" cm="1">
        <f t="array" ref="S55">B55*MainEntryFee()+G55*MPool1Fee()+H55*MPool2Fee()+I55*MPool3Fee()+J55*MPool4Fee()</f>
        <v>150</v>
      </c>
      <c r="T55" s="144">
        <v>1</v>
      </c>
      <c r="W55" s="1"/>
      <c r="X55" s="1"/>
      <c r="Y55" s="1"/>
      <c r="Z55" s="126"/>
      <c r="AA55" s="83"/>
      <c r="AC55" s="21"/>
    </row>
    <row r="56" spans="1:29" x14ac:dyDescent="0.25">
      <c r="A56" s="7"/>
      <c r="B56" s="94">
        <v>1</v>
      </c>
      <c r="C56" s="105"/>
      <c r="D56" s="145" t="s">
        <v>197</v>
      </c>
      <c r="E56" s="145" t="s">
        <v>198</v>
      </c>
      <c r="F56" s="114" t="s">
        <v>199</v>
      </c>
      <c r="G56" s="94">
        <v>1</v>
      </c>
      <c r="H56" s="105"/>
      <c r="I56" s="105">
        <v>1</v>
      </c>
      <c r="J56" s="105"/>
      <c r="K56" s="105">
        <v>1</v>
      </c>
      <c r="L56" s="165"/>
      <c r="M56" s="67">
        <v>1</v>
      </c>
      <c r="N56" s="108">
        <v>100</v>
      </c>
      <c r="O56" s="54" t="s">
        <v>237</v>
      </c>
      <c r="P56" s="7"/>
      <c r="Q56" s="144" t="str">
        <f t="shared" si="3"/>
        <v/>
      </c>
      <c r="R56" s="115">
        <f t="shared" si="4"/>
        <v>100</v>
      </c>
      <c r="S56" s="54" cm="1">
        <f t="array" ref="S56">B56*MainEntryFee()+G56*MPool1Fee()+H56*MPool2Fee()+I56*MPool3Fee()+J56*MPool4Fee()</f>
        <v>100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>
        <v>1</v>
      </c>
      <c r="C57" s="105"/>
      <c r="D57" s="145" t="s">
        <v>200</v>
      </c>
      <c r="E57" s="145" t="s">
        <v>201</v>
      </c>
      <c r="F57" s="114" t="s">
        <v>202</v>
      </c>
      <c r="G57" s="106">
        <v>1</v>
      </c>
      <c r="H57" s="106"/>
      <c r="I57" s="106">
        <v>1</v>
      </c>
      <c r="J57" s="106"/>
      <c r="K57" s="106"/>
      <c r="L57" s="165">
        <v>1</v>
      </c>
      <c r="M57" s="108"/>
      <c r="N57" s="108">
        <v>0</v>
      </c>
      <c r="O57" s="54" t="s">
        <v>237</v>
      </c>
      <c r="P57" s="7"/>
      <c r="Q57" s="144" t="str">
        <f t="shared" si="3"/>
        <v/>
      </c>
      <c r="R57" s="115">
        <f t="shared" si="4"/>
        <v>100</v>
      </c>
      <c r="S57" s="54" cm="1">
        <f t="array" ref="S57">B57*MainEntryFee()+G57*MPool1Fee()+H57*MPool2Fee()+I57*MPool3Fee()+J57*MPool4Fee()</f>
        <v>100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94">
        <v>1</v>
      </c>
      <c r="C58" s="94"/>
      <c r="D58" s="146" t="s">
        <v>203</v>
      </c>
      <c r="E58" s="146" t="s">
        <v>118</v>
      </c>
      <c r="F58" s="114" t="s">
        <v>204</v>
      </c>
      <c r="G58" s="106">
        <v>1</v>
      </c>
      <c r="H58" s="106">
        <v>1</v>
      </c>
      <c r="I58" s="106">
        <v>1</v>
      </c>
      <c r="J58" s="106"/>
      <c r="K58" s="106"/>
      <c r="L58" s="165"/>
      <c r="M58" s="108"/>
      <c r="N58" s="108">
        <v>0</v>
      </c>
      <c r="O58" s="54" t="s">
        <v>236</v>
      </c>
      <c r="P58" s="7">
        <v>5549</v>
      </c>
      <c r="Q58" s="144">
        <f t="shared" si="3"/>
        <v>110</v>
      </c>
      <c r="R58" s="115" t="str">
        <f t="shared" si="4"/>
        <v/>
      </c>
      <c r="S58" s="54" cm="1">
        <f t="array" ref="S58">B58*MainEntryFee()+G58*MPool1Fee()+H58*MPool2Fee()+I58*MPool3Fee()+J58*MPool4Fee()</f>
        <v>110</v>
      </c>
      <c r="T58" s="144">
        <v>1</v>
      </c>
      <c r="W58" s="1"/>
      <c r="X58" s="1"/>
      <c r="Y58" s="1"/>
      <c r="Z58" s="126"/>
      <c r="AA58" s="83"/>
      <c r="AC58" s="21"/>
    </row>
    <row r="59" spans="1:29" x14ac:dyDescent="0.25">
      <c r="A59" s="7"/>
      <c r="B59" s="106">
        <v>1</v>
      </c>
      <c r="C59" s="105"/>
      <c r="D59" s="145" t="s">
        <v>205</v>
      </c>
      <c r="E59" s="145" t="s">
        <v>145</v>
      </c>
      <c r="F59" s="114" t="s">
        <v>206</v>
      </c>
      <c r="G59" s="106">
        <v>1</v>
      </c>
      <c r="H59" s="106">
        <v>1</v>
      </c>
      <c r="I59" s="106">
        <v>1</v>
      </c>
      <c r="J59" s="106">
        <v>1</v>
      </c>
      <c r="K59" s="106">
        <v>1</v>
      </c>
      <c r="L59" s="165"/>
      <c r="M59" s="108"/>
      <c r="N59" s="108">
        <v>0</v>
      </c>
      <c r="O59" s="54" t="s">
        <v>236</v>
      </c>
      <c r="P59" s="7">
        <v>5014</v>
      </c>
      <c r="Q59" s="144">
        <f t="shared" si="3"/>
        <v>160</v>
      </c>
      <c r="R59" s="115" t="str">
        <f t="shared" si="4"/>
        <v/>
      </c>
      <c r="S59" s="54" cm="1">
        <f t="array" ref="S59">B59*MainEntryFee()+G59*MPool1Fee()+H59*MPool2Fee()+I59*MPool3Fee()+J59*MPool4Fee()</f>
        <v>160</v>
      </c>
      <c r="T59" s="144">
        <v>1</v>
      </c>
      <c r="W59" s="1"/>
      <c r="X59" s="1"/>
      <c r="Y59" s="1"/>
      <c r="Z59" s="126"/>
      <c r="AA59" s="127"/>
      <c r="AC59" s="21"/>
    </row>
    <row r="60" spans="1:29" x14ac:dyDescent="0.25">
      <c r="A60" s="7"/>
      <c r="B60" s="106">
        <v>1</v>
      </c>
      <c r="C60" s="105"/>
      <c r="D60" s="145" t="s">
        <v>207</v>
      </c>
      <c r="E60" s="145" t="s">
        <v>208</v>
      </c>
      <c r="F60" s="111" t="s">
        <v>209</v>
      </c>
      <c r="G60" s="105">
        <v>1</v>
      </c>
      <c r="H60" s="105">
        <v>1</v>
      </c>
      <c r="I60" s="105">
        <v>1</v>
      </c>
      <c r="J60" s="105">
        <v>1</v>
      </c>
      <c r="K60" s="105"/>
      <c r="L60" s="143"/>
      <c r="M60" s="67" t="s">
        <v>238</v>
      </c>
      <c r="N60" s="108" t="s">
        <v>238</v>
      </c>
      <c r="O60" s="54" t="s">
        <v>236</v>
      </c>
      <c r="P60" s="7">
        <v>202</v>
      </c>
      <c r="Q60" s="144">
        <f t="shared" si="3"/>
        <v>160</v>
      </c>
      <c r="R60" s="115" t="str">
        <f t="shared" si="4"/>
        <v/>
      </c>
      <c r="S60" s="54" cm="1">
        <f t="array" ref="S60">B60*MainEntryFee()+G60*MPool1Fee()+H60*MPool2Fee()+I60*MPool3Fee()+J60*MPool4Fee()</f>
        <v>160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94">
        <v>1</v>
      </c>
      <c r="C61" s="105"/>
      <c r="D61" s="145" t="s">
        <v>214</v>
      </c>
      <c r="E61" s="145" t="s">
        <v>130</v>
      </c>
      <c r="F61" s="114" t="s">
        <v>215</v>
      </c>
      <c r="G61" s="106">
        <v>1</v>
      </c>
      <c r="H61" s="106">
        <v>1</v>
      </c>
      <c r="I61" s="106">
        <v>1</v>
      </c>
      <c r="J61" s="106">
        <v>1</v>
      </c>
      <c r="K61" s="106">
        <v>1</v>
      </c>
      <c r="L61" s="143"/>
      <c r="M61" s="108"/>
      <c r="N61" s="108">
        <v>0</v>
      </c>
      <c r="O61" s="54" t="s">
        <v>236</v>
      </c>
      <c r="P61" s="7">
        <v>1570</v>
      </c>
      <c r="Q61" s="144">
        <f t="shared" si="3"/>
        <v>160</v>
      </c>
      <c r="R61" s="115" t="str">
        <f t="shared" si="4"/>
        <v/>
      </c>
      <c r="S61" s="54" cm="1">
        <f t="array" ref="S61">B61*MainEntryFee()+G61*MPool1Fee()+H61*MPool2Fee()+I61*MPool3Fee()+J61*MPool4Fee()</f>
        <v>160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>
        <v>1</v>
      </c>
      <c r="C62" s="105"/>
      <c r="D62" s="145" t="s">
        <v>216</v>
      </c>
      <c r="E62" s="145" t="s">
        <v>139</v>
      </c>
      <c r="F62" s="114" t="s">
        <v>217</v>
      </c>
      <c r="G62" s="106">
        <v>1</v>
      </c>
      <c r="H62" s="106">
        <v>1</v>
      </c>
      <c r="I62" s="106">
        <v>1</v>
      </c>
      <c r="J62" s="106">
        <v>1</v>
      </c>
      <c r="K62" s="106"/>
      <c r="L62" s="143"/>
      <c r="M62" s="108"/>
      <c r="N62" s="108">
        <v>0</v>
      </c>
      <c r="O62" s="54" t="s">
        <v>239</v>
      </c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160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>
        <v>1</v>
      </c>
      <c r="C63" s="105"/>
      <c r="D63" s="145" t="s">
        <v>218</v>
      </c>
      <c r="E63" s="145" t="s">
        <v>219</v>
      </c>
      <c r="F63" s="167" t="s">
        <v>220</v>
      </c>
      <c r="G63" s="106">
        <v>1</v>
      </c>
      <c r="H63" s="106"/>
      <c r="I63" s="106">
        <v>1</v>
      </c>
      <c r="J63" s="106"/>
      <c r="K63" s="106"/>
      <c r="L63" s="143"/>
      <c r="M63" s="108"/>
      <c r="N63" s="108">
        <v>0</v>
      </c>
      <c r="O63" s="54" t="s">
        <v>237</v>
      </c>
      <c r="P63" s="7"/>
      <c r="Q63" s="144" t="str">
        <f t="shared" si="3"/>
        <v/>
      </c>
      <c r="R63" s="115">
        <f t="shared" si="4"/>
        <v>100</v>
      </c>
      <c r="S63" s="54" cm="1">
        <f t="array" ref="S63">B63*MainEntryFee()+G63*MPool1Fee()+H63*MPool2Fee()+I63*MPool3Fee()+J63*MPool4Fee()</f>
        <v>100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>
        <v>1</v>
      </c>
      <c r="C64" s="105"/>
      <c r="D64" s="145" t="s">
        <v>221</v>
      </c>
      <c r="E64" s="145" t="s">
        <v>193</v>
      </c>
      <c r="F64" s="114" t="s">
        <v>222</v>
      </c>
      <c r="G64" s="106">
        <v>1</v>
      </c>
      <c r="H64" s="106">
        <v>1</v>
      </c>
      <c r="I64" s="106">
        <v>1</v>
      </c>
      <c r="J64" s="106"/>
      <c r="K64" s="106"/>
      <c r="L64" s="143"/>
      <c r="M64" s="108">
        <v>1</v>
      </c>
      <c r="N64" s="108">
        <v>110</v>
      </c>
      <c r="O64" s="54" t="s">
        <v>237</v>
      </c>
      <c r="P64" s="7"/>
      <c r="Q64" s="144" t="str">
        <f t="shared" si="3"/>
        <v/>
      </c>
      <c r="R64" s="115">
        <f t="shared" si="4"/>
        <v>110</v>
      </c>
      <c r="S64" s="54" cm="1">
        <f t="array" ref="S64">B64*MainEntryFee()+G64*MPool1Fee()+H64*MPool2Fee()+I64*MPool3Fee()+J64*MPool4Fee()</f>
        <v>110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>
        <v>1</v>
      </c>
      <c r="C65" s="105"/>
      <c r="D65" s="145" t="s">
        <v>223</v>
      </c>
      <c r="E65" s="145" t="s">
        <v>145</v>
      </c>
      <c r="F65" s="114" t="s">
        <v>224</v>
      </c>
      <c r="G65" s="106">
        <v>1</v>
      </c>
      <c r="H65" s="106">
        <v>1</v>
      </c>
      <c r="I65" s="106">
        <v>1</v>
      </c>
      <c r="J65" s="106"/>
      <c r="K65" s="106"/>
      <c r="L65" s="143"/>
      <c r="M65" s="108"/>
      <c r="N65" s="108">
        <v>0</v>
      </c>
      <c r="O65" s="54" t="s">
        <v>237</v>
      </c>
      <c r="P65" s="7"/>
      <c r="Q65" s="144" t="str">
        <f t="shared" si="3"/>
        <v/>
      </c>
      <c r="R65" s="115">
        <f t="shared" si="4"/>
        <v>110</v>
      </c>
      <c r="S65" s="54" cm="1">
        <f t="array" ref="S65">B65*MainEntryFee()+G65*MPool1Fee()+H65*MPool2Fee()+I65*MPool3Fee()+J65*MPool4Fee()</f>
        <v>110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>
        <v>1</v>
      </c>
      <c r="C66" s="105"/>
      <c r="D66" s="145" t="s">
        <v>225</v>
      </c>
      <c r="E66" s="145" t="s">
        <v>145</v>
      </c>
      <c r="F66" s="114" t="s">
        <v>226</v>
      </c>
      <c r="G66" s="106"/>
      <c r="H66" s="106">
        <v>1</v>
      </c>
      <c r="I66" s="106"/>
      <c r="J66" s="106"/>
      <c r="K66" s="106"/>
      <c r="L66" s="143"/>
      <c r="M66" s="108"/>
      <c r="N66" s="108">
        <v>0</v>
      </c>
      <c r="O66" s="54" t="s">
        <v>236</v>
      </c>
      <c r="P66" s="7">
        <v>8445</v>
      </c>
      <c r="Q66" s="144">
        <f t="shared" si="3"/>
        <v>80</v>
      </c>
      <c r="R66" s="115" t="str">
        <f t="shared" si="4"/>
        <v/>
      </c>
      <c r="S66" s="54" cm="1">
        <f t="array" ref="S66">B66*MainEntryFee()+G66*MPool1Fee()+H66*MPool2Fee()+I66*MPool3Fee()+J66*MPool4Fee()</f>
        <v>80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106">
        <v>1</v>
      </c>
      <c r="C67" s="105"/>
      <c r="D67" s="145" t="s">
        <v>227</v>
      </c>
      <c r="E67" s="145" t="s">
        <v>145</v>
      </c>
      <c r="F67" s="114" t="s">
        <v>228</v>
      </c>
      <c r="G67" s="106">
        <v>1</v>
      </c>
      <c r="H67" s="106">
        <v>1</v>
      </c>
      <c r="I67" s="106">
        <v>1</v>
      </c>
      <c r="J67" s="106"/>
      <c r="K67" s="106"/>
      <c r="L67" s="165"/>
      <c r="M67" s="108"/>
      <c r="N67" s="108">
        <v>0</v>
      </c>
      <c r="O67" s="54" t="s">
        <v>237</v>
      </c>
      <c r="P67" s="7"/>
      <c r="Q67" s="144" t="str">
        <f t="shared" si="3"/>
        <v/>
      </c>
      <c r="R67" s="115">
        <f t="shared" si="4"/>
        <v>110</v>
      </c>
      <c r="S67" s="54" cm="1">
        <f t="array" ref="S67">B67*MainEntryFee()+G67*MPool1Fee()+H67*MPool2Fee()+I67*MPool3Fee()+J67*MPool4Fee()</f>
        <v>110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94">
        <v>1</v>
      </c>
      <c r="C68" s="105"/>
      <c r="D68" s="145" t="s">
        <v>231</v>
      </c>
      <c r="E68" s="145" t="s">
        <v>232</v>
      </c>
      <c r="F68" s="114" t="s">
        <v>233</v>
      </c>
      <c r="G68" s="106"/>
      <c r="H68" s="106"/>
      <c r="I68" s="106"/>
      <c r="J68" s="106"/>
      <c r="K68" s="106"/>
      <c r="L68" s="165"/>
      <c r="M68" s="108"/>
      <c r="N68" s="108">
        <v>0</v>
      </c>
      <c r="O68" s="54" t="s">
        <v>237</v>
      </c>
      <c r="P68" s="7"/>
      <c r="Q68" s="144" t="str">
        <f t="shared" si="3"/>
        <v/>
      </c>
      <c r="R68" s="115">
        <f t="shared" si="4"/>
        <v>70</v>
      </c>
      <c r="S68" s="54" cm="1">
        <f t="array" ref="S68">B68*MainEntryFee()+G68*MPool1Fee()+H68*MPool2Fee()+I68*MPool3Fee()+J68*MPool4Fee()</f>
        <v>70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5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12"/>
      <c r="H70" s="106"/>
      <c r="I70" s="106"/>
      <c r="J70" s="106"/>
      <c r="K70" s="106"/>
      <c r="L70" s="165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5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si="3"/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si="3"/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3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3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ref="Q80:Q140" si="5">IF(OR(O80="c",O80="C"),+S80,"")</f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5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5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5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5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5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5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5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5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5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5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5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5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5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5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5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5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5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5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5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5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5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5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5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5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5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5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5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5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5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5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5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5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5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5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5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5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5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5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5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5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5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5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5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5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5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5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5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5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5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5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5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5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5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5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5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5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5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5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5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5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6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6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6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6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6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6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6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6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6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6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6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6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6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6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6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6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6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6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6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6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6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6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6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6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6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6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6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6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6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6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6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6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6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6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6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6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6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6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6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6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6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6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6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6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6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6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6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6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6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6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6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6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6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6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6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6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6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6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6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6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6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6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6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6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7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7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7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7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7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7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7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 selectUnlockedCells="1"/>
  <sortState xmlns:xlrd2="http://schemas.microsoft.com/office/spreadsheetml/2017/richdata2" ref="B12:T79">
    <sortCondition ref="C12"/>
    <sortCondition ref="D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Button 9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Button 10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4" activePane="bottomLeft" state="frozen"/>
      <selection activeCell="B10" sqref="B10"/>
      <selection pane="bottomLeft" activeCell="B26" sqref="B26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 t="s">
        <v>240</v>
      </c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 t="s">
        <v>241</v>
      </c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 t="s">
        <v>242</v>
      </c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>
        <v>46130</v>
      </c>
      <c r="D6" s="152"/>
      <c r="E6" s="152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3"/>
      <c r="C7" s="44"/>
      <c r="D7" s="89"/>
      <c r="E7" s="154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2"/>
      <c r="C8" s="152"/>
      <c r="D8" s="89"/>
      <c r="E8" s="46"/>
      <c r="G8" s="20"/>
      <c r="H8" s="20"/>
      <c r="M8" s="10">
        <f>SUM(M10:M203)</f>
        <v>11</v>
      </c>
      <c r="N8" s="10">
        <f>SUM(N10:N203)</f>
        <v>9</v>
      </c>
      <c r="O8" s="10">
        <f>SUM(O10:O203)</f>
        <v>10</v>
      </c>
      <c r="P8" s="10">
        <f>SUM(P10:P203)</f>
        <v>6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93" t="s">
        <v>229</v>
      </c>
      <c r="C10" s="115" t="s">
        <v>145</v>
      </c>
      <c r="D10" s="115" t="s">
        <v>230</v>
      </c>
      <c r="E10" s="115">
        <v>26</v>
      </c>
      <c r="F10" s="115">
        <v>11</v>
      </c>
      <c r="G10" s="115">
        <v>250</v>
      </c>
      <c r="H10" s="115"/>
      <c r="I10" s="106"/>
      <c r="J10" s="106"/>
      <c r="K10" s="115"/>
      <c r="L10" s="115"/>
      <c r="M10" s="115">
        <v>1</v>
      </c>
      <c r="N10" s="115">
        <v>1</v>
      </c>
      <c r="O10" s="106">
        <v>1</v>
      </c>
      <c r="P10" s="106">
        <v>1</v>
      </c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 t="s">
        <v>189</v>
      </c>
      <c r="C11" s="115" t="s">
        <v>190</v>
      </c>
      <c r="D11" s="115" t="s">
        <v>191</v>
      </c>
      <c r="E11" s="115">
        <v>23</v>
      </c>
      <c r="F11" s="115">
        <v>10</v>
      </c>
      <c r="G11" s="115">
        <v>187</v>
      </c>
      <c r="H11" s="115"/>
      <c r="I11" s="106"/>
      <c r="J11" s="106"/>
      <c r="K11" s="106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113" t="s">
        <v>177</v>
      </c>
      <c r="C12" s="112" t="s">
        <v>178</v>
      </c>
      <c r="D12" s="106" t="s">
        <v>179</v>
      </c>
      <c r="E12" s="115">
        <v>23</v>
      </c>
      <c r="F12" s="115">
        <v>10</v>
      </c>
      <c r="G12" s="115">
        <v>127</v>
      </c>
      <c r="H12" s="115"/>
      <c r="I12" s="106"/>
      <c r="J12" s="106"/>
      <c r="K12" s="115"/>
      <c r="L12" s="115"/>
      <c r="M12" s="106"/>
      <c r="N12" s="106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 t="s">
        <v>129</v>
      </c>
      <c r="C13" s="94" t="s">
        <v>130</v>
      </c>
      <c r="D13" s="94" t="s">
        <v>131</v>
      </c>
      <c r="E13" s="115">
        <v>22</v>
      </c>
      <c r="F13" s="115">
        <v>10</v>
      </c>
      <c r="G13" s="115">
        <v>123</v>
      </c>
      <c r="H13" s="115"/>
      <c r="I13" s="106"/>
      <c r="J13" s="106"/>
      <c r="K13" s="106"/>
      <c r="L13" s="107"/>
      <c r="M13" s="94">
        <v>1</v>
      </c>
      <c r="N13" s="105">
        <v>1</v>
      </c>
      <c r="O13" s="105">
        <v>1</v>
      </c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113" t="s">
        <v>160</v>
      </c>
      <c r="C14" s="115" t="s">
        <v>161</v>
      </c>
      <c r="D14" s="115" t="s">
        <v>162</v>
      </c>
      <c r="E14" s="110">
        <v>20</v>
      </c>
      <c r="F14" s="110">
        <v>10</v>
      </c>
      <c r="G14" s="112">
        <v>118</v>
      </c>
      <c r="H14" s="112"/>
      <c r="I14" s="106"/>
      <c r="J14" s="106"/>
      <c r="K14" s="115"/>
      <c r="L14" s="115"/>
      <c r="M14" s="115">
        <v>1</v>
      </c>
      <c r="N14" s="115">
        <v>1</v>
      </c>
      <c r="O14" s="106">
        <v>1</v>
      </c>
      <c r="P14" s="106">
        <v>1</v>
      </c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 t="s">
        <v>210</v>
      </c>
      <c r="C15" s="115" t="s">
        <v>145</v>
      </c>
      <c r="D15" s="115" t="s">
        <v>211</v>
      </c>
      <c r="E15" s="115">
        <v>20</v>
      </c>
      <c r="F15" s="105">
        <v>9</v>
      </c>
      <c r="G15" s="105">
        <v>99</v>
      </c>
      <c r="H15" s="115"/>
      <c r="I15" s="106"/>
      <c r="J15" s="106"/>
      <c r="K15" s="94"/>
      <c r="L15" s="95"/>
      <c r="M15" s="115"/>
      <c r="N15" s="115">
        <v>1</v>
      </c>
      <c r="O15" s="106">
        <v>1</v>
      </c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 t="s">
        <v>234</v>
      </c>
      <c r="C16" s="115" t="s">
        <v>105</v>
      </c>
      <c r="D16" s="115" t="s">
        <v>235</v>
      </c>
      <c r="E16" s="115">
        <v>19</v>
      </c>
      <c r="F16" s="115">
        <v>9</v>
      </c>
      <c r="G16" s="115">
        <v>109</v>
      </c>
      <c r="H16" s="115"/>
      <c r="I16" s="105"/>
      <c r="J16" s="105"/>
      <c r="K16" s="105"/>
      <c r="L16" s="107"/>
      <c r="M16" s="115">
        <v>1</v>
      </c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113" t="s">
        <v>104</v>
      </c>
      <c r="C17" s="115" t="s">
        <v>105</v>
      </c>
      <c r="D17" s="115" t="s">
        <v>106</v>
      </c>
      <c r="E17" s="115">
        <v>19</v>
      </c>
      <c r="F17" s="115">
        <v>9</v>
      </c>
      <c r="G17" s="115">
        <v>62</v>
      </c>
      <c r="H17" s="135"/>
      <c r="I17" s="135"/>
      <c r="J17" s="135"/>
      <c r="K17" s="105"/>
      <c r="L17" s="107"/>
      <c r="M17" s="115">
        <v>1</v>
      </c>
      <c r="N17" s="115"/>
      <c r="O17" s="106">
        <v>1</v>
      </c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 t="s">
        <v>195</v>
      </c>
      <c r="C18" s="115" t="s">
        <v>145</v>
      </c>
      <c r="D18" s="115" t="s">
        <v>196</v>
      </c>
      <c r="E18" s="115">
        <v>19</v>
      </c>
      <c r="F18" s="115">
        <v>9</v>
      </c>
      <c r="G18" s="115">
        <v>26</v>
      </c>
      <c r="H18" s="115"/>
      <c r="I18" s="106"/>
      <c r="J18" s="106"/>
      <c r="K18" s="115"/>
      <c r="L18" s="115"/>
      <c r="M18" s="115">
        <v>1</v>
      </c>
      <c r="N18" s="115">
        <v>1</v>
      </c>
      <c r="O18" s="106">
        <v>1</v>
      </c>
      <c r="P18" s="106">
        <v>1</v>
      </c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 t="s">
        <v>212</v>
      </c>
      <c r="C19" s="110" t="s">
        <v>130</v>
      </c>
      <c r="D19" s="110" t="s">
        <v>213</v>
      </c>
      <c r="E19" s="115">
        <v>19</v>
      </c>
      <c r="F19" s="115">
        <v>9</v>
      </c>
      <c r="G19" s="115">
        <v>20</v>
      </c>
      <c r="H19" s="115"/>
      <c r="I19" s="106"/>
      <c r="J19" s="106"/>
      <c r="K19" s="115"/>
      <c r="L19" s="115"/>
      <c r="M19" s="112">
        <v>1</v>
      </c>
      <c r="N19" s="112">
        <v>1</v>
      </c>
      <c r="O19" s="106">
        <v>1</v>
      </c>
      <c r="P19" s="106">
        <v>1</v>
      </c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93" t="s">
        <v>175</v>
      </c>
      <c r="C20" s="115" t="s">
        <v>164</v>
      </c>
      <c r="D20" s="115" t="s">
        <v>176</v>
      </c>
      <c r="E20" s="115">
        <v>18</v>
      </c>
      <c r="F20" s="115">
        <v>9</v>
      </c>
      <c r="G20" s="115">
        <v>20</v>
      </c>
      <c r="H20" s="115"/>
      <c r="I20" s="106"/>
      <c r="J20" s="106"/>
      <c r="K20" s="115"/>
      <c r="L20" s="115"/>
      <c r="M20" s="115">
        <v>1</v>
      </c>
      <c r="N20" s="115">
        <v>1</v>
      </c>
      <c r="O20" s="106">
        <v>1</v>
      </c>
      <c r="P20" s="106">
        <v>1</v>
      </c>
      <c r="Q20" s="7" t="s">
        <v>25</v>
      </c>
    </row>
    <row r="21" spans="1:22" x14ac:dyDescent="0.25">
      <c r="A21" s="7">
        <f t="shared" si="0"/>
        <v>12</v>
      </c>
      <c r="B21" s="113" t="s">
        <v>101</v>
      </c>
      <c r="C21" s="105" t="s">
        <v>102</v>
      </c>
      <c r="D21" s="94" t="s">
        <v>103</v>
      </c>
      <c r="E21" s="115">
        <v>18</v>
      </c>
      <c r="F21" s="115">
        <v>9</v>
      </c>
      <c r="G21" s="115">
        <v>15</v>
      </c>
      <c r="H21" s="115"/>
      <c r="I21" s="106"/>
      <c r="J21" s="106"/>
      <c r="K21" s="106"/>
      <c r="L21" s="107"/>
      <c r="M21" s="94">
        <v>1</v>
      </c>
      <c r="N21" s="105"/>
      <c r="O21" s="105">
        <v>1</v>
      </c>
      <c r="P21" s="105"/>
      <c r="Q21" s="7" t="s">
        <v>25</v>
      </c>
    </row>
    <row r="22" spans="1:22" x14ac:dyDescent="0.25">
      <c r="A22" s="7">
        <f t="shared" si="0"/>
        <v>13</v>
      </c>
      <c r="B22" s="93" t="s">
        <v>135</v>
      </c>
      <c r="C22" s="106" t="s">
        <v>136</v>
      </c>
      <c r="D22" s="106" t="s">
        <v>137</v>
      </c>
      <c r="E22" s="115">
        <v>18</v>
      </c>
      <c r="F22" s="115">
        <v>8</v>
      </c>
      <c r="G22" s="115">
        <v>17</v>
      </c>
      <c r="H22" s="115"/>
      <c r="I22" s="106"/>
      <c r="J22" s="106"/>
      <c r="K22" s="115"/>
      <c r="L22" s="115"/>
      <c r="M22" s="106">
        <v>1</v>
      </c>
      <c r="N22" s="106">
        <v>1</v>
      </c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 t="s">
        <v>120</v>
      </c>
      <c r="C23" s="115" t="s">
        <v>121</v>
      </c>
      <c r="D23" s="115" t="s">
        <v>122</v>
      </c>
      <c r="E23" s="115">
        <v>18</v>
      </c>
      <c r="F23" s="115">
        <v>8</v>
      </c>
      <c r="G23" s="115">
        <v>-20</v>
      </c>
      <c r="H23" s="115"/>
      <c r="I23" s="105"/>
      <c r="J23" s="105"/>
      <c r="K23" s="105"/>
      <c r="L23" s="107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93" t="s">
        <v>158</v>
      </c>
      <c r="C24" s="115" t="s">
        <v>145</v>
      </c>
      <c r="D24" s="115" t="s">
        <v>159</v>
      </c>
      <c r="E24" s="115">
        <v>17</v>
      </c>
      <c r="F24" s="115">
        <v>8</v>
      </c>
      <c r="G24" s="115">
        <v>79</v>
      </c>
      <c r="H24" s="115"/>
      <c r="I24" s="106"/>
      <c r="J24" s="106"/>
      <c r="K24" s="115"/>
      <c r="L24" s="115"/>
      <c r="M24" s="115">
        <v>1</v>
      </c>
      <c r="N24" s="115">
        <v>1</v>
      </c>
      <c r="O24" s="106">
        <v>1</v>
      </c>
      <c r="P24" s="106">
        <v>1</v>
      </c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165</v>
      </c>
    </row>
  </sheetData>
  <sheetProtection sheet="1" objects="1" scenarios="1" selectLockedCells="1"/>
  <sortState xmlns:xlrd2="http://schemas.microsoft.com/office/spreadsheetml/2017/richdata2" ref="B10:P24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6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 t="s">
        <v>243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40</v>
      </c>
      <c r="H2" s="100"/>
    </row>
    <row r="3" spans="1:18" x14ac:dyDescent="0.35">
      <c r="C3" s="45" t="s">
        <v>12</v>
      </c>
      <c r="D3" s="46">
        <v>11</v>
      </c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>
        <f>IF(FMRPool1FirstName&lt;&gt;"",1,"")</f>
        <v>1</v>
      </c>
      <c r="B6" s="139" t="s">
        <v>229</v>
      </c>
      <c r="C6" s="140" t="s">
        <v>145</v>
      </c>
      <c r="D6" s="141" t="s">
        <v>230</v>
      </c>
      <c r="E6" s="70">
        <v>36</v>
      </c>
    </row>
    <row r="7" spans="1:18" x14ac:dyDescent="0.35">
      <c r="A7" s="48">
        <f>IF(B7&lt;&gt;"",A6+1,"")</f>
        <v>2</v>
      </c>
      <c r="B7" s="139" t="s">
        <v>129</v>
      </c>
      <c r="C7" s="139" t="s">
        <v>130</v>
      </c>
      <c r="D7" s="142" t="s">
        <v>131</v>
      </c>
      <c r="E7" s="70">
        <v>36</v>
      </c>
    </row>
    <row r="8" spans="1:18" x14ac:dyDescent="0.35">
      <c r="A8" s="48">
        <f t="shared" ref="A8:A30" si="0">IF(B8&lt;&gt;"",A7+1,"")</f>
        <v>3</v>
      </c>
      <c r="B8" s="140" t="s">
        <v>160</v>
      </c>
      <c r="C8" s="140" t="s">
        <v>161</v>
      </c>
      <c r="D8" s="141" t="s">
        <v>162</v>
      </c>
      <c r="E8" s="70">
        <v>36</v>
      </c>
    </row>
    <row r="9" spans="1:18" x14ac:dyDescent="0.35">
      <c r="A9" s="48">
        <f t="shared" si="0"/>
        <v>4</v>
      </c>
      <c r="B9" s="139" t="s">
        <v>234</v>
      </c>
      <c r="C9" s="139" t="s">
        <v>105</v>
      </c>
      <c r="D9" s="141" t="s">
        <v>235</v>
      </c>
      <c r="E9" s="70">
        <v>36</v>
      </c>
    </row>
    <row r="10" spans="1:18" x14ac:dyDescent="0.35">
      <c r="A10" s="48">
        <f t="shared" si="0"/>
        <v>5</v>
      </c>
      <c r="B10" s="140" t="s">
        <v>104</v>
      </c>
      <c r="C10" s="139" t="s">
        <v>105</v>
      </c>
      <c r="D10" s="141" t="s">
        <v>106</v>
      </c>
      <c r="E10" s="70">
        <v>36</v>
      </c>
    </row>
    <row r="11" spans="1:18" x14ac:dyDescent="0.35">
      <c r="A11" s="48">
        <f t="shared" si="0"/>
        <v>6</v>
      </c>
      <c r="B11" s="140" t="s">
        <v>195</v>
      </c>
      <c r="C11" s="139" t="s">
        <v>145</v>
      </c>
      <c r="D11" s="142" t="s">
        <v>196</v>
      </c>
      <c r="E11" s="70">
        <v>36</v>
      </c>
      <c r="Q11" s="82"/>
      <c r="R11" s="82"/>
    </row>
    <row r="12" spans="1:18" x14ac:dyDescent="0.35">
      <c r="A12" s="48">
        <f t="shared" si="0"/>
        <v>7</v>
      </c>
      <c r="B12" s="68" t="s">
        <v>212</v>
      </c>
      <c r="C12" s="68" t="s">
        <v>130</v>
      </c>
      <c r="D12" s="69" t="s">
        <v>213</v>
      </c>
      <c r="E12" s="70">
        <v>36</v>
      </c>
      <c r="Q12" s="82"/>
    </row>
    <row r="13" spans="1:18" x14ac:dyDescent="0.35">
      <c r="A13" s="48">
        <f t="shared" si="0"/>
        <v>8</v>
      </c>
      <c r="B13" s="71" t="s">
        <v>175</v>
      </c>
      <c r="C13" s="71" t="s">
        <v>164</v>
      </c>
      <c r="D13" s="72" t="s">
        <v>176</v>
      </c>
      <c r="E13" s="73">
        <v>36</v>
      </c>
    </row>
    <row r="14" spans="1:18" x14ac:dyDescent="0.35">
      <c r="A14" s="48">
        <f t="shared" si="0"/>
        <v>9</v>
      </c>
      <c r="B14" s="68" t="s">
        <v>101</v>
      </c>
      <c r="C14" s="68" t="s">
        <v>102</v>
      </c>
      <c r="D14" s="69" t="s">
        <v>103</v>
      </c>
      <c r="E14" s="70">
        <v>36</v>
      </c>
      <c r="Q14" s="82"/>
      <c r="R14" s="82"/>
    </row>
    <row r="15" spans="1:18" x14ac:dyDescent="0.35">
      <c r="A15" s="48">
        <f t="shared" si="0"/>
        <v>10</v>
      </c>
      <c r="B15" s="71" t="s">
        <v>135</v>
      </c>
      <c r="C15" s="71" t="s">
        <v>136</v>
      </c>
      <c r="D15" s="72" t="s">
        <v>137</v>
      </c>
      <c r="E15" s="73">
        <v>36</v>
      </c>
      <c r="Q15" s="82"/>
      <c r="R15" s="82"/>
    </row>
    <row r="16" spans="1:18" x14ac:dyDescent="0.35">
      <c r="A16" s="48">
        <f t="shared" si="0"/>
        <v>11</v>
      </c>
      <c r="B16" s="74" t="s">
        <v>158</v>
      </c>
      <c r="C16" s="74" t="s">
        <v>145</v>
      </c>
      <c r="D16" s="75" t="s">
        <v>159</v>
      </c>
      <c r="E16" s="73">
        <v>36</v>
      </c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1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 t="s">
        <v>244</v>
      </c>
      <c r="C1" s="89"/>
      <c r="G1" s="8"/>
    </row>
    <row r="2" spans="1:18" x14ac:dyDescent="0.35">
      <c r="A2" s="78">
        <v>10</v>
      </c>
      <c r="B2" s="43" t="s">
        <v>7</v>
      </c>
      <c r="C2" s="45" t="s">
        <v>6</v>
      </c>
      <c r="D2" s="46">
        <v>31</v>
      </c>
      <c r="H2" s="82"/>
    </row>
    <row r="3" spans="1:18" x14ac:dyDescent="0.35">
      <c r="C3" s="45" t="s">
        <v>12</v>
      </c>
      <c r="D3" s="46">
        <v>6</v>
      </c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>
        <f>IF(FMRPool2FirstName&gt;"",1,"")</f>
        <v>1</v>
      </c>
      <c r="B6" s="155" t="s">
        <v>229</v>
      </c>
      <c r="C6" s="156" t="s">
        <v>145</v>
      </c>
      <c r="D6" s="157" t="s">
        <v>230</v>
      </c>
      <c r="E6" s="164">
        <v>85</v>
      </c>
    </row>
    <row r="7" spans="1:18" ht="23.25" x14ac:dyDescent="0.35">
      <c r="A7" s="50">
        <f>IF(B7&lt;&gt;"",A6+1,"")</f>
        <v>2</v>
      </c>
      <c r="B7" s="155" t="s">
        <v>129</v>
      </c>
      <c r="C7" s="155" t="s">
        <v>130</v>
      </c>
      <c r="D7" s="158" t="s">
        <v>131</v>
      </c>
      <c r="E7" s="164">
        <v>65</v>
      </c>
    </row>
    <row r="8" spans="1:18" ht="23.25" x14ac:dyDescent="0.35">
      <c r="A8" s="50">
        <f t="shared" ref="A8:A30" si="0">IF(B8&lt;&gt;"",A7+1,"")</f>
        <v>3</v>
      </c>
      <c r="B8" s="156" t="s">
        <v>160</v>
      </c>
      <c r="C8" s="156" t="s">
        <v>161</v>
      </c>
      <c r="D8" s="157" t="s">
        <v>162</v>
      </c>
      <c r="E8" s="164">
        <v>55</v>
      </c>
    </row>
    <row r="9" spans="1:18" ht="23.25" x14ac:dyDescent="0.35">
      <c r="A9" s="50">
        <f t="shared" si="0"/>
        <v>4</v>
      </c>
      <c r="B9" s="155" t="s">
        <v>210</v>
      </c>
      <c r="C9" s="155" t="s">
        <v>145</v>
      </c>
      <c r="D9" s="157" t="s">
        <v>211</v>
      </c>
      <c r="E9" s="164">
        <v>45</v>
      </c>
    </row>
    <row r="10" spans="1:18" ht="23.25" x14ac:dyDescent="0.35">
      <c r="A10" s="50">
        <f t="shared" si="0"/>
        <v>5</v>
      </c>
      <c r="B10" s="159" t="s">
        <v>195</v>
      </c>
      <c r="C10" s="159" t="s">
        <v>145</v>
      </c>
      <c r="D10" s="160" t="s">
        <v>196</v>
      </c>
      <c r="E10" s="164">
        <v>35</v>
      </c>
    </row>
    <row r="11" spans="1:18" ht="23.25" x14ac:dyDescent="0.35">
      <c r="A11" s="50">
        <f t="shared" si="0"/>
        <v>6</v>
      </c>
      <c r="B11" s="159" t="s">
        <v>212</v>
      </c>
      <c r="C11" s="159" t="s">
        <v>130</v>
      </c>
      <c r="D11" s="160" t="s">
        <v>213</v>
      </c>
      <c r="E11" s="161">
        <v>25</v>
      </c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2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 t="s">
        <v>244</v>
      </c>
      <c r="C1" s="89"/>
      <c r="G1" s="8"/>
    </row>
    <row r="2" spans="1:7" x14ac:dyDescent="0.35">
      <c r="A2" s="78">
        <v>20</v>
      </c>
      <c r="B2" s="43" t="s">
        <v>7</v>
      </c>
      <c r="C2" s="45" t="s">
        <v>6</v>
      </c>
      <c r="D2" s="46">
        <v>37</v>
      </c>
      <c r="F2" s="30" t="s">
        <v>11</v>
      </c>
    </row>
    <row r="3" spans="1:7" x14ac:dyDescent="0.35">
      <c r="A3" s="47"/>
      <c r="C3" s="45" t="s">
        <v>12</v>
      </c>
      <c r="D3" s="46">
        <v>7</v>
      </c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>
        <f>IF(FMRPool3FirstName&lt;&gt;"",1,"")</f>
        <v>1</v>
      </c>
      <c r="B6" s="155" t="s">
        <v>229</v>
      </c>
      <c r="C6" s="156" t="s">
        <v>145</v>
      </c>
      <c r="D6" s="157" t="s">
        <v>230</v>
      </c>
      <c r="E6" s="164">
        <v>180</v>
      </c>
    </row>
    <row r="7" spans="1:7" ht="21" customHeight="1" x14ac:dyDescent="0.35">
      <c r="A7" s="50">
        <f>IF(B7&lt;&gt;"",A6+1,"")</f>
        <v>2</v>
      </c>
      <c r="B7" s="155" t="s">
        <v>129</v>
      </c>
      <c r="C7" s="155" t="s">
        <v>130</v>
      </c>
      <c r="D7" s="158" t="s">
        <v>131</v>
      </c>
      <c r="E7" s="164">
        <v>150</v>
      </c>
    </row>
    <row r="8" spans="1:7" ht="21" customHeight="1" x14ac:dyDescent="0.35">
      <c r="A8" s="50">
        <f t="shared" ref="A8:A30" si="0">IF(B8&lt;&gt;"",A7+1,"")</f>
        <v>3</v>
      </c>
      <c r="B8" s="156" t="s">
        <v>160</v>
      </c>
      <c r="C8" s="156" t="s">
        <v>161</v>
      </c>
      <c r="D8" s="157" t="s">
        <v>162</v>
      </c>
      <c r="E8" s="164">
        <v>120</v>
      </c>
    </row>
    <row r="9" spans="1:7" ht="21" customHeight="1" x14ac:dyDescent="0.35">
      <c r="A9" s="50">
        <f t="shared" si="0"/>
        <v>4</v>
      </c>
      <c r="B9" s="159" t="s">
        <v>210</v>
      </c>
      <c r="C9" s="159" t="s">
        <v>145</v>
      </c>
      <c r="D9" s="160" t="s">
        <v>211</v>
      </c>
      <c r="E9" s="161">
        <v>100</v>
      </c>
    </row>
    <row r="10" spans="1:7" ht="23.25" x14ac:dyDescent="0.35">
      <c r="A10" s="50">
        <f t="shared" si="0"/>
        <v>5</v>
      </c>
      <c r="B10" s="159" t="s">
        <v>104</v>
      </c>
      <c r="C10" s="159" t="s">
        <v>105</v>
      </c>
      <c r="D10" s="160" t="s">
        <v>106</v>
      </c>
      <c r="E10" s="161">
        <v>80</v>
      </c>
    </row>
    <row r="11" spans="1:7" ht="23.25" x14ac:dyDescent="0.35">
      <c r="A11" s="50">
        <f t="shared" si="0"/>
        <v>6</v>
      </c>
      <c r="B11" s="159" t="s">
        <v>195</v>
      </c>
      <c r="C11" s="159" t="s">
        <v>145</v>
      </c>
      <c r="D11" s="160" t="s">
        <v>196</v>
      </c>
      <c r="E11" s="161">
        <v>60</v>
      </c>
    </row>
    <row r="12" spans="1:7" ht="23.25" x14ac:dyDescent="0.35">
      <c r="A12" s="50">
        <f t="shared" si="0"/>
        <v>7</v>
      </c>
      <c r="B12" s="159" t="s">
        <v>212</v>
      </c>
      <c r="C12" s="159" t="s">
        <v>130</v>
      </c>
      <c r="D12" s="160" t="s">
        <v>213</v>
      </c>
      <c r="E12" s="161">
        <v>50</v>
      </c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9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 t="s">
        <v>244</v>
      </c>
      <c r="C1" s="89"/>
      <c r="D1" s="44"/>
      <c r="G1" s="8"/>
    </row>
    <row r="2" spans="1:12" x14ac:dyDescent="0.35">
      <c r="A2" s="78">
        <v>50</v>
      </c>
      <c r="B2" s="43" t="s">
        <v>7</v>
      </c>
      <c r="C2" s="45" t="s">
        <v>6</v>
      </c>
      <c r="D2" s="46">
        <v>20</v>
      </c>
    </row>
    <row r="3" spans="1:12" x14ac:dyDescent="0.35">
      <c r="A3" s="56"/>
      <c r="C3" s="45" t="s">
        <v>12</v>
      </c>
      <c r="D3" s="46">
        <v>4</v>
      </c>
    </row>
    <row r="4" spans="1:12" x14ac:dyDescent="0.35">
      <c r="D4" s="44"/>
    </row>
    <row r="5" spans="1:12" x14ac:dyDescent="0.35">
      <c r="A5" s="58"/>
      <c r="B5" s="162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>
        <f>IF(FMRPool4FirstName&lt;&gt;"",1,"")</f>
        <v>1</v>
      </c>
      <c r="B6" s="155" t="s">
        <v>229</v>
      </c>
      <c r="C6" s="156" t="s">
        <v>145</v>
      </c>
      <c r="D6" s="157" t="s">
        <v>230</v>
      </c>
      <c r="E6" s="164">
        <v>425</v>
      </c>
    </row>
    <row r="7" spans="1:12" ht="23.25" x14ac:dyDescent="0.35">
      <c r="A7" s="59">
        <f>IF(B7&lt;&gt;"",A6+1,"")</f>
        <v>2</v>
      </c>
      <c r="B7" s="155" t="s">
        <v>160</v>
      </c>
      <c r="C7" s="155" t="s">
        <v>161</v>
      </c>
      <c r="D7" s="158" t="s">
        <v>162</v>
      </c>
      <c r="E7" s="164">
        <v>275</v>
      </c>
    </row>
    <row r="8" spans="1:12" ht="23.25" x14ac:dyDescent="0.35">
      <c r="A8" s="59">
        <f t="shared" ref="A8:A30" si="0">IF(B8&lt;&gt;"",A7+1,"")</f>
        <v>3</v>
      </c>
      <c r="B8" s="163" t="s">
        <v>195</v>
      </c>
      <c r="C8" s="163" t="s">
        <v>145</v>
      </c>
      <c r="D8" s="163" t="s">
        <v>196</v>
      </c>
      <c r="E8" s="161">
        <v>175</v>
      </c>
    </row>
    <row r="9" spans="1:12" ht="23.25" x14ac:dyDescent="0.35">
      <c r="A9" s="59">
        <f t="shared" si="0"/>
        <v>4</v>
      </c>
      <c r="B9" s="163" t="s">
        <v>212</v>
      </c>
      <c r="C9" s="163" t="s">
        <v>130</v>
      </c>
      <c r="D9" s="163" t="s">
        <v>213</v>
      </c>
      <c r="E9" s="161">
        <v>125</v>
      </c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57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57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2026-04-18T20:53:35Z</cp:lastPrinted>
  <dcterms:created xsi:type="dcterms:W3CDTF">2014-07-12T17:55:34Z</dcterms:created>
  <dcterms:modified xsi:type="dcterms:W3CDTF">2026-04-20T02:06:49Z</dcterms:modified>
</cp:coreProperties>
</file>