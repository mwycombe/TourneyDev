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updateLinks="never" codeName="ThisWorkbook"/>
  <bookViews>
    <workbookView xWindow="-15" yWindow="-15" windowWidth="20280" windowHeight="7005" tabRatio="591" activeTab="3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7"/>
  <externalReferences>
    <externalReference r:id="rId9"/>
    <externalReference r:id="rId10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Entries!$C$10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6" i="1" l="1"/>
  <c r="O216" i="1" s="1"/>
  <c r="S216" i="1"/>
  <c r="A216" i="1"/>
  <c r="T215" i="1"/>
  <c r="O215" i="1" s="1"/>
  <c r="S215" i="1"/>
  <c r="R215" i="1"/>
  <c r="A215" i="1"/>
  <c r="T214" i="1"/>
  <c r="O214" i="1" s="1"/>
  <c r="S214" i="1"/>
  <c r="R214" i="1"/>
  <c r="A214" i="1"/>
  <c r="T213" i="1"/>
  <c r="O213" i="1" s="1"/>
  <c r="S213" i="1"/>
  <c r="A213" i="1"/>
  <c r="T212" i="1"/>
  <c r="O212" i="1" s="1"/>
  <c r="S212" i="1"/>
  <c r="A212" i="1"/>
  <c r="T211" i="1"/>
  <c r="O211" i="1" s="1"/>
  <c r="S211" i="1"/>
  <c r="A211" i="1"/>
  <c r="T210" i="1"/>
  <c r="O210" i="1" s="1"/>
  <c r="S210" i="1"/>
  <c r="A210" i="1"/>
  <c r="T209" i="1"/>
  <c r="O209" i="1" s="1"/>
  <c r="S209" i="1"/>
  <c r="A209" i="1"/>
  <c r="T208" i="1"/>
  <c r="O208" i="1" s="1"/>
  <c r="S208" i="1"/>
  <c r="A208" i="1"/>
  <c r="T207" i="1"/>
  <c r="O207" i="1" s="1"/>
  <c r="S207" i="1"/>
  <c r="A207" i="1"/>
  <c r="T206" i="1"/>
  <c r="O206" i="1" s="1"/>
  <c r="S206" i="1"/>
  <c r="A206" i="1"/>
  <c r="T205" i="1"/>
  <c r="O205" i="1" s="1"/>
  <c r="S205" i="1"/>
  <c r="A205" i="1"/>
  <c r="T204" i="1"/>
  <c r="O204" i="1" s="1"/>
  <c r="S204" i="1"/>
  <c r="A204" i="1"/>
  <c r="T203" i="1"/>
  <c r="O203" i="1" s="1"/>
  <c r="S203" i="1"/>
  <c r="A203" i="1"/>
  <c r="T202" i="1"/>
  <c r="O202" i="1" s="1"/>
  <c r="S202" i="1"/>
  <c r="A202" i="1"/>
  <c r="T201" i="1"/>
  <c r="O201" i="1" s="1"/>
  <c r="S201" i="1"/>
  <c r="A201" i="1"/>
  <c r="T200" i="1"/>
  <c r="O200" i="1" s="1"/>
  <c r="S200" i="1"/>
  <c r="A200" i="1"/>
  <c r="T199" i="1"/>
  <c r="O199" i="1" s="1"/>
  <c r="S199" i="1"/>
  <c r="A199" i="1"/>
  <c r="T68" i="1"/>
  <c r="R68" i="1" s="1"/>
  <c r="S68" i="1"/>
  <c r="A198" i="1"/>
  <c r="T198" i="1"/>
  <c r="O198" i="1" s="1"/>
  <c r="S198" i="1"/>
  <c r="A197" i="1"/>
  <c r="T197" i="1"/>
  <c r="O197" i="1" s="1"/>
  <c r="S197" i="1"/>
  <c r="A196" i="1"/>
  <c r="T196" i="1"/>
  <c r="O196" i="1" s="1"/>
  <c r="S196" i="1"/>
  <c r="A195" i="1"/>
  <c r="T67" i="1"/>
  <c r="O67" i="1" s="1"/>
  <c r="R67" i="1"/>
  <c r="A194" i="1"/>
  <c r="T66" i="1"/>
  <c r="S66" i="1" s="1"/>
  <c r="R66" i="1"/>
  <c r="O66" i="1"/>
  <c r="A193" i="1"/>
  <c r="T65" i="1"/>
  <c r="O65" i="1" s="1"/>
  <c r="R65" i="1"/>
  <c r="A192" i="1"/>
  <c r="T195" i="1"/>
  <c r="O195" i="1" s="1"/>
  <c r="S195" i="1"/>
  <c r="A191" i="1"/>
  <c r="T194" i="1"/>
  <c r="O194" i="1" s="1"/>
  <c r="S194" i="1"/>
  <c r="A190" i="1"/>
  <c r="T64" i="1"/>
  <c r="O64" i="1" s="1"/>
  <c r="S64" i="1"/>
  <c r="A189" i="1"/>
  <c r="T193" i="1"/>
  <c r="O193" i="1" s="1"/>
  <c r="S193" i="1"/>
  <c r="A188" i="1"/>
  <c r="T192" i="1"/>
  <c r="O192" i="1" s="1"/>
  <c r="S192" i="1"/>
  <c r="A187" i="1"/>
  <c r="T191" i="1"/>
  <c r="O191" i="1" s="1"/>
  <c r="S191" i="1"/>
  <c r="A186" i="1"/>
  <c r="T190" i="1"/>
  <c r="O190" i="1" s="1"/>
  <c r="S190" i="1"/>
  <c r="A185" i="1"/>
  <c r="T63" i="1"/>
  <c r="S63" i="1" s="1"/>
  <c r="R63" i="1"/>
  <c r="A184" i="1"/>
  <c r="T62" i="1"/>
  <c r="O62" i="1" s="1"/>
  <c r="R62" i="1"/>
  <c r="A183" i="1"/>
  <c r="T189" i="1"/>
  <c r="O189" i="1" s="1"/>
  <c r="S189" i="1"/>
  <c r="A182" i="1"/>
  <c r="T61" i="1"/>
  <c r="S61" i="1" s="1"/>
  <c r="R61" i="1"/>
  <c r="A181" i="1"/>
  <c r="T60" i="1"/>
  <c r="O60" i="1" s="1"/>
  <c r="R60" i="1"/>
  <c r="A180" i="1"/>
  <c r="T188" i="1"/>
  <c r="O188" i="1" s="1"/>
  <c r="S188" i="1"/>
  <c r="A179" i="1"/>
  <c r="T187" i="1"/>
  <c r="O187" i="1" s="1"/>
  <c r="S187" i="1"/>
  <c r="A178" i="1"/>
  <c r="T186" i="1"/>
  <c r="O186" i="1" s="1"/>
  <c r="S186" i="1"/>
  <c r="A177" i="1"/>
  <c r="T185" i="1"/>
  <c r="O185" i="1" s="1"/>
  <c r="S185" i="1"/>
  <c r="A176" i="1"/>
  <c r="T184" i="1"/>
  <c r="O184" i="1" s="1"/>
  <c r="S184" i="1"/>
  <c r="A175" i="1"/>
  <c r="T183" i="1"/>
  <c r="O183" i="1" s="1"/>
  <c r="S183" i="1"/>
  <c r="A174" i="1"/>
  <c r="T59" i="1"/>
  <c r="O59" i="1" s="1"/>
  <c r="S59" i="1"/>
  <c r="A173" i="1"/>
  <c r="T58" i="1"/>
  <c r="R58" i="1" s="1"/>
  <c r="S58" i="1"/>
  <c r="A172" i="1"/>
  <c r="T182" i="1"/>
  <c r="O182" i="1" s="1"/>
  <c r="S182" i="1"/>
  <c r="A171" i="1"/>
  <c r="T181" i="1"/>
  <c r="O181" i="1" s="1"/>
  <c r="S181" i="1"/>
  <c r="A170" i="1"/>
  <c r="T180" i="1"/>
  <c r="O180" i="1" s="1"/>
  <c r="S180" i="1"/>
  <c r="A169" i="1"/>
  <c r="T179" i="1"/>
  <c r="O179" i="1" s="1"/>
  <c r="S179" i="1"/>
  <c r="A168" i="1"/>
  <c r="T178" i="1"/>
  <c r="O178" i="1" s="1"/>
  <c r="S178" i="1"/>
  <c r="A167" i="1"/>
  <c r="T57" i="1"/>
  <c r="O57" i="1" s="1"/>
  <c r="S57" i="1"/>
  <c r="A166" i="1"/>
  <c r="T177" i="1"/>
  <c r="O177" i="1" s="1"/>
  <c r="S177" i="1"/>
  <c r="A165" i="1"/>
  <c r="T176" i="1"/>
  <c r="O176" i="1" s="1"/>
  <c r="S176" i="1"/>
  <c r="A164" i="1"/>
  <c r="T175" i="1"/>
  <c r="O175" i="1" s="1"/>
  <c r="S175" i="1"/>
  <c r="A163" i="1"/>
  <c r="T174" i="1"/>
  <c r="O174" i="1" s="1"/>
  <c r="S174" i="1"/>
  <c r="A162" i="1"/>
  <c r="T56" i="1"/>
  <c r="R56" i="1" s="1"/>
  <c r="S56" i="1"/>
  <c r="A161" i="1"/>
  <c r="T55" i="1"/>
  <c r="R55" i="1" s="1"/>
  <c r="S55" i="1"/>
  <c r="A160" i="1"/>
  <c r="T173" i="1"/>
  <c r="O173" i="1" s="1"/>
  <c r="S173" i="1"/>
  <c r="A159" i="1"/>
  <c r="T172" i="1"/>
  <c r="O172" i="1" s="1"/>
  <c r="S172" i="1"/>
  <c r="A158" i="1"/>
  <c r="T171" i="1"/>
  <c r="R171" i="1" s="1"/>
  <c r="S171" i="1"/>
  <c r="A157" i="1"/>
  <c r="T170" i="1"/>
  <c r="O170" i="1" s="1"/>
  <c r="S170" i="1"/>
  <c r="A156" i="1"/>
  <c r="T169" i="1"/>
  <c r="O169" i="1" s="1"/>
  <c r="S169" i="1"/>
  <c r="A155" i="1"/>
  <c r="T168" i="1"/>
  <c r="O168" i="1" s="1"/>
  <c r="S168" i="1"/>
  <c r="A154" i="1"/>
  <c r="T167" i="1"/>
  <c r="O167" i="1" s="1"/>
  <c r="S167" i="1"/>
  <c r="A153" i="1"/>
  <c r="T166" i="1"/>
  <c r="O166" i="1" s="1"/>
  <c r="S166" i="1"/>
  <c r="A152" i="1"/>
  <c r="T165" i="1"/>
  <c r="O165" i="1" s="1"/>
  <c r="S165" i="1"/>
  <c r="A151" i="1"/>
  <c r="T54" i="1"/>
  <c r="R54" i="1" s="1"/>
  <c r="S54" i="1"/>
  <c r="A150" i="1"/>
  <c r="T164" i="1"/>
  <c r="O164" i="1" s="1"/>
  <c r="S164" i="1"/>
  <c r="A149" i="1"/>
  <c r="T163" i="1"/>
  <c r="O163" i="1" s="1"/>
  <c r="S163" i="1"/>
  <c r="A148" i="1"/>
  <c r="T162" i="1"/>
  <c r="O162" i="1" s="1"/>
  <c r="S162" i="1"/>
  <c r="A147" i="1"/>
  <c r="T53" i="1"/>
  <c r="S53" i="1" s="1"/>
  <c r="R53" i="1"/>
  <c r="A146" i="1"/>
  <c r="T161" i="1"/>
  <c r="R161" i="1" s="1"/>
  <c r="S161" i="1"/>
  <c r="A145" i="1"/>
  <c r="T160" i="1"/>
  <c r="O160" i="1" s="1"/>
  <c r="S160" i="1"/>
  <c r="A144" i="1"/>
  <c r="T159" i="1"/>
  <c r="O159" i="1" s="1"/>
  <c r="S159" i="1"/>
  <c r="A143" i="1"/>
  <c r="T52" i="1"/>
  <c r="O52" i="1" s="1"/>
  <c r="R52" i="1"/>
  <c r="A142" i="1"/>
  <c r="T158" i="1"/>
  <c r="O158" i="1" s="1"/>
  <c r="S158" i="1"/>
  <c r="A141" i="1"/>
  <c r="T157" i="1"/>
  <c r="O157" i="1" s="1"/>
  <c r="S157" i="1"/>
  <c r="A140" i="1"/>
  <c r="T51" i="1"/>
  <c r="O51" i="1" s="1"/>
  <c r="S51" i="1"/>
  <c r="A139" i="1"/>
  <c r="T50" i="1"/>
  <c r="S50" i="1" s="1"/>
  <c r="R50" i="1"/>
  <c r="A138" i="1"/>
  <c r="T156" i="1"/>
  <c r="O156" i="1" s="1"/>
  <c r="S156" i="1"/>
  <c r="A137" i="1"/>
  <c r="T155" i="1"/>
  <c r="O155" i="1" s="1"/>
  <c r="S155" i="1"/>
  <c r="A136" i="1"/>
  <c r="T154" i="1"/>
  <c r="O154" i="1" s="1"/>
  <c r="S154" i="1"/>
  <c r="A135" i="1"/>
  <c r="T153" i="1"/>
  <c r="O153" i="1" s="1"/>
  <c r="S153" i="1"/>
  <c r="A134" i="1"/>
  <c r="T152" i="1"/>
  <c r="O152" i="1" s="1"/>
  <c r="S152" i="1"/>
  <c r="A133" i="1"/>
  <c r="T151" i="1"/>
  <c r="O151" i="1" s="1"/>
  <c r="S151" i="1"/>
  <c r="A132" i="1"/>
  <c r="T150" i="1"/>
  <c r="O150" i="1" s="1"/>
  <c r="S150" i="1"/>
  <c r="A131" i="1"/>
  <c r="T149" i="1"/>
  <c r="O149" i="1" s="1"/>
  <c r="S149" i="1"/>
  <c r="A130" i="1"/>
  <c r="T148" i="1"/>
  <c r="O148" i="1" s="1"/>
  <c r="S148" i="1"/>
  <c r="A129" i="1"/>
  <c r="T147" i="1"/>
  <c r="O147" i="1" s="1"/>
  <c r="S147" i="1"/>
  <c r="A128" i="1"/>
  <c r="T146" i="1"/>
  <c r="O146" i="1" s="1"/>
  <c r="S146" i="1"/>
  <c r="A127" i="1"/>
  <c r="T49" i="1"/>
  <c r="O49" i="1" s="1"/>
  <c r="S49" i="1"/>
  <c r="A126" i="1"/>
  <c r="T145" i="1"/>
  <c r="O145" i="1" s="1"/>
  <c r="S145" i="1"/>
  <c r="A125" i="1"/>
  <c r="T48" i="1"/>
  <c r="R48" i="1" s="1"/>
  <c r="S48" i="1"/>
  <c r="A124" i="1"/>
  <c r="T47" i="1"/>
  <c r="R47" i="1" s="1"/>
  <c r="S47" i="1"/>
  <c r="A123" i="1"/>
  <c r="T144" i="1"/>
  <c r="O144" i="1" s="1"/>
  <c r="S144" i="1"/>
  <c r="A122" i="1"/>
  <c r="T46" i="1"/>
  <c r="R46" i="1" s="1"/>
  <c r="S46" i="1"/>
  <c r="A121" i="1"/>
  <c r="T45" i="1"/>
  <c r="O45" i="1" s="1"/>
  <c r="R45" i="1"/>
  <c r="A120" i="1"/>
  <c r="T143" i="1"/>
  <c r="O143" i="1" s="1"/>
  <c r="S143" i="1"/>
  <c r="A119" i="1"/>
  <c r="T142" i="1"/>
  <c r="O142" i="1" s="1"/>
  <c r="S142" i="1"/>
  <c r="A118" i="1"/>
  <c r="T141" i="1"/>
  <c r="O141" i="1" s="1"/>
  <c r="S141" i="1"/>
  <c r="A117" i="1"/>
  <c r="T140" i="1"/>
  <c r="O140" i="1" s="1"/>
  <c r="S140" i="1"/>
  <c r="A116" i="1"/>
  <c r="T139" i="1"/>
  <c r="O139" i="1" s="1"/>
  <c r="S139" i="1"/>
  <c r="A115" i="1"/>
  <c r="T138" i="1"/>
  <c r="O138" i="1" s="1"/>
  <c r="S138" i="1"/>
  <c r="A114" i="1"/>
  <c r="T137" i="1"/>
  <c r="O137" i="1" s="1"/>
  <c r="S137" i="1"/>
  <c r="A113" i="1"/>
  <c r="T44" i="1"/>
  <c r="R44" i="1" s="1"/>
  <c r="S44" i="1"/>
  <c r="A112" i="1"/>
  <c r="T136" i="1"/>
  <c r="O136" i="1" s="1"/>
  <c r="S136" i="1"/>
  <c r="A111" i="1"/>
  <c r="T135" i="1"/>
  <c r="O135" i="1" s="1"/>
  <c r="S135" i="1"/>
  <c r="A110" i="1"/>
  <c r="T43" i="1"/>
  <c r="R43" i="1" s="1"/>
  <c r="S43" i="1"/>
  <c r="A109" i="1"/>
  <c r="T134" i="1"/>
  <c r="O134" i="1" s="1"/>
  <c r="S134" i="1"/>
  <c r="A108" i="1"/>
  <c r="T133" i="1"/>
  <c r="O133" i="1" s="1"/>
  <c r="S133" i="1"/>
  <c r="A107" i="1"/>
  <c r="T132" i="1"/>
  <c r="O132" i="1" s="1"/>
  <c r="S132" i="1"/>
  <c r="A106" i="1"/>
  <c r="T131" i="1"/>
  <c r="O131" i="1" s="1"/>
  <c r="S131" i="1"/>
  <c r="A105" i="1"/>
  <c r="T130" i="1"/>
  <c r="O130" i="1" s="1"/>
  <c r="S130" i="1"/>
  <c r="A104" i="1"/>
  <c r="T129" i="1"/>
  <c r="O129" i="1" s="1"/>
  <c r="S129" i="1"/>
  <c r="A103" i="1"/>
  <c r="T42" i="1"/>
  <c r="S42" i="1" s="1"/>
  <c r="R42" i="1"/>
  <c r="A102" i="1"/>
  <c r="T41" i="1"/>
  <c r="R41" i="1" s="1"/>
  <c r="S41" i="1"/>
  <c r="A101" i="1"/>
  <c r="T128" i="1"/>
  <c r="O128" i="1" s="1"/>
  <c r="S128" i="1"/>
  <c r="A100" i="1"/>
  <c r="T40" i="1"/>
  <c r="O40" i="1" s="1"/>
  <c r="R40" i="1"/>
  <c r="A99" i="1"/>
  <c r="T127" i="1"/>
  <c r="O127" i="1" s="1"/>
  <c r="S127" i="1"/>
  <c r="A98" i="1"/>
  <c r="T39" i="1"/>
  <c r="R39" i="1" s="1"/>
  <c r="S39" i="1"/>
  <c r="A97" i="1"/>
  <c r="T126" i="1"/>
  <c r="O126" i="1" s="1"/>
  <c r="S126" i="1"/>
  <c r="A96" i="1"/>
  <c r="T125" i="1"/>
  <c r="O125" i="1" s="1"/>
  <c r="S125" i="1"/>
  <c r="A95" i="1"/>
  <c r="T38" i="1"/>
  <c r="S38" i="1" s="1"/>
  <c r="R38" i="1"/>
  <c r="A94" i="1"/>
  <c r="T124" i="1"/>
  <c r="O124" i="1" s="1"/>
  <c r="S124" i="1"/>
  <c r="A93" i="1"/>
  <c r="T123" i="1"/>
  <c r="R123" i="1" s="1"/>
  <c r="S123" i="1"/>
  <c r="A92" i="1"/>
  <c r="T122" i="1"/>
  <c r="O122" i="1" s="1"/>
  <c r="S122" i="1"/>
  <c r="A91" i="1"/>
  <c r="T121" i="1"/>
  <c r="O121" i="1" s="1"/>
  <c r="S121" i="1"/>
  <c r="A90" i="1"/>
  <c r="T120" i="1"/>
  <c r="O120" i="1" s="1"/>
  <c r="S120" i="1"/>
  <c r="A89" i="1"/>
  <c r="T119" i="1"/>
  <c r="O119" i="1" s="1"/>
  <c r="S119" i="1"/>
  <c r="A88" i="1"/>
  <c r="T118" i="1"/>
  <c r="O118" i="1" s="1"/>
  <c r="S118" i="1"/>
  <c r="A87" i="1"/>
  <c r="T37" i="1"/>
  <c r="S37" i="1" s="1"/>
  <c r="R37" i="1"/>
  <c r="A86" i="1"/>
  <c r="T117" i="1"/>
  <c r="O117" i="1" s="1"/>
  <c r="S117" i="1"/>
  <c r="A85" i="1"/>
  <c r="T116" i="1"/>
  <c r="O116" i="1" s="1"/>
  <c r="S116" i="1"/>
  <c r="A84" i="1"/>
  <c r="T115" i="1"/>
  <c r="R115" i="1" s="1"/>
  <c r="S115" i="1"/>
  <c r="A83" i="1"/>
  <c r="T114" i="1"/>
  <c r="O114" i="1" s="1"/>
  <c r="S114" i="1"/>
  <c r="A82" i="1"/>
  <c r="T113" i="1"/>
  <c r="O113" i="1" s="1"/>
  <c r="S113" i="1"/>
  <c r="A81" i="1"/>
  <c r="T112" i="1"/>
  <c r="O112" i="1" s="1"/>
  <c r="S112" i="1"/>
  <c r="A80" i="1"/>
  <c r="T111" i="1"/>
  <c r="O111" i="1" s="1"/>
  <c r="S111" i="1"/>
  <c r="A79" i="1"/>
  <c r="T110" i="1"/>
  <c r="R110" i="1" s="1"/>
  <c r="S110" i="1"/>
  <c r="A78" i="1"/>
  <c r="T109" i="1"/>
  <c r="O109" i="1" s="1"/>
  <c r="S109" i="1"/>
  <c r="A77" i="1"/>
  <c r="T108" i="1"/>
  <c r="O108" i="1" s="1"/>
  <c r="S108" i="1"/>
  <c r="A76" i="1"/>
  <c r="T107" i="1"/>
  <c r="O107" i="1" s="1"/>
  <c r="S107" i="1"/>
  <c r="A75" i="1"/>
  <c r="T106" i="1"/>
  <c r="O106" i="1" s="1"/>
  <c r="S106" i="1"/>
  <c r="A74" i="1"/>
  <c r="T36" i="1"/>
  <c r="R36" i="1" s="1"/>
  <c r="S36" i="1"/>
  <c r="A73" i="1"/>
  <c r="T105" i="1"/>
  <c r="O105" i="1" s="1"/>
  <c r="S105" i="1"/>
  <c r="A72" i="1"/>
  <c r="T104" i="1"/>
  <c r="R104" i="1" s="1"/>
  <c r="S104" i="1"/>
  <c r="A71" i="1"/>
  <c r="T35" i="1"/>
  <c r="O35" i="1" s="1"/>
  <c r="S35" i="1"/>
  <c r="A70" i="1"/>
  <c r="T103" i="1"/>
  <c r="O103" i="1" s="1"/>
  <c r="S103" i="1"/>
  <c r="A69" i="1"/>
  <c r="T34" i="1"/>
  <c r="S34" i="1" s="1"/>
  <c r="R34" i="1"/>
  <c r="A68" i="1"/>
  <c r="T102" i="1"/>
  <c r="O102" i="1" s="1"/>
  <c r="S102" i="1"/>
  <c r="A67" i="1"/>
  <c r="T101" i="1"/>
  <c r="O101" i="1" s="1"/>
  <c r="S101" i="1"/>
  <c r="A66" i="1"/>
  <c r="T100" i="1"/>
  <c r="O100" i="1" s="1"/>
  <c r="S100" i="1"/>
  <c r="A65" i="1"/>
  <c r="T33" i="1"/>
  <c r="R33" i="1" s="1"/>
  <c r="S33" i="1"/>
  <c r="A64" i="1"/>
  <c r="T99" i="1"/>
  <c r="O99" i="1" s="1"/>
  <c r="S99" i="1"/>
  <c r="A63" i="1"/>
  <c r="T32" i="1"/>
  <c r="S32" i="1" s="1"/>
  <c r="R32" i="1"/>
  <c r="A62" i="1"/>
  <c r="T98" i="1"/>
  <c r="R98" i="1" s="1"/>
  <c r="S98" i="1"/>
  <c r="A61" i="1"/>
  <c r="T97" i="1"/>
  <c r="O97" i="1" s="1"/>
  <c r="S97" i="1"/>
  <c r="A60" i="1"/>
  <c r="T31" i="1"/>
  <c r="R31" i="1" s="1"/>
  <c r="S31" i="1"/>
  <c r="A59" i="1"/>
  <c r="T96" i="1"/>
  <c r="O96" i="1" s="1"/>
  <c r="S96" i="1"/>
  <c r="A58" i="1"/>
  <c r="T30" i="1"/>
  <c r="O30" i="1" s="1"/>
  <c r="A57" i="1"/>
  <c r="T95" i="1"/>
  <c r="O95" i="1" s="1"/>
  <c r="S95" i="1"/>
  <c r="A56" i="1"/>
  <c r="T29" i="1"/>
  <c r="R29" i="1" s="1"/>
  <c r="S29" i="1"/>
  <c r="A55" i="1"/>
  <c r="T94" i="1"/>
  <c r="S94" i="1" s="1"/>
  <c r="R94" i="1"/>
  <c r="A54" i="1"/>
  <c r="T93" i="1"/>
  <c r="O93" i="1" s="1"/>
  <c r="S93" i="1"/>
  <c r="A53" i="1"/>
  <c r="T92" i="1"/>
  <c r="O92" i="1" s="1"/>
  <c r="S92" i="1"/>
  <c r="A52" i="1"/>
  <c r="T28" i="1"/>
  <c r="R28" i="1" s="1"/>
  <c r="S28" i="1"/>
  <c r="A51" i="1"/>
  <c r="T91" i="1"/>
  <c r="O91" i="1" s="1"/>
  <c r="S91" i="1"/>
  <c r="A50" i="1"/>
  <c r="S90" i="1"/>
  <c r="R90" i="1"/>
  <c r="A49" i="1"/>
  <c r="T89" i="1"/>
  <c r="O89" i="1" s="1"/>
  <c r="S89" i="1"/>
  <c r="A48" i="1"/>
  <c r="T27" i="1"/>
  <c r="S27" i="1" s="1"/>
  <c r="R27" i="1"/>
  <c r="A47" i="1"/>
  <c r="T88" i="1"/>
  <c r="O88" i="1" s="1"/>
  <c r="S88" i="1"/>
  <c r="A46" i="1"/>
  <c r="T87" i="1"/>
  <c r="O87" i="1" s="1"/>
  <c r="S87" i="1"/>
  <c r="A45" i="1"/>
  <c r="T86" i="1"/>
  <c r="O86" i="1" s="1"/>
  <c r="S86" i="1"/>
  <c r="A44" i="1"/>
  <c r="T85" i="1"/>
  <c r="O85" i="1" s="1"/>
  <c r="S85" i="1"/>
  <c r="A43" i="1"/>
  <c r="T84" i="1"/>
  <c r="O84" i="1" s="1"/>
  <c r="S84" i="1"/>
  <c r="A42" i="1"/>
  <c r="T26" i="1"/>
  <c r="O26" i="1" s="1"/>
  <c r="R26" i="1"/>
  <c r="A41" i="1"/>
  <c r="T83" i="1"/>
  <c r="O83" i="1" s="1"/>
  <c r="S83" i="1"/>
  <c r="A40" i="1"/>
  <c r="T82" i="1"/>
  <c r="O82" i="1" s="1"/>
  <c r="S82" i="1"/>
  <c r="A39" i="1"/>
  <c r="T81" i="1"/>
  <c r="O81" i="1" s="1"/>
  <c r="S81" i="1"/>
  <c r="T80" i="1"/>
  <c r="O80" i="1" s="1"/>
  <c r="S80" i="1"/>
  <c r="T79" i="1"/>
  <c r="O79" i="1" s="1"/>
  <c r="S79" i="1"/>
  <c r="A36" i="1"/>
  <c r="T25" i="1"/>
  <c r="O25" i="1" s="1"/>
  <c r="R25" i="1"/>
  <c r="A35" i="1"/>
  <c r="T78" i="1"/>
  <c r="O78" i="1" s="1"/>
  <c r="S78" i="1"/>
  <c r="A34" i="1"/>
  <c r="T24" i="1"/>
  <c r="O24" i="1" s="1"/>
  <c r="R24" i="1"/>
  <c r="A33" i="1"/>
  <c r="T77" i="1"/>
  <c r="O77" i="1" s="1"/>
  <c r="S77" i="1"/>
  <c r="A32" i="1"/>
  <c r="T76" i="1"/>
  <c r="O76" i="1" s="1"/>
  <c r="S76" i="1"/>
  <c r="A31" i="1"/>
  <c r="T75" i="1"/>
  <c r="O75" i="1" s="1"/>
  <c r="S75" i="1"/>
  <c r="A30" i="1"/>
  <c r="T74" i="1"/>
  <c r="O74" i="1" s="1"/>
  <c r="S74" i="1"/>
  <c r="A29" i="1"/>
  <c r="T23" i="1"/>
  <c r="S23" i="1" s="1"/>
  <c r="R23" i="1"/>
  <c r="A28" i="1"/>
  <c r="T22" i="1"/>
  <c r="O22" i="1" s="1"/>
  <c r="S22" i="1"/>
  <c r="A27" i="1"/>
  <c r="T21" i="1"/>
  <c r="O21" i="1" s="1"/>
  <c r="S21" i="1"/>
  <c r="A26" i="1"/>
  <c r="T20" i="1"/>
  <c r="R20" i="1" s="1"/>
  <c r="S20" i="1"/>
  <c r="A25" i="1"/>
  <c r="T73" i="1"/>
  <c r="O73" i="1" s="1"/>
  <c r="S73" i="1"/>
  <c r="A24" i="1"/>
  <c r="T72" i="1"/>
  <c r="R72" i="1" s="1"/>
  <c r="S72" i="1"/>
  <c r="A23" i="1"/>
  <c r="T71" i="1"/>
  <c r="O71" i="1" s="1"/>
  <c r="S71" i="1"/>
  <c r="A22" i="1"/>
  <c r="T70" i="1"/>
  <c r="O70" i="1" s="1"/>
  <c r="S70" i="1"/>
  <c r="A21" i="1"/>
  <c r="T19" i="1"/>
  <c r="O19" i="1" s="1"/>
  <c r="R19" i="1"/>
  <c r="A20" i="1"/>
  <c r="T18" i="1"/>
  <c r="S18" i="1" s="1"/>
  <c r="R18" i="1"/>
  <c r="A19" i="1"/>
  <c r="T69" i="1"/>
  <c r="O69" i="1" s="1"/>
  <c r="S69" i="1"/>
  <c r="A18" i="1"/>
  <c r="T17" i="1"/>
  <c r="R17" i="1" s="1"/>
  <c r="S17" i="1"/>
  <c r="A17" i="1"/>
  <c r="T16" i="1"/>
  <c r="O16" i="1" s="1"/>
  <c r="S16" i="1"/>
  <c r="A16" i="1"/>
  <c r="T15" i="1"/>
  <c r="O15" i="1" s="1"/>
  <c r="R15" i="1"/>
  <c r="A15" i="1"/>
  <c r="T14" i="1"/>
  <c r="O14" i="1" s="1"/>
  <c r="R14" i="1"/>
  <c r="A14" i="1"/>
  <c r="T13" i="1"/>
  <c r="S13" i="1" s="1"/>
  <c r="R13" i="1"/>
  <c r="A13" i="1"/>
  <c r="T12" i="1"/>
  <c r="R12" i="1" s="1"/>
  <c r="S12" i="1"/>
  <c r="A12" i="1"/>
  <c r="K11" i="1"/>
  <c r="J11" i="1"/>
  <c r="I11" i="1"/>
  <c r="H11" i="1"/>
  <c r="Y10" i="1"/>
  <c r="X10" i="1"/>
  <c r="W10" i="1"/>
  <c r="V10" i="1"/>
  <c r="U10" i="1"/>
  <c r="N10" i="1"/>
  <c r="M10" i="1"/>
  <c r="L10" i="1"/>
  <c r="K10" i="1"/>
  <c r="J10" i="1"/>
  <c r="I10" i="1"/>
  <c r="H10" i="1"/>
  <c r="C10" i="1"/>
  <c r="R86" i="1" l="1"/>
  <c r="R87" i="1"/>
  <c r="R88" i="1"/>
  <c r="R21" i="1"/>
  <c r="R125" i="1"/>
  <c r="R126" i="1"/>
  <c r="O161" i="1"/>
  <c r="R189" i="1"/>
  <c r="R194" i="1"/>
  <c r="R195" i="1"/>
  <c r="O98" i="1"/>
  <c r="R197" i="1"/>
  <c r="R198" i="1"/>
  <c r="R81" i="1"/>
  <c r="R82" i="1"/>
  <c r="R83" i="1"/>
  <c r="R89" i="1"/>
  <c r="R100" i="1"/>
  <c r="R101" i="1"/>
  <c r="R102" i="1"/>
  <c r="R127" i="1"/>
  <c r="R129" i="1"/>
  <c r="R130" i="1"/>
  <c r="R131" i="1"/>
  <c r="R132" i="1"/>
  <c r="R133" i="1"/>
  <c r="R134" i="1"/>
  <c r="R99" i="1"/>
  <c r="R165" i="1"/>
  <c r="R166" i="1"/>
  <c r="R167" i="1"/>
  <c r="R168" i="1"/>
  <c r="R169" i="1"/>
  <c r="R170" i="1"/>
  <c r="R111" i="1"/>
  <c r="R112" i="1"/>
  <c r="R113" i="1"/>
  <c r="R114" i="1"/>
  <c r="O115" i="1"/>
  <c r="R179" i="1"/>
  <c r="R180" i="1"/>
  <c r="R181" i="1"/>
  <c r="R182" i="1"/>
  <c r="R196" i="1"/>
  <c r="R69" i="1"/>
  <c r="R77" i="1"/>
  <c r="R84" i="1"/>
  <c r="R85" i="1"/>
  <c r="R143" i="1"/>
  <c r="R147" i="1"/>
  <c r="R148" i="1"/>
  <c r="R149" i="1"/>
  <c r="R150" i="1"/>
  <c r="R151" i="1"/>
  <c r="R152" i="1"/>
  <c r="R153" i="1"/>
  <c r="R154" i="1"/>
  <c r="R155" i="1"/>
  <c r="R156" i="1"/>
  <c r="R97" i="1"/>
  <c r="O104" i="1"/>
  <c r="R178" i="1"/>
  <c r="R80" i="1"/>
  <c r="R91" i="1"/>
  <c r="O28" i="1"/>
  <c r="R92" i="1"/>
  <c r="R93" i="1"/>
  <c r="R96" i="1"/>
  <c r="R103" i="1"/>
  <c r="R105" i="1"/>
  <c r="R135" i="1"/>
  <c r="R136" i="1"/>
  <c r="R51" i="1"/>
  <c r="R157" i="1"/>
  <c r="R158" i="1"/>
  <c r="R174" i="1"/>
  <c r="R175" i="1"/>
  <c r="R176" i="1"/>
  <c r="R177" i="1"/>
  <c r="R74" i="1"/>
  <c r="R75" i="1"/>
  <c r="R76" i="1"/>
  <c r="O37" i="1"/>
  <c r="R118" i="1"/>
  <c r="R119" i="1"/>
  <c r="R120" i="1"/>
  <c r="R121" i="1"/>
  <c r="R122" i="1"/>
  <c r="S14" i="1"/>
  <c r="S25" i="1"/>
  <c r="R128" i="1"/>
  <c r="R137" i="1"/>
  <c r="R138" i="1"/>
  <c r="R139" i="1"/>
  <c r="R140" i="1"/>
  <c r="R141" i="1"/>
  <c r="R142" i="1"/>
  <c r="R144" i="1"/>
  <c r="R145" i="1"/>
  <c r="R49" i="1"/>
  <c r="R146" i="1"/>
  <c r="R173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95" i="1"/>
  <c r="R106" i="1"/>
  <c r="R107" i="1"/>
  <c r="R108" i="1"/>
  <c r="R109" i="1"/>
  <c r="R216" i="1"/>
  <c r="R70" i="1"/>
  <c r="R71" i="1"/>
  <c r="O72" i="1"/>
  <c r="R116" i="1"/>
  <c r="R117" i="1"/>
  <c r="O123" i="1"/>
  <c r="O171" i="1"/>
  <c r="R73" i="1"/>
  <c r="R78" i="1"/>
  <c r="R79" i="1"/>
  <c r="R124" i="1"/>
  <c r="R159" i="1"/>
  <c r="R160" i="1"/>
  <c r="R162" i="1"/>
  <c r="R163" i="1"/>
  <c r="R164" i="1"/>
  <c r="R172" i="1"/>
  <c r="R183" i="1"/>
  <c r="R184" i="1"/>
  <c r="R185" i="1"/>
  <c r="R186" i="1"/>
  <c r="R187" i="1"/>
  <c r="R188" i="1"/>
  <c r="R190" i="1"/>
  <c r="R191" i="1"/>
  <c r="R192" i="1"/>
  <c r="R193" i="1"/>
  <c r="S45" i="1"/>
  <c r="O54" i="1"/>
  <c r="S19" i="1"/>
  <c r="S26" i="1"/>
  <c r="O23" i="1"/>
  <c r="O39" i="1"/>
  <c r="S15" i="1"/>
  <c r="S67" i="1"/>
  <c r="O20" i="1"/>
  <c r="O38" i="1"/>
  <c r="R64" i="1"/>
  <c r="O18" i="1"/>
  <c r="O94" i="1"/>
  <c r="S52" i="1"/>
  <c r="O29" i="1"/>
  <c r="R59" i="1"/>
  <c r="O32" i="1"/>
  <c r="S40" i="1"/>
  <c r="O44" i="1"/>
  <c r="O41" i="1"/>
  <c r="R22" i="1"/>
  <c r="S24" i="1"/>
  <c r="O43" i="1"/>
  <c r="O53" i="1"/>
  <c r="O36" i="1"/>
  <c r="O17" i="1"/>
  <c r="O47" i="1"/>
  <c r="O68" i="1"/>
  <c r="S65" i="1"/>
  <c r="O13" i="1"/>
  <c r="O27" i="1"/>
  <c r="O31" i="1"/>
  <c r="R35" i="1"/>
  <c r="O46" i="1"/>
  <c r="O50" i="1"/>
  <c r="R57" i="1"/>
  <c r="O58" i="1"/>
  <c r="S62" i="1"/>
  <c r="O63" i="1"/>
  <c r="R16" i="1"/>
  <c r="O34" i="1"/>
  <c r="O61" i="1"/>
  <c r="O12" i="1"/>
  <c r="O33" i="1"/>
  <c r="O55" i="1"/>
  <c r="O10" i="1" l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10" i="1" s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10" i="1" l="1"/>
  <c r="O221" i="1"/>
  <c r="T10" i="1"/>
</calcChain>
</file>

<file path=xl/sharedStrings.xml><?xml version="1.0" encoding="utf-8"?>
<sst xmlns="http://schemas.openxmlformats.org/spreadsheetml/2006/main" count="1869" uniqueCount="876">
  <si>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</si>
  <si>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</si>
  <si>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</si>
  <si>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</si>
  <si>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</si>
  <si>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</si>
  <si>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</si>
  <si>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</si>
  <si>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</si>
  <si>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</si>
  <si>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</si>
  <si>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</si>
  <si>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</si>
  <si>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</si>
  <si>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</si>
  <si>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</si>
  <si>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</si>
  <si>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</si>
  <si>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</si>
  <si>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</si>
  <si>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</si>
  <si>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</si>
  <si>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</si>
  <si>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</si>
  <si>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</si>
  <si>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</si>
  <si>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</si>
  <si>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</si>
  <si>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</si>
  <si>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</si>
  <si>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</si>
  <si>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</si>
  <si>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</si>
  <si>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</si>
  <si>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</si>
  <si>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</si>
  <si>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</si>
  <si>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</si>
  <si>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</si>
  <si>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</si>
  <si>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</si>
  <si>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</si>
  <si>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</si>
  <si>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</si>
  <si>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</si>
  <si>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</si>
  <si>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</si>
  <si>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</si>
  <si>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</si>
  <si>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</si>
  <si>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</si>
  <si>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</si>
  <si>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</si>
  <si>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</si>
  <si>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</si>
  <si>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</si>
  <si>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</si>
  <si>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</si>
  <si>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</si>
  <si>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</si>
  <si>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</si>
  <si>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</si>
  <si>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</si>
  <si>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</si>
  <si>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</si>
  <si>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</si>
  <si>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</si>
  <si>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</si>
  <si>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</si>
  <si>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</si>
  <si>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</si>
  <si>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</si>
  <si>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</si>
  <si>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</si>
  <si>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</si>
  <si>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</si>
  <si>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</si>
  <si>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</si>
  <si>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</si>
  <si>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</si>
  <si>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</si>
  <si>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</si>
  <si>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</si>
  <si>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</si>
  <si>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</si>
  <si>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</si>
  <si>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</si>
  <si>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</si>
  <si>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</si>
  <si>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</si>
  <si>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</si>
  <si>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</si>
  <si>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</si>
  <si>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</si>
  <si>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</si>
  <si>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</si>
  <si>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</si>
  <si>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</si>
  <si>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</si>
  <si>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</si>
  <si>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</si>
  <si>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</si>
  <si>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</si>
  <si>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</si>
  <si>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</si>
  <si>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</si>
  <si>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</si>
  <si>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</si>
  <si>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</si>
  <si>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</si>
  <si>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</si>
  <si>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</si>
  <si>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</si>
  <si>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</si>
  <si>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</si>
  <si>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</si>
  <si>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</si>
  <si>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</si>
  <si>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</si>
  <si>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</si>
  <si>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</si>
  <si>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</si>
  <si>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</si>
  <si>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</si>
  <si>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</si>
  <si>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</si>
  <si>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</si>
  <si>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</si>
  <si>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</si>
  <si>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</si>
  <si>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</si>
  <si>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</si>
  <si>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</si>
  <si>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</si>
  <si>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</si>
  <si>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</si>
  <si>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</si>
  <si>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</si>
  <si>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</si>
  <si>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</si>
  <si>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</si>
  <si>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</si>
  <si>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</si>
  <si>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</si>
  <si>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</si>
  <si>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</si>
  <si>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</si>
  <si>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</si>
  <si>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</si>
  <si>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</si>
  <si>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</si>
  <si>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</si>
  <si>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</si>
  <si>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</si>
  <si>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</si>
  <si>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</si>
  <si>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</si>
  <si>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</si>
  <si>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</si>
  <si>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</si>
  <si>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</si>
  <si>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</si>
  <si>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</si>
  <si>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</si>
  <si>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</si>
  <si>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</si>
  <si>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</si>
  <si>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</si>
  <si>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</si>
  <si>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</si>
  <si>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</si>
  <si>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</si>
  <si>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</si>
  <si>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</si>
  <si>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</si>
  <si>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</si>
  <si>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</si>
  <si>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</si>
  <si>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</si>
  <si>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</si>
  <si>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</si>
  <si>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</si>
  <si>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</si>
  <si>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</si>
  <si>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</si>
  <si>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</si>
  <si>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</si>
  <si>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</si>
  <si>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</si>
  <si>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</si>
  <si>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</si>
  <si>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</si>
  <si>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</si>
  <si>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</si>
  <si>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</si>
  <si>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</si>
  <si>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</si>
  <si>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</si>
  <si>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</si>
  <si>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</si>
  <si>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</si>
  <si>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</si>
  <si>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</si>
  <si>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</si>
  <si>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</si>
  <si>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</si>
  <si>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</si>
  <si>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</si>
  <si>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</si>
  <si>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</si>
  <si>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</si>
  <si>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</si>
  <si>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</si>
  <si>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</si>
  <si>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</si>
  <si>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</si>
  <si>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</si>
  <si>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</si>
  <si>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</si>
  <si>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</si>
  <si>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</si>
  <si>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</si>
  <si>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</si>
  <si>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</si>
  <si>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</si>
  <si>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</si>
  <si>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</si>
  <si>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</si>
  <si>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</si>
  <si>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</si>
  <si>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</si>
  <si>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</si>
  <si>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</si>
  <si>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</si>
  <si>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</si>
  <si>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</si>
  <si>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</si>
  <si>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</si>
  <si>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</si>
  <si>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</si>
  <si>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</si>
  <si>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</si>
  <si>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</si>
  <si>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</si>
  <si>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</si>
  <si>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</si>
  <si>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</si>
  <si>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</si>
  <si>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</si>
  <si>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</si>
  <si>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</si>
  <si>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</si>
  <si>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</si>
  <si>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</si>
  <si>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</si>
  <si>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</si>
  <si>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</si>
  <si>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</si>
  <si>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</si>
  <si>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</si>
  <si>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</si>
  <si>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</si>
  <si>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</si>
  <si>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</si>
  <si>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</si>
  <si>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</si>
  <si>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</si>
  <si>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</si>
  <si>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</si>
  <si>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</si>
  <si>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</si>
  <si>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</si>
  <si>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</si>
  <si>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</si>
  <si>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</si>
  <si>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</si>
  <si>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</si>
  <si>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</si>
  <si>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</si>
  <si>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</si>
  <si>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</si>
  <si>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</si>
  <si>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</si>
  <si>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</si>
  <si>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</si>
  <si>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</si>
  <si>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</si>
  <si>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</si>
  <si>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</si>
  <si>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</si>
  <si>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</si>
  <si>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</si>
  <si>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</si>
  <si>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</si>
  <si>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</si>
  <si>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</si>
  <si>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</si>
  <si>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</si>
  <si>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</si>
  <si>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</si>
  <si>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</si>
  <si>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</si>
  <si>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</si>
  <si>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</si>
  <si>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</si>
  <si>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</si>
  <si>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</si>
  <si>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</si>
  <si>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</si>
  <si>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</si>
  <si>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</si>
  <si>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</si>
  <si>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</si>
  <si>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</si>
  <si>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</si>
  <si>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</si>
  <si>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</si>
  <si>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</si>
  <si>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</si>
  <si>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</si>
  <si>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</si>
  <si>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</si>
  <si>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</si>
  <si>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</si>
  <si>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</si>
  <si>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</si>
  <si>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</si>
  <si>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</si>
  <si>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</si>
  <si>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</si>
  <si>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</si>
  <si>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</si>
  <si>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</si>
  <si>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</si>
  <si>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</si>
  <si>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</si>
  <si>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</si>
  <si>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</si>
  <si>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</si>
  <si>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</si>
  <si>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</si>
  <si>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</si>
  <si>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</si>
  <si>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</si>
  <si>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</si>
  <si>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</si>
  <si>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</si>
  <si>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</si>
  <si>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</si>
  <si>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</si>
  <si>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</si>
  <si>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</si>
  <si>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</si>
  <si>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</si>
  <si>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</si>
  <si>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</si>
  <si>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</si>
  <si>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</si>
  <si>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</si>
  <si>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</si>
  <si>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</si>
  <si>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</si>
  <si>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</si>
  <si>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</si>
  <si>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</si>
  <si>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</si>
  <si>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</si>
  <si>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</si>
  <si>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</si>
  <si>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</si>
  <si>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</si>
  <si>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</si>
  <si>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</si>
  <si>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</si>
  <si>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</si>
  <si>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</si>
  <si>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</si>
  <si>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</si>
  <si>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</si>
  <si>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</si>
  <si>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</si>
  <si>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</si>
  <si>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</si>
  <si>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</si>
  <si>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</si>
  <si>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</si>
  <si>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</si>
  <si>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</si>
  <si>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</si>
  <si>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</si>
  <si>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</si>
  <si>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</si>
  <si>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</si>
  <si>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</si>
  <si>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</si>
  <si>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</si>
  <si>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</si>
  <si>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</si>
  <si>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</si>
  <si>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</si>
  <si>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</si>
  <si>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</si>
  <si>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</si>
  <si>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</si>
  <si>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</si>
  <si>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</si>
  <si>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</si>
  <si>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</si>
  <si>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</si>
  <si>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</si>
  <si>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</si>
  <si>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</si>
  <si>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</si>
  <si>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</si>
  <si>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</si>
  <si>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</si>
  <si>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</si>
  <si>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</si>
  <si>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</si>
  <si>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</si>
  <si>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</si>
  <si>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</si>
  <si>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</si>
  <si>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</si>
  <si>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</si>
  <si>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</si>
  <si>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</si>
  <si>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</si>
  <si>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</si>
  <si>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</si>
  <si>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</si>
  <si>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</si>
  <si>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</si>
  <si>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</si>
  <si>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</si>
  <si>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</si>
  <si>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</si>
  <si>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</si>
  <si>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</si>
  <si>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</si>
  <si>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</si>
  <si>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</si>
  <si>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</si>
  <si>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</si>
  <si>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</si>
  <si>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</si>
  <si>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</si>
  <si>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</si>
  <si>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</si>
  <si>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</si>
  <si>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</si>
  <si>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</si>
  <si>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</si>
  <si>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</si>
  <si>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</si>
  <si>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</si>
  <si>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</si>
  <si>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</si>
  <si>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</si>
  <si>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</si>
  <si>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</si>
  <si>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</si>
  <si>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</si>
  <si>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</si>
  <si>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</si>
  <si>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</si>
  <si>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</si>
  <si>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</si>
  <si>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</si>
  <si>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</si>
  <si>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</si>
  <si>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</si>
  <si>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</si>
  <si>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</si>
  <si>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</si>
  <si>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</si>
  <si>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</si>
  <si>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</si>
  <si>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</si>
  <si>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</si>
  <si>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</si>
  <si>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</si>
  <si>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</si>
  <si>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</si>
  <si>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</si>
  <si>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</si>
  <si>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</si>
  <si>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</si>
  <si>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</si>
  <si>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</si>
  <si>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</si>
  <si>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</si>
  <si>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</si>
  <si>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</si>
  <si>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</si>
  <si>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</si>
  <si>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</si>
  <si>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</si>
  <si>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</si>
  <si>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</si>
  <si>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</si>
  <si>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</si>
  <si>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</si>
  <si>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</si>
  <si>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</si>
  <si>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</si>
  <si>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</si>
  <si>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</si>
  <si>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</si>
  <si>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</si>
  <si>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</si>
  <si>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</si>
  <si>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</si>
  <si>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</si>
  <si>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</si>
  <si>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</si>
  <si>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</si>
  <si>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</si>
  <si>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</si>
  <si>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</si>
  <si>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</si>
  <si>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</si>
  <si>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</si>
  <si>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</si>
  <si>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</si>
  <si>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</si>
  <si>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</si>
  <si>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</si>
  <si>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</si>
  <si>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</si>
  <si>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</si>
  <si>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</si>
  <si>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</si>
  <si>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</si>
  <si>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</si>
  <si>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</si>
  <si>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</si>
  <si>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</si>
  <si>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</si>
  <si>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</si>
  <si>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</si>
  <si>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</si>
  <si>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</si>
  <si>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</si>
  <si>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</si>
  <si>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</si>
  <si>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</si>
  <si>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</si>
  <si>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</si>
  <si>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</si>
  <si>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</si>
  <si>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</si>
  <si>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</si>
  <si>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</si>
  <si>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</si>
  <si>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</si>
  <si>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</si>
  <si>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</si>
  <si>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</si>
  <si>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</si>
  <si>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</si>
  <si>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</si>
  <si>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</si>
  <si>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</si>
  <si>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</si>
  <si>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</si>
  <si>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</si>
  <si>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</si>
  <si>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</si>
  <si>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</si>
  <si>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</si>
  <si>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</si>
  <si>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</si>
  <si>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</si>
  <si>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</si>
  <si>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</si>
  <si>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</si>
  <si>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</si>
  <si>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</si>
  <si>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</si>
  <si>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</si>
  <si>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</si>
  <si>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</si>
  <si>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</si>
  <si>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</si>
  <si>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</si>
  <si>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</si>
  <si>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</si>
  <si>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</si>
  <si>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</si>
  <si>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</si>
  <si>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</si>
  <si>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</si>
  <si>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</si>
  <si>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</si>
  <si>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</si>
  <si>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</si>
  <si>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</si>
  <si>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</si>
  <si>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</si>
  <si>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</si>
  <si>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</si>
  <si>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</si>
  <si>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</si>
  <si>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</si>
  <si>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</si>
  <si>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</si>
  <si>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</si>
  <si>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</si>
  <si>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</si>
  <si>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</si>
  <si>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</si>
  <si>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</si>
  <si>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</si>
  <si>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</si>
  <si>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</si>
  <si>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</si>
  <si>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</si>
  <si>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</si>
  <si>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</si>
  <si>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</si>
  <si>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</si>
  <si>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</si>
  <si>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</si>
  <si>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</si>
  <si>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</si>
  <si>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</si>
  <si>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</si>
  <si>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</si>
  <si>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</si>
  <si>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</si>
  <si>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</si>
  <si>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</si>
  <si>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</si>
  <si>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</si>
  <si>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</si>
  <si>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</si>
  <si>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</si>
  <si>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</si>
  <si>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</si>
  <si>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</si>
  <si>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</si>
  <si>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</si>
  <si>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</si>
  <si>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</si>
  <si>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</si>
  <si>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</si>
  <si>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</si>
  <si>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</si>
  <si>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</si>
  <si>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</si>
  <si>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</si>
  <si>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</si>
  <si>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</si>
  <si>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</si>
  <si>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</si>
  <si>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</si>
  <si>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</si>
  <si>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</si>
  <si>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</si>
  <si>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</si>
  <si>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</si>
  <si>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</si>
  <si>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</si>
  <si>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</si>
  <si>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</si>
  <si>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</si>
  <si>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</si>
  <si>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</si>
  <si>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</si>
  <si>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</si>
  <si>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</si>
  <si>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</si>
  <si>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</si>
  <si>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</si>
  <si>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</si>
  <si>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</si>
  <si>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</si>
  <si>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</si>
  <si>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</si>
  <si>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</si>
  <si>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</si>
  <si>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</si>
  <si>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</si>
  <si>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</si>
  <si>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</si>
  <si>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</si>
  <si>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</si>
  <si>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</si>
  <si>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</si>
  <si>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</si>
  <si>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</si>
  <si>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</si>
  <si>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</si>
  <si>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</si>
  <si>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</si>
  <si>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</si>
  <si>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</si>
  <si>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</si>
  <si>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</si>
  <si>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</si>
  <si>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</si>
  <si>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</si>
  <si>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</si>
  <si>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</si>
  <si>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</si>
  <si>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</si>
  <si>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</si>
  <si>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</si>
  <si>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</si>
  <si>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</si>
  <si>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</si>
  <si>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</si>
  <si>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</si>
  <si>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</si>
  <si>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</si>
  <si>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</si>
  <si>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</si>
  <si>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</si>
  <si>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</si>
  <si>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</si>
  <si>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</si>
  <si>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</si>
  <si>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</si>
  <si>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</si>
  <si>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</si>
  <si>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</si>
  <si>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</si>
  <si>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</si>
  <si>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</si>
  <si>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</si>
  <si>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</si>
  <si>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</si>
  <si>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</si>
  <si>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</si>
  <si>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</si>
  <si>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</si>
  <si>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</si>
  <si>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</si>
  <si>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</si>
  <si>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</si>
  <si>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</si>
  <si>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</si>
  <si>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</si>
  <si>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</si>
  <si>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</si>
  <si>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</si>
  <si>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Aleschus Jr., James</t>
  </si>
  <si>
    <t>(916) 704-2151</t>
  </si>
  <si>
    <t>jamesaleschus1@hotmail.com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</si>
  <si>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</si>
  <si>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</si>
  <si>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</si>
  <si>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</si>
  <si>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</si>
  <si>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</si>
  <si>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</si>
  <si>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</si>
  <si>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</si>
  <si>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</si>
  <si>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</si>
  <si>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</si>
  <si>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</si>
  <si>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</si>
  <si>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</si>
  <si>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</si>
  <si>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</si>
  <si>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</si>
  <si>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 Cash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</si>
  <si>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</si>
  <si>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</si>
  <si>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</si>
  <si>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</si>
  <si>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</si>
  <si>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</si>
  <si>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</si>
  <si>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</si>
  <si>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</si>
  <si>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</si>
  <si>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</si>
  <si>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</si>
  <si>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</si>
  <si>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</si>
  <si>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</si>
  <si>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</si>
  <si>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</si>
  <si>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</si>
  <si>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</si>
  <si>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</si>
  <si>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Veggie</t>
  </si>
  <si>
    <t>Salami</t>
  </si>
  <si>
    <t>Ham</t>
  </si>
  <si>
    <t>Turkey</t>
  </si>
  <si>
    <t>Combo</t>
  </si>
  <si>
    <t>Kelseyville, CA</t>
  </si>
  <si>
    <t>kaasen@mchsi.com</t>
  </si>
  <si>
    <t>C</t>
  </si>
  <si>
    <t>Aiello, Danny</t>
  </si>
  <si>
    <t>Sebastopol, CA.</t>
  </si>
  <si>
    <t>$</t>
  </si>
  <si>
    <t>Aiello, John</t>
  </si>
  <si>
    <t>CA-7967</t>
  </si>
  <si>
    <t>johnaiello@comcast.net</t>
  </si>
  <si>
    <t>Aiello, Michael</t>
  </si>
  <si>
    <t>CA-8114</t>
  </si>
  <si>
    <t>mike_ilo@yahoo.com</t>
  </si>
  <si>
    <t>Paid w/Jim Sr.</t>
  </si>
  <si>
    <t>Alves, Joe</t>
  </si>
  <si>
    <t>CA-8224</t>
  </si>
  <si>
    <t>kc29ers@yahoo.com</t>
  </si>
  <si>
    <t>Alves, KC</t>
  </si>
  <si>
    <t>CA-8223</t>
  </si>
  <si>
    <t>Bartosh, Jae</t>
  </si>
  <si>
    <t>w/Scott Bartosh</t>
  </si>
  <si>
    <t>w/Jae Bartosh</t>
  </si>
  <si>
    <t>Bedolla, Scott</t>
  </si>
  <si>
    <t>CA-8362</t>
  </si>
  <si>
    <t>bugzdad@comcast.net</t>
  </si>
  <si>
    <t>Bickham, Anita</t>
  </si>
  <si>
    <t>CA-8307</t>
  </si>
  <si>
    <t>anitabickham@yahoo.com</t>
  </si>
  <si>
    <t>Borchardt, Randy</t>
  </si>
  <si>
    <t>CA-6788</t>
  </si>
  <si>
    <t>borchardt@sbcglobal.net</t>
  </si>
  <si>
    <t>Paypal</t>
  </si>
  <si>
    <t>Venmo w/Angie</t>
  </si>
  <si>
    <t>emccds43@yahoo.com</t>
  </si>
  <si>
    <t>Waiting for Info - Visa Stan 4/5/26</t>
  </si>
  <si>
    <t>Cornish, Dave</t>
  </si>
  <si>
    <t>CA-8454</t>
  </si>
  <si>
    <t>cornishd18@yahoo.com</t>
  </si>
  <si>
    <t>Cushman, Kathy</t>
  </si>
  <si>
    <t>CA-5510</t>
  </si>
  <si>
    <t>cushwoman63@aol.com</t>
  </si>
  <si>
    <t>Near Power/Yvonne paid $10 - Reim. 4/18</t>
  </si>
  <si>
    <t>No sandwich</t>
  </si>
  <si>
    <t>Mailing Reg 4/9/26 (Phone)</t>
  </si>
  <si>
    <t>Cancelled - Knee Surgery</t>
  </si>
  <si>
    <t>Give Sandwich Away (Yvonne)</t>
  </si>
  <si>
    <t>1`</t>
  </si>
  <si>
    <t>l</t>
  </si>
  <si>
    <t>Via Text</t>
  </si>
  <si>
    <t>Will pay Tues 4/14/26</t>
  </si>
  <si>
    <t>Email 3/15/26 Can't Maike It</t>
  </si>
  <si>
    <t>Phone 4/16/26</t>
  </si>
  <si>
    <t>Sending in Reg 4/8/26 (Cheryl)</t>
  </si>
  <si>
    <t>Rothbach, Craig</t>
  </si>
  <si>
    <t>Paid w/Rick</t>
  </si>
  <si>
    <t>Paid w/Peggy</t>
  </si>
  <si>
    <t>Soekland, Jared</t>
  </si>
  <si>
    <t>CA-8136</t>
  </si>
  <si>
    <t>jcsoekland@yahoo.com</t>
  </si>
  <si>
    <t>S</t>
  </si>
  <si>
    <t>Sontag, Harold</t>
  </si>
  <si>
    <t>CA-0114</t>
  </si>
  <si>
    <t>No Emal</t>
  </si>
  <si>
    <t>Venmo via Annett 4/8/26</t>
  </si>
  <si>
    <t>Via Phone 3/13/26</t>
  </si>
  <si>
    <t>Bring Check Tues 4/14/26</t>
  </si>
  <si>
    <t>Register Tues. 4/14/26</t>
  </si>
  <si>
    <t>Villalobos, Angelina</t>
  </si>
  <si>
    <t>Oroville, CA</t>
  </si>
  <si>
    <t>CA-7572</t>
  </si>
  <si>
    <t>Venmo w/Lori</t>
  </si>
  <si>
    <t>Refunded - GRNT El Doroado Hills</t>
  </si>
  <si>
    <t>Napa Wine County Open</t>
  </si>
  <si>
    <t>The Moose Lodge</t>
  </si>
  <si>
    <t>Napa CA 94558</t>
  </si>
  <si>
    <t>Roland Hall</t>
  </si>
  <si>
    <t>Yvonne Bowers</t>
  </si>
  <si>
    <t>Michael Rogers</t>
  </si>
  <si>
    <t>707-738-0799</t>
  </si>
  <si>
    <t>707-873-0109</t>
  </si>
  <si>
    <t>510-504-6905</t>
  </si>
  <si>
    <t>roland29@gmail.com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</si>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</sst>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sz val="12"/>
      <color rgb="FF000000"/>
      <name val="Calibri Light"/>
      <family val="2"/>
    </font>
    <font>
      <u/>
      <sz val="12"/>
      <color theme="10"/>
      <name val="Calibri Light"/>
      <family val="2"/>
    </font>
    <font>
      <sz val="12"/>
      <color theme="1"/>
      <name val="Calibri Light"/>
      <family val="2"/>
    </font>
    <font>
      <sz val="12"/>
      <color theme="1"/>
      <name val="Calibri (Body)"/>
    </font>
    <font>
      <b/>
      <sz val="12"/>
      <color theme="1"/>
      <name val="Calibri (Body)"/>
    </font>
    <font>
      <b/>
      <sz val="12"/>
      <color rgb="FF000000"/>
      <name val="Calibri (Body)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72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1" fontId="8" fillId="0" borderId="3" xfId="0" applyNumberFormat="1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27" fillId="0" borderId="3" xfId="0" applyFont="1" applyBorder="1" applyAlignment="1" applyProtection="1">
      <alignment horizontal="center"/>
      <protection locked="0"/>
    </xf>
    <xf numFmtId="49" fontId="27" fillId="0" borderId="3" xfId="0" applyNumberFormat="1" applyFont="1" applyBorder="1" applyProtection="1">
      <protection locked="0"/>
    </xf>
    <xf numFmtId="49" fontId="27" fillId="0" borderId="3" xfId="0" applyNumberFormat="1" applyFont="1" applyBorder="1" applyAlignment="1" applyProtection="1">
      <alignment horizontal="center"/>
      <protection locked="0"/>
    </xf>
    <xf numFmtId="165" fontId="27" fillId="0" borderId="3" xfId="0" applyNumberFormat="1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>
      <protection locked="0"/>
    </xf>
    <xf numFmtId="1" fontId="27" fillId="0" borderId="3" xfId="0" applyNumberFormat="1" applyFont="1" applyBorder="1" applyAlignment="1" applyProtection="1">
      <alignment horizontal="center"/>
      <protection locked="0"/>
    </xf>
    <xf numFmtId="167" fontId="29" fillId="0" borderId="3" xfId="0" applyNumberFormat="1" applyFont="1" applyBorder="1" applyAlignment="1" applyProtection="1">
      <alignment horizontal="center"/>
      <protection locked="0"/>
    </xf>
    <xf numFmtId="164" fontId="29" fillId="0" borderId="3" xfId="0" applyNumberFormat="1" applyFont="1" applyBorder="1" applyAlignment="1">
      <alignment horizontal="center"/>
    </xf>
    <xf numFmtId="167" fontId="29" fillId="0" borderId="3" xfId="0" applyNumberFormat="1" applyFont="1" applyBorder="1" applyAlignment="1">
      <alignment horizontal="center"/>
    </xf>
    <xf numFmtId="1" fontId="27" fillId="0" borderId="3" xfId="0" applyNumberFormat="1" applyFont="1" applyBorder="1" applyAlignment="1">
      <alignment horizontal="center" wrapText="1"/>
    </xf>
    <xf numFmtId="1" fontId="27" fillId="0" borderId="3" xfId="0" applyNumberFormat="1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29" fillId="0" borderId="3" xfId="0" applyFont="1" applyBorder="1" applyAlignment="1">
      <alignment horizontal="center" wrapText="1"/>
    </xf>
    <xf numFmtId="165" fontId="27" fillId="0" borderId="21" xfId="0" applyNumberFormat="1" applyFont="1" applyBorder="1" applyAlignment="1">
      <alignment horizontal="center"/>
    </xf>
    <xf numFmtId="0" fontId="29" fillId="0" borderId="3" xfId="0" applyFont="1" applyBorder="1"/>
    <xf numFmtId="0" fontId="28" fillId="0" borderId="0" xfId="2" applyFont="1" applyFill="1" applyBorder="1" applyAlignment="1" applyProtection="1">
      <protection locked="0"/>
    </xf>
    <xf numFmtId="49" fontId="29" fillId="0" borderId="3" xfId="0" applyNumberFormat="1" applyFont="1" applyBorder="1" applyProtection="1">
      <protection locked="0"/>
    </xf>
    <xf numFmtId="49" fontId="29" fillId="0" borderId="3" xfId="0" applyNumberFormat="1" applyFont="1" applyBorder="1" applyAlignment="1" applyProtection="1">
      <alignment horizontal="center"/>
      <protection locked="0"/>
    </xf>
    <xf numFmtId="165" fontId="29" fillId="0" borderId="3" xfId="0" applyNumberFormat="1" applyFont="1" applyBorder="1" applyAlignment="1">
      <alignment horizontal="center"/>
    </xf>
    <xf numFmtId="0" fontId="28" fillId="0" borderId="21" xfId="2" applyFont="1" applyBorder="1" applyAlignment="1" applyProtection="1">
      <protection locked="0"/>
    </xf>
    <xf numFmtId="1" fontId="29" fillId="0" borderId="3" xfId="0" applyNumberFormat="1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165" fontId="29" fillId="0" borderId="3" xfId="0" applyNumberFormat="1" applyFont="1" applyBorder="1" applyAlignment="1" applyProtection="1">
      <alignment horizontal="center"/>
      <protection locked="0"/>
    </xf>
    <xf numFmtId="165" fontId="27" fillId="0" borderId="7" xfId="0" applyNumberFormat="1" applyFont="1" applyBorder="1" applyAlignment="1" applyProtection="1">
      <alignment horizontal="center"/>
      <protection locked="0"/>
    </xf>
    <xf numFmtId="165" fontId="29" fillId="0" borderId="7" xfId="0" applyNumberFormat="1" applyFont="1" applyBorder="1" applyAlignment="1">
      <alignment horizontal="center"/>
    </xf>
    <xf numFmtId="0" fontId="28" fillId="0" borderId="3" xfId="2" applyFont="1" applyBorder="1" applyAlignment="1" applyProtection="1"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8" fillId="0" borderId="3" xfId="2" applyFont="1" applyFill="1" applyBorder="1" applyAlignment="1" applyProtection="1"/>
    <xf numFmtId="165" fontId="29" fillId="0" borderId="7" xfId="0" applyNumberFormat="1" applyFont="1" applyBorder="1" applyAlignment="1" applyProtection="1">
      <alignment horizontal="center"/>
      <protection locked="0"/>
    </xf>
    <xf numFmtId="0" fontId="28" fillId="0" borderId="3" xfId="2" applyFont="1" applyBorder="1" applyAlignment="1" applyProtection="1"/>
    <xf numFmtId="0" fontId="30" fillId="0" borderId="4" xfId="0" applyFont="1" applyBorder="1"/>
    <xf numFmtId="0" fontId="30" fillId="0" borderId="3" xfId="0" applyFont="1" applyBorder="1" applyAlignment="1">
      <alignment horizontal="center"/>
    </xf>
    <xf numFmtId="0" fontId="31" fillId="0" borderId="5" xfId="0" applyFont="1" applyBorder="1"/>
    <xf numFmtId="0" fontId="30" fillId="0" borderId="0" xfId="0" applyFont="1" applyAlignment="1">
      <alignment horizontal="center"/>
    </xf>
    <xf numFmtId="167" fontId="31" fillId="0" borderId="3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 wrapText="1"/>
    </xf>
    <xf numFmtId="164" fontId="31" fillId="0" borderId="3" xfId="0" applyNumberFormat="1" applyFont="1" applyBorder="1" applyAlignment="1">
      <alignment horizontal="center"/>
    </xf>
    <xf numFmtId="0" fontId="30" fillId="0" borderId="0" xfId="0" applyFont="1"/>
    <xf numFmtId="0" fontId="30" fillId="0" borderId="6" xfId="0" applyFont="1" applyBorder="1" applyAlignment="1">
      <alignment horizontal="center"/>
    </xf>
    <xf numFmtId="1" fontId="31" fillId="0" borderId="3" xfId="0" applyNumberFormat="1" applyFont="1" applyBorder="1" applyAlignment="1">
      <alignment horizontal="center" wrapText="1"/>
    </xf>
    <xf numFmtId="49" fontId="31" fillId="0" borderId="3" xfId="0" applyNumberFormat="1" applyFont="1" applyBorder="1" applyAlignment="1">
      <alignment horizontal="left"/>
    </xf>
    <xf numFmtId="49" fontId="31" fillId="0" borderId="3" xfId="0" applyNumberFormat="1" applyFont="1" applyBorder="1"/>
    <xf numFmtId="49" fontId="31" fillId="0" borderId="3" xfId="0" applyNumberFormat="1" applyFont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0" borderId="3" xfId="0" applyFont="1" applyBorder="1"/>
    <xf numFmtId="0" fontId="31" fillId="0" borderId="3" xfId="0" applyFont="1" applyBorder="1" applyAlignment="1">
      <alignment horizontal="center" wrapText="1"/>
    </xf>
    <xf numFmtId="164" fontId="31" fillId="0" borderId="3" xfId="0" applyNumberFormat="1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64" fontId="32" fillId="0" borderId="3" xfId="0" applyNumberFormat="1" applyFont="1" applyBorder="1" applyAlignment="1">
      <alignment horizontal="center"/>
    </xf>
    <xf numFmtId="1" fontId="32" fillId="0" borderId="7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 wrapText="1"/>
    </xf>
    <xf numFmtId="1" fontId="32" fillId="0" borderId="3" xfId="0" applyNumberFormat="1" applyFont="1" applyBorder="1" applyAlignment="1">
      <alignment horizontal="center"/>
    </xf>
    <xf numFmtId="0" fontId="29" fillId="0" borderId="21" xfId="0" applyFont="1" applyBorder="1"/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27" fillId="0" borderId="0" xfId="0" applyNumberFormat="1" applyFont="1" applyBorder="1" applyProtection="1">
      <protection locked="0"/>
    </xf>
    <xf numFmtId="49" fontId="27" fillId="0" borderId="0" xfId="0" applyNumberFormat="1" applyFont="1" applyBorder="1" applyAlignment="1" applyProtection="1">
      <alignment horizontal="center"/>
      <protection locked="0"/>
    </xf>
    <xf numFmtId="165" fontId="29" fillId="0" borderId="0" xfId="0" applyNumberFormat="1" applyFont="1" applyBorder="1" applyAlignment="1">
      <alignment horizontal="center"/>
    </xf>
    <xf numFmtId="165" fontId="27" fillId="0" borderId="0" xfId="0" applyNumberFormat="1" applyFont="1" applyBorder="1" applyAlignment="1" applyProtection="1">
      <alignment horizontal="center"/>
      <protection locked="0"/>
    </xf>
    <xf numFmtId="165" fontId="29" fillId="0" borderId="0" xfId="0" applyNumberFormat="1" applyFont="1" applyBorder="1" applyAlignment="1" applyProtection="1">
      <alignment horizontal="center"/>
      <protection locked="0"/>
    </xf>
    <xf numFmtId="0" fontId="29" fillId="0" borderId="0" xfId="0" applyFont="1" applyBorder="1" applyProtection="1"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2026%20PrelimReg/2026_04_18_Clean_Prelim_Re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21.xml"/><Relationship Id="rId89" Type="http://schemas.openxmlformats.org/officeDocument/2006/relationships/ctrlProp" Target="../ctrlProps/ctrlProp26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11.xml"/><Relationship Id="rId79" Type="http://schemas.openxmlformats.org/officeDocument/2006/relationships/ctrlProp" Target="../ctrlProps/ctrlProp16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7.xml"/><Relationship Id="rId95" Type="http://schemas.openxmlformats.org/officeDocument/2006/relationships/ctrlProp" Target="../ctrlProps/ctrlProp32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0" Type="http://schemas.openxmlformats.org/officeDocument/2006/relationships/ctrlProp" Target="../ctrlProps/ctrlProp17.xml"/><Relationship Id="rId85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2.xml"/><Relationship Id="rId83" Type="http://schemas.openxmlformats.org/officeDocument/2006/relationships/ctrlProp" Target="../ctrlProps/ctrlProp20.xml"/><Relationship Id="rId88" Type="http://schemas.openxmlformats.org/officeDocument/2006/relationships/ctrlProp" Target="../ctrlProps/ctrlProp25.xml"/><Relationship Id="rId91" Type="http://schemas.openxmlformats.org/officeDocument/2006/relationships/ctrlProp" Target="../ctrlProps/ctrlProp28.xml"/><Relationship Id="rId96" Type="http://schemas.openxmlformats.org/officeDocument/2006/relationships/ctrlProp" Target="../ctrlProps/ctrlProp3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4.vml"/><Relationship Id="rId78" Type="http://schemas.openxmlformats.org/officeDocument/2006/relationships/ctrlProp" Target="../ctrlProps/ctrlProp15.xml"/><Relationship Id="rId81" Type="http://schemas.openxmlformats.org/officeDocument/2006/relationships/ctrlProp" Target="../ctrlProps/ctrlProp18.xml"/><Relationship Id="rId86" Type="http://schemas.openxmlformats.org/officeDocument/2006/relationships/ctrlProp" Target="../ctrlProps/ctrlProp23.xml"/><Relationship Id="rId94" Type="http://schemas.openxmlformats.org/officeDocument/2006/relationships/ctrlProp" Target="../ctrlProps/ctrlProp3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3.xml"/><Relationship Id="rId97" Type="http://schemas.openxmlformats.org/officeDocument/2006/relationships/ctrlProp" Target="../ctrlProps/ctrlProp34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9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4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9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4.xml"/><Relationship Id="rId93" Type="http://schemas.openxmlformats.org/officeDocument/2006/relationships/ctrlProp" Target="../ctrlProps/ctrlProp30.xml"/><Relationship Id="rId98" Type="http://schemas.openxmlformats.org/officeDocument/2006/relationships/ctrlProp" Target="../ctrlProps/ctrlProp3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5"/>
  <sheetViews>
    <sheetView workbookViewId="0">
      <selection activeCell="C3" sqref="C3:G3"/>
    </sheetView>
  </sheetViews>
  <sheetFormatPr defaultRowHeight="1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>
      <c r="A1" s="57" t="s">
        <v>608</v>
      </c>
      <c r="C1" s="149" t="s">
        <v>609</v>
      </c>
      <c r="D1" s="150"/>
      <c r="E1" s="151"/>
      <c r="F1" s="58"/>
      <c r="G1" s="71"/>
      <c r="H1" s="58"/>
    </row>
    <row r="2" spans="1:8" ht="15.75" thickBot="1"/>
    <row r="3" spans="1:8" ht="16.5" thickBot="1">
      <c r="A3" s="59" t="s">
        <v>417</v>
      </c>
      <c r="C3" s="152" t="s">
        <v>865</v>
      </c>
      <c r="D3" s="153"/>
      <c r="E3" s="153"/>
      <c r="F3" s="153"/>
      <c r="G3" s="154"/>
    </row>
    <row r="4" spans="1:8" ht="15.75" thickBot="1"/>
    <row r="5" spans="1:8" ht="16.5" thickBot="1">
      <c r="A5" s="59" t="s">
        <v>610</v>
      </c>
      <c r="C5" s="152" t="s">
        <v>866</v>
      </c>
      <c r="D5" s="153"/>
      <c r="E5" s="153"/>
      <c r="F5" s="153"/>
      <c r="G5" s="154"/>
    </row>
    <row r="6" spans="1:8" ht="15.75" thickBot="1">
      <c r="H6" s="60"/>
    </row>
    <row r="7" spans="1:8" ht="16.5" thickBot="1">
      <c r="A7" s="59" t="s">
        <v>611</v>
      </c>
      <c r="C7" s="152" t="s">
        <v>867</v>
      </c>
      <c r="D7" s="153"/>
      <c r="E7" s="153"/>
      <c r="F7" s="153"/>
      <c r="G7" s="154"/>
    </row>
    <row r="8" spans="1:8" ht="15.75" thickBot="1"/>
    <row r="9" spans="1:8" ht="16.5" thickBot="1">
      <c r="A9" s="59" t="s">
        <v>421</v>
      </c>
      <c r="C9" s="88">
        <v>46130</v>
      </c>
    </row>
    <row r="10" spans="1:8" ht="15.75" thickBot="1"/>
    <row r="11" spans="1:8" ht="16.5" thickBot="1">
      <c r="A11" s="59" t="s">
        <v>612</v>
      </c>
      <c r="C11" s="147" t="s">
        <v>868</v>
      </c>
      <c r="D11" s="148"/>
      <c r="E11" s="147" t="s">
        <v>869</v>
      </c>
      <c r="F11" s="148"/>
      <c r="G11" s="147" t="s">
        <v>870</v>
      </c>
      <c r="H11" s="148"/>
    </row>
    <row r="12" spans="1:8" ht="16.5" thickBot="1">
      <c r="A12" s="59"/>
      <c r="C12" s="40"/>
      <c r="D12" s="40"/>
      <c r="E12" s="40"/>
      <c r="F12" s="40"/>
      <c r="G12" s="40"/>
      <c r="H12" s="40"/>
    </row>
    <row r="13" spans="1:8" ht="16.5" thickBot="1">
      <c r="A13" s="59" t="s">
        <v>428</v>
      </c>
      <c r="C13" s="147" t="s">
        <v>871</v>
      </c>
      <c r="D13" s="148"/>
      <c r="E13" s="147" t="s">
        <v>872</v>
      </c>
      <c r="F13" s="148"/>
      <c r="G13" s="147" t="s">
        <v>873</v>
      </c>
      <c r="H13" s="148"/>
    </row>
    <row r="14" spans="1:8" ht="16.5" thickBot="1">
      <c r="A14" s="59"/>
      <c r="C14" s="40"/>
      <c r="D14" s="40"/>
      <c r="E14" s="40"/>
      <c r="F14" s="40"/>
      <c r="G14" s="40"/>
      <c r="H14" s="40"/>
    </row>
    <row r="15" spans="1:8" ht="16.5" customHeight="1" thickBot="1">
      <c r="A15" s="59" t="s">
        <v>613</v>
      </c>
      <c r="C15" s="147" t="s">
        <v>874</v>
      </c>
      <c r="D15" s="148"/>
      <c r="E15" s="147" t="s">
        <v>875</v>
      </c>
      <c r="F15" s="148"/>
      <c r="G15" s="147" t="s">
        <v>562</v>
      </c>
      <c r="H15" s="148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5"/>
  <sheetViews>
    <sheetView zoomScale="80" zoomScaleNormal="80" workbookViewId="0">
      <selection activeCell="B25" sqref="B25"/>
    </sheetView>
  </sheetViews>
  <sheetFormatPr defaultRowHeight="1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>
      <c r="A1" s="57" t="s">
        <v>614</v>
      </c>
    </row>
    <row r="2" spans="1:7" ht="19.5" thickBot="1">
      <c r="C2" s="155" t="s">
        <v>609</v>
      </c>
      <c r="D2" s="156"/>
      <c r="E2" s="156"/>
      <c r="F2" s="156"/>
      <c r="G2" s="157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58" t="s">
        <v>865</v>
      </c>
      <c r="C4" s="158"/>
      <c r="D4" s="158"/>
      <c r="E4" s="158"/>
      <c r="F4" s="158"/>
    </row>
    <row r="5" spans="1:7">
      <c r="A5" s="4" t="s">
        <v>616</v>
      </c>
      <c r="B5" s="159" t="s">
        <v>866</v>
      </c>
      <c r="C5" s="159"/>
      <c r="D5" s="159"/>
      <c r="E5" s="159"/>
      <c r="F5" s="159"/>
    </row>
    <row r="6" spans="1:7">
      <c r="A6" s="4" t="s">
        <v>617</v>
      </c>
      <c r="B6" s="159" t="s">
        <v>867</v>
      </c>
      <c r="C6" s="159"/>
      <c r="D6" s="159"/>
      <c r="E6" s="159"/>
      <c r="F6" s="159"/>
    </row>
    <row r="7" spans="1:7">
      <c r="A7" s="4" t="s">
        <v>618</v>
      </c>
      <c r="B7" s="68">
        <v>46130</v>
      </c>
      <c r="C7" s="62"/>
      <c r="D7" s="62"/>
      <c r="E7" s="62"/>
      <c r="F7" s="62"/>
    </row>
    <row r="9" spans="1:7" ht="15.75" thickBot="1">
      <c r="A9" s="4"/>
      <c r="B9" s="63"/>
    </row>
    <row r="10" spans="1:7" ht="15.75" thickBot="1">
      <c r="A10" s="4" t="s">
        <v>619</v>
      </c>
      <c r="B10" s="72">
        <v>3</v>
      </c>
      <c r="C10" s="4" t="s">
        <v>620</v>
      </c>
      <c r="D10" s="72">
        <v>70</v>
      </c>
    </row>
    <row r="11" spans="1:7" ht="15.75" thickBot="1"/>
    <row r="12" spans="1:7" ht="15.75" thickBot="1">
      <c r="A12" s="4" t="s">
        <v>621</v>
      </c>
      <c r="B12" s="72">
        <v>14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0" t="s">
        <v>623</v>
      </c>
      <c r="D15" s="160"/>
      <c r="E15" s="160"/>
      <c r="F15" s="160"/>
    </row>
    <row r="16" spans="1:7" ht="16.5" thickBot="1">
      <c r="A16" s="4" t="s">
        <v>624</v>
      </c>
      <c r="B16" s="4"/>
      <c r="C16" s="80">
        <v>1</v>
      </c>
      <c r="D16" s="80">
        <v>2</v>
      </c>
      <c r="E16" s="80">
        <v>3</v>
      </c>
      <c r="F16" s="80">
        <v>4</v>
      </c>
    </row>
    <row r="17" spans="1:8" ht="15.75" thickBot="1">
      <c r="B17" s="64" t="s">
        <v>625</v>
      </c>
      <c r="C17" s="73">
        <v>1</v>
      </c>
      <c r="D17" s="73">
        <v>2</v>
      </c>
      <c r="E17" s="73">
        <v>2</v>
      </c>
      <c r="F17" s="73">
        <v>2</v>
      </c>
      <c r="H17" s="65" t="s">
        <v>626</v>
      </c>
    </row>
    <row r="18" spans="1:8" ht="15.75" thickBot="1">
      <c r="B18" s="64" t="s">
        <v>620</v>
      </c>
      <c r="C18" s="86">
        <v>10</v>
      </c>
      <c r="D18" s="86">
        <v>10</v>
      </c>
      <c r="E18" s="86">
        <v>20</v>
      </c>
      <c r="F18" s="86">
        <v>50</v>
      </c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87">
        <v>5</v>
      </c>
      <c r="D23" t="s">
        <v>630</v>
      </c>
    </row>
    <row r="24" spans="1:8" ht="15.75" thickBot="1">
      <c r="D24" t="s">
        <v>631</v>
      </c>
    </row>
    <row r="25" spans="1:8" ht="15.75" thickBot="1">
      <c r="A25" s="4" t="s">
        <v>632</v>
      </c>
      <c r="B25" s="72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operator="equal" allowBlank="1" showInputMessage="1" showErrorMessage="1" sqref="C17:F17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25"/>
  <sheetViews>
    <sheetView workbookViewId="0">
      <selection activeCell="D18" sqref="D18"/>
    </sheetView>
  </sheetViews>
  <sheetFormatPr defaultRowHeight="1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>
      <c r="A1" s="57" t="s">
        <v>634</v>
      </c>
    </row>
    <row r="2" spans="1:7" ht="19.5" thickBot="1">
      <c r="C2" s="161" t="s">
        <v>609</v>
      </c>
      <c r="D2" s="162"/>
      <c r="E2" s="162"/>
      <c r="F2" s="162"/>
      <c r="G2" s="163"/>
    </row>
    <row r="3" spans="1:7" ht="18.75">
      <c r="C3" s="61"/>
      <c r="D3" s="61"/>
      <c r="E3" s="61"/>
      <c r="F3" s="61"/>
      <c r="G3" s="61"/>
    </row>
    <row r="4" spans="1:7">
      <c r="A4" s="4" t="s">
        <v>615</v>
      </c>
      <c r="B4" s="158" t="s">
        <v>865</v>
      </c>
      <c r="C4" s="158"/>
      <c r="D4" s="158"/>
      <c r="E4" s="158"/>
      <c r="F4" s="158"/>
    </row>
    <row r="5" spans="1:7">
      <c r="A5" s="4" t="s">
        <v>616</v>
      </c>
      <c r="B5" s="67" t="s">
        <v>866</v>
      </c>
      <c r="C5" s="67"/>
      <c r="D5" s="67"/>
      <c r="E5" s="67"/>
      <c r="F5" s="67"/>
    </row>
    <row r="6" spans="1:7">
      <c r="A6" s="4" t="s">
        <v>617</v>
      </c>
      <c r="B6" s="67" t="s">
        <v>867</v>
      </c>
    </row>
    <row r="7" spans="1:7">
      <c r="A7" s="4" t="s">
        <v>618</v>
      </c>
      <c r="B7" s="68">
        <v>46130</v>
      </c>
      <c r="C7" s="67"/>
      <c r="D7" s="67"/>
      <c r="E7" s="67"/>
      <c r="F7" s="67"/>
    </row>
    <row r="9" spans="1:7" ht="15.75" thickBot="1">
      <c r="A9" s="4"/>
      <c r="B9" s="63"/>
    </row>
    <row r="10" spans="1:7" ht="15.75" thickBot="1">
      <c r="A10" s="4" t="s">
        <v>619</v>
      </c>
      <c r="B10" s="72">
        <v>1</v>
      </c>
      <c r="C10" s="4" t="s">
        <v>620</v>
      </c>
      <c r="D10" s="72">
        <v>30</v>
      </c>
    </row>
    <row r="11" spans="1:7" ht="15.75" thickBot="1">
      <c r="A11" s="4"/>
      <c r="B11" s="63"/>
    </row>
    <row r="12" spans="1:7" ht="15.75" thickBot="1">
      <c r="A12" s="4" t="s">
        <v>635</v>
      </c>
      <c r="B12" s="72">
        <v>8</v>
      </c>
    </row>
    <row r="13" spans="1:7" ht="15.75" thickBot="1"/>
    <row r="14" spans="1:7" ht="15.75" thickBot="1">
      <c r="A14" s="4" t="s">
        <v>622</v>
      </c>
      <c r="B14" s="72">
        <v>1</v>
      </c>
    </row>
    <row r="15" spans="1:7">
      <c r="C15" s="160" t="s">
        <v>636</v>
      </c>
      <c r="D15" s="160"/>
      <c r="E15" s="160"/>
      <c r="F15" s="160"/>
    </row>
    <row r="16" spans="1:7" ht="15.75" thickBot="1">
      <c r="A16" s="4" t="s">
        <v>624</v>
      </c>
      <c r="B16" s="4"/>
      <c r="C16" s="62">
        <v>1</v>
      </c>
      <c r="D16" s="62">
        <v>2</v>
      </c>
      <c r="E16" s="62">
        <v>3</v>
      </c>
      <c r="F16" s="62">
        <v>4</v>
      </c>
    </row>
    <row r="17" spans="1:8" ht="15.75" thickBot="1">
      <c r="B17" s="64" t="s">
        <v>625</v>
      </c>
      <c r="C17" s="73">
        <v>1</v>
      </c>
      <c r="D17" s="73"/>
      <c r="E17" s="73"/>
      <c r="F17" s="73"/>
      <c r="H17" s="65" t="s">
        <v>626</v>
      </c>
    </row>
    <row r="18" spans="1:8" ht="15.75" thickBot="1">
      <c r="B18" s="64" t="s">
        <v>620</v>
      </c>
      <c r="C18" s="73">
        <v>10</v>
      </c>
      <c r="D18" s="73"/>
      <c r="E18" s="73"/>
      <c r="F18" s="73"/>
      <c r="H18" s="65" t="s">
        <v>627</v>
      </c>
    </row>
    <row r="21" spans="1:8">
      <c r="A21" s="66" t="s">
        <v>628</v>
      </c>
    </row>
    <row r="22" spans="1:8" ht="15.75" thickBot="1"/>
    <row r="23" spans="1:8" ht="15.75" thickBot="1">
      <c r="A23" s="4" t="s">
        <v>629</v>
      </c>
      <c r="B23" s="72"/>
      <c r="D23" t="s">
        <v>637</v>
      </c>
    </row>
    <row r="24" spans="1:8" ht="15.75" thickBot="1">
      <c r="D24" t="s">
        <v>638</v>
      </c>
    </row>
    <row r="25" spans="1:8" ht="15.75" thickBot="1">
      <c r="A25" s="4" t="s">
        <v>632</v>
      </c>
      <c r="B25" s="72"/>
      <c r="D25" s="69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>
      <formula1>"10, 20, 50"</formula1>
    </dataValidation>
    <dataValidation type="list" allowBlank="1" showInputMessage="1" showErrorMessage="1" sqref="C17:F17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11"/>
  <sheetViews>
    <sheetView showZeros="0" tabSelected="1" topLeftCell="P1" zoomScale="90" zoomScaleNormal="90" workbookViewId="0">
      <selection activeCell="B55" sqref="B55"/>
    </sheetView>
  </sheetViews>
  <sheetFormatPr defaultRowHeight="15"/>
  <cols>
    <col min="2" max="2" width="11.42578125" customWidth="1"/>
    <col min="3" max="3" width="24.28515625" customWidth="1"/>
    <col min="4" max="4" width="22.140625" customWidth="1"/>
    <col min="5" max="5" width="15.7109375" customWidth="1"/>
    <col min="6" max="6" width="21.140625" customWidth="1"/>
    <col min="7" max="7" width="32" customWidth="1"/>
    <col min="8" max="8" width="9.140625" customWidth="1"/>
    <col min="9" max="11" width="6.5703125" customWidth="1"/>
    <col min="12" max="12" width="8" customWidth="1"/>
    <col min="13" max="13" width="10.1406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6" ht="18.75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6" ht="15.75">
      <c r="A2" s="23"/>
      <c r="B2" s="16"/>
      <c r="C2" s="16"/>
      <c r="D2" s="19"/>
      <c r="E2" s="17"/>
      <c r="F2" s="17"/>
      <c r="G2" s="17"/>
      <c r="H2" s="84" t="s">
        <v>417</v>
      </c>
      <c r="I2" s="84"/>
      <c r="J2" s="16"/>
      <c r="K2" s="164" t="s">
        <v>865</v>
      </c>
      <c r="L2" s="164"/>
      <c r="M2" s="164"/>
      <c r="N2" s="164"/>
      <c r="O2" s="16"/>
      <c r="P2" s="19"/>
      <c r="Q2" s="21"/>
      <c r="R2" s="16"/>
      <c r="S2" s="21"/>
      <c r="T2" s="22"/>
      <c r="U2" s="22"/>
    </row>
    <row r="3" spans="1:26" ht="15.75">
      <c r="A3" s="24" t="s">
        <v>418</v>
      </c>
      <c r="D3" s="16"/>
      <c r="E3" s="17"/>
      <c r="F3" s="17"/>
      <c r="G3" s="17"/>
      <c r="H3" s="84" t="s">
        <v>419</v>
      </c>
      <c r="I3" s="84"/>
      <c r="J3" s="16"/>
      <c r="K3" s="164" t="s">
        <v>866</v>
      </c>
      <c r="L3" s="164"/>
      <c r="M3" s="164"/>
      <c r="N3" s="164"/>
      <c r="O3" s="16"/>
      <c r="P3" s="19"/>
      <c r="Q3" s="21"/>
      <c r="R3" s="16"/>
      <c r="S3" s="21"/>
      <c r="T3" s="22"/>
      <c r="U3" s="22"/>
    </row>
    <row r="4" spans="1:26" ht="15.75">
      <c r="A4" s="23"/>
      <c r="B4" s="16"/>
      <c r="C4" s="16"/>
      <c r="D4" s="16"/>
      <c r="E4" s="17"/>
      <c r="F4" s="17"/>
      <c r="G4" s="17"/>
      <c r="H4" s="84" t="s">
        <v>420</v>
      </c>
      <c r="I4" s="84"/>
      <c r="J4" s="16"/>
      <c r="K4" s="164" t="s">
        <v>867</v>
      </c>
      <c r="L4" s="164"/>
      <c r="M4" s="164"/>
      <c r="N4" s="164"/>
      <c r="O4" s="16"/>
      <c r="P4" s="19"/>
      <c r="Q4" s="21"/>
      <c r="R4" s="16"/>
      <c r="S4" s="21"/>
      <c r="T4" s="22"/>
      <c r="U4" s="22"/>
    </row>
    <row r="5" spans="1:26" ht="15.75">
      <c r="A5" s="23"/>
      <c r="B5" s="16"/>
      <c r="C5" s="16"/>
      <c r="D5" s="16"/>
      <c r="E5" s="17"/>
      <c r="F5" s="17"/>
      <c r="G5" s="17"/>
      <c r="H5" s="84" t="s">
        <v>421</v>
      </c>
      <c r="I5" s="84"/>
      <c r="J5" s="16"/>
      <c r="K5" s="165">
        <v>46130</v>
      </c>
      <c r="L5" s="165"/>
      <c r="M5" s="85"/>
      <c r="N5" s="85"/>
      <c r="O5" s="16"/>
      <c r="P5" s="19"/>
      <c r="Q5" s="21"/>
      <c r="R5" s="16"/>
      <c r="S5" s="21"/>
      <c r="T5" s="22"/>
      <c r="U5" s="22"/>
    </row>
    <row r="6" spans="1:26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6">
      <c r="A7" s="16"/>
      <c r="B7" s="16"/>
      <c r="C7" s="19"/>
      <c r="D7" s="19"/>
      <c r="E7" s="17"/>
      <c r="F7" s="17"/>
      <c r="G7" s="17"/>
      <c r="H7" s="27"/>
      <c r="I7" s="16"/>
      <c r="J7" s="14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6">
      <c r="A8" s="16"/>
      <c r="B8" s="16"/>
      <c r="C8" s="19"/>
      <c r="D8" s="19"/>
      <c r="E8" s="17"/>
      <c r="F8" s="17"/>
      <c r="G8" s="17"/>
      <c r="H8" s="16"/>
      <c r="I8" s="16"/>
      <c r="J8" s="146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6" ht="27" customHeight="1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6" ht="15.75">
      <c r="A10" s="121"/>
      <c r="C10" s="122">
        <f>COUNTIF(B12:B215,"&lt;&gt;" &amp; "")</f>
        <v>57</v>
      </c>
      <c r="D10" s="123"/>
      <c r="E10" s="124"/>
      <c r="F10" s="124"/>
      <c r="G10" s="124"/>
      <c r="H10" s="122">
        <f t="shared" ref="H10:N10" si="0">COUNTIF(H12:H226,"&lt;&gt;" &amp; "")</f>
        <v>41</v>
      </c>
      <c r="I10" s="122">
        <f t="shared" si="0"/>
        <v>30</v>
      </c>
      <c r="J10" s="122">
        <f t="shared" si="0"/>
        <v>37</v>
      </c>
      <c r="K10" s="122">
        <f t="shared" si="0"/>
        <v>19</v>
      </c>
      <c r="L10" s="122">
        <f t="shared" si="0"/>
        <v>13</v>
      </c>
      <c r="M10" s="122">
        <f t="shared" si="0"/>
        <v>4</v>
      </c>
      <c r="N10" s="122">
        <f t="shared" si="0"/>
        <v>9</v>
      </c>
      <c r="O10" s="125">
        <f>SUM(O12:O215)</f>
        <v>730</v>
      </c>
      <c r="P10" s="126"/>
      <c r="Q10" s="127"/>
      <c r="R10" s="128">
        <f>SUM(R12:R226)</f>
        <v>3510</v>
      </c>
      <c r="S10" s="128">
        <f>SUM(S12:S226)</f>
        <v>2850</v>
      </c>
      <c r="T10" s="128">
        <f>SUM(T12:T226)</f>
        <v>6360</v>
      </c>
      <c r="U10" s="122">
        <f>COUNTIF(U12:U226,"&lt;&gt;" &amp; "")</f>
        <v>7</v>
      </c>
      <c r="V10" s="122">
        <f>COUNTIF(V12:V226,"&lt;&gt;" &amp; "")</f>
        <v>1</v>
      </c>
      <c r="W10" s="122">
        <f>COUNTIF(W12:W226,"&lt;&gt;" &amp; "")</f>
        <v>10</v>
      </c>
      <c r="X10" s="122">
        <f>COUNTIF(X12:X226,"&lt;&gt;" &amp; "")</f>
        <v>20</v>
      </c>
      <c r="Y10" s="122">
        <f>COUNTIF(Y12:Y226,"&lt;&gt;" &amp; "")</f>
        <v>19</v>
      </c>
      <c r="Z10" s="129"/>
    </row>
    <row r="11" spans="1:26" ht="31.5">
      <c r="A11" s="130"/>
      <c r="B11" s="131" t="s">
        <v>424</v>
      </c>
      <c r="C11" s="132" t="s">
        <v>425</v>
      </c>
      <c r="D11" s="133" t="s">
        <v>426</v>
      </c>
      <c r="E11" s="134" t="s">
        <v>427</v>
      </c>
      <c r="F11" s="135" t="s">
        <v>428</v>
      </c>
      <c r="G11" s="136" t="s">
        <v>429</v>
      </c>
      <c r="H11" s="137" t="str">
        <f>IF([1]!FMainPool1Type=1,"Equal Pool",IF([1]!FMainPool1Type=2,"!:6 Grad",""))</f>
        <v>Equal Pool</v>
      </c>
      <c r="I11" s="137" t="str">
        <f>IF([1]!FMainPool2type=1,"Equal Pool", IF([1]!FMainPool2type=2,"1:6 Grad",""))</f>
        <v>1:6 Grad</v>
      </c>
      <c r="J11" s="137" t="str">
        <f>IF([1]!FMainPool3Type=1,"Equal Pool",IF([1]!FMainPool3Type=2,"!:6 Grad",""))</f>
        <v>!:6 Grad</v>
      </c>
      <c r="K11" s="137" t="str">
        <f>IF([1]!FMainPool4Type=1,"Equal Pool",IF([1]!FMainPool4Type=2,"!:6 Grad",""))</f>
        <v>!:6 Grad</v>
      </c>
      <c r="L11" s="137" t="s">
        <v>434</v>
      </c>
      <c r="M11" s="137" t="s">
        <v>435</v>
      </c>
      <c r="N11" s="137" t="s">
        <v>436</v>
      </c>
      <c r="O11" s="138" t="s">
        <v>437</v>
      </c>
      <c r="P11" s="139" t="s">
        <v>438</v>
      </c>
      <c r="Q11" s="139" t="s">
        <v>439</v>
      </c>
      <c r="R11" s="140" t="s">
        <v>440</v>
      </c>
      <c r="S11" s="140" t="s">
        <v>441</v>
      </c>
      <c r="T11" s="141" t="s">
        <v>442</v>
      </c>
      <c r="U11" s="142" t="s">
        <v>789</v>
      </c>
      <c r="V11" s="143" t="s">
        <v>790</v>
      </c>
      <c r="W11" s="135" t="s">
        <v>791</v>
      </c>
      <c r="X11" s="137" t="s">
        <v>792</v>
      </c>
      <c r="Y11" s="137" t="s">
        <v>793</v>
      </c>
      <c r="Z11" s="135" t="s">
        <v>744</v>
      </c>
    </row>
    <row r="12" spans="1:26" ht="15.75">
      <c r="A12" s="90">
        <f t="shared" ref="A12:A36" si="1">ROW() - ROW(FRegentiresEneteredHdr)</f>
        <v>1</v>
      </c>
      <c r="B12" s="91">
        <v>1</v>
      </c>
      <c r="C12" s="92" t="s">
        <v>745</v>
      </c>
      <c r="D12" s="92" t="s">
        <v>794</v>
      </c>
      <c r="E12" s="93" t="s">
        <v>746</v>
      </c>
      <c r="F12" s="94">
        <v>7073498792</v>
      </c>
      <c r="G12" s="95" t="s">
        <v>795</v>
      </c>
      <c r="H12" s="96"/>
      <c r="I12" s="91"/>
      <c r="J12" s="91"/>
      <c r="K12" s="91"/>
      <c r="L12" s="91"/>
      <c r="M12" s="91"/>
      <c r="N12" s="91"/>
      <c r="O12" s="97">
        <f>T12*N12</f>
        <v>0</v>
      </c>
      <c r="P12" s="91" t="s">
        <v>796</v>
      </c>
      <c r="Q12" s="91">
        <v>3488</v>
      </c>
      <c r="R12" s="98">
        <f>IF(OR(P12="c",P12="C"),+T12,"")</f>
        <v>70</v>
      </c>
      <c r="S12" s="98" t="str">
        <f>IF(OR(P12="$",N12=1),+T12,"")</f>
        <v/>
      </c>
      <c r="T12" s="99">
        <f>H12*[1]!FMainPool1Fee+I12*[1]!FMainPool2Fee+J12*[1]!FMainPool3Fee+K12*[1]!FMainPool4Fee+B12*[1]!FMainEntryFee</f>
        <v>70</v>
      </c>
      <c r="U12" s="100"/>
      <c r="V12" s="101"/>
      <c r="W12" s="102"/>
      <c r="X12" s="103"/>
      <c r="Y12" s="103">
        <v>1</v>
      </c>
      <c r="Z12" s="104"/>
    </row>
    <row r="13" spans="1:26" ht="15.75">
      <c r="A13" s="90">
        <f t="shared" si="1"/>
        <v>2</v>
      </c>
      <c r="B13" s="91">
        <v>1</v>
      </c>
      <c r="C13" s="92" t="s">
        <v>797</v>
      </c>
      <c r="D13" s="92" t="s">
        <v>798</v>
      </c>
      <c r="E13" s="93" t="s">
        <v>662</v>
      </c>
      <c r="F13" s="94"/>
      <c r="G13" s="95"/>
      <c r="H13" s="96"/>
      <c r="I13" s="91"/>
      <c r="J13" s="91"/>
      <c r="K13" s="91"/>
      <c r="L13" s="91"/>
      <c r="M13" s="91"/>
      <c r="N13" s="91">
        <v>1</v>
      </c>
      <c r="O13" s="97">
        <f>T13*N13</f>
        <v>70</v>
      </c>
      <c r="P13" s="91" t="s">
        <v>799</v>
      </c>
      <c r="Q13" s="91" t="s">
        <v>418</v>
      </c>
      <c r="R13" s="98" t="str">
        <f>IF(OR(P13="c",P13="C"),+T13,"")</f>
        <v/>
      </c>
      <c r="S13" s="98">
        <f>IF(OR(P13="$",N13=1),+T13,"")</f>
        <v>70</v>
      </c>
      <c r="T13" s="99">
        <f>H13*[1]!FMainPool1Fee+I13*[1]!FMainPool2Fee+J13*[1]!FMainPool3Fee+K13*[1]!FMainPool4Fee+B13*[1]!FMainEntryFee</f>
        <v>70</v>
      </c>
      <c r="U13" s="100"/>
      <c r="V13" s="101"/>
      <c r="W13" s="102"/>
      <c r="X13" s="103">
        <v>1</v>
      </c>
      <c r="Y13" s="103"/>
      <c r="Z13" s="104"/>
    </row>
    <row r="14" spans="1:26" ht="15.75">
      <c r="A14" s="90">
        <f t="shared" si="1"/>
        <v>3</v>
      </c>
      <c r="B14" s="91">
        <v>1</v>
      </c>
      <c r="C14" s="92" t="s">
        <v>800</v>
      </c>
      <c r="D14" s="92" t="s">
        <v>798</v>
      </c>
      <c r="E14" s="93" t="s">
        <v>801</v>
      </c>
      <c r="F14" s="94">
        <v>7073328694</v>
      </c>
      <c r="G14" s="95" t="s">
        <v>802</v>
      </c>
      <c r="H14" s="96"/>
      <c r="I14" s="91"/>
      <c r="J14" s="91"/>
      <c r="K14" s="91"/>
      <c r="L14" s="91"/>
      <c r="M14" s="91"/>
      <c r="N14" s="91">
        <v>1</v>
      </c>
      <c r="O14" s="97">
        <f>T14*N14</f>
        <v>70</v>
      </c>
      <c r="P14" s="91" t="s">
        <v>799</v>
      </c>
      <c r="Q14" s="91" t="s">
        <v>418</v>
      </c>
      <c r="R14" s="98" t="str">
        <f>IF(OR(P14="c",P14="C"),+T14,"")</f>
        <v/>
      </c>
      <c r="S14" s="98">
        <f>IF(OR(P14="$",N14=1),+T14,"")</f>
        <v>70</v>
      </c>
      <c r="T14" s="99">
        <f>H14*[1]!FMainPool1Fee+I14*[1]!FMainPool2Fee+J14*[1]!FMainPool3Fee+K14*[1]!FMainPool4Fee+B14*[1]!FMainEntryFee</f>
        <v>70</v>
      </c>
      <c r="U14" s="100"/>
      <c r="V14" s="101"/>
      <c r="W14" s="102"/>
      <c r="X14" s="103">
        <v>1</v>
      </c>
      <c r="Y14" s="103"/>
      <c r="Z14" s="104"/>
    </row>
    <row r="15" spans="1:26" ht="15.75">
      <c r="A15" s="90">
        <f t="shared" si="1"/>
        <v>4</v>
      </c>
      <c r="B15" s="91">
        <v>1</v>
      </c>
      <c r="C15" s="92" t="s">
        <v>803</v>
      </c>
      <c r="D15" s="92" t="s">
        <v>798</v>
      </c>
      <c r="E15" s="93" t="s">
        <v>804</v>
      </c>
      <c r="F15" s="94">
        <v>7076943530</v>
      </c>
      <c r="G15" s="95" t="s">
        <v>805</v>
      </c>
      <c r="H15" s="96"/>
      <c r="I15" s="91"/>
      <c r="J15" s="91"/>
      <c r="K15" s="91"/>
      <c r="L15" s="91"/>
      <c r="M15" s="91"/>
      <c r="N15" s="91">
        <v>1</v>
      </c>
      <c r="O15" s="97">
        <f>T15*N15</f>
        <v>70</v>
      </c>
      <c r="P15" s="91" t="s">
        <v>799</v>
      </c>
      <c r="Q15" s="91" t="s">
        <v>418</v>
      </c>
      <c r="R15" s="98" t="str">
        <f>IF(OR(P15="c",P15="C"),+T15,"")</f>
        <v/>
      </c>
      <c r="S15" s="98">
        <f>IF(OR(P15="$",N15=1),+T15,"")</f>
        <v>70</v>
      </c>
      <c r="T15" s="99">
        <f>H15*[1]!FMainPool1Fee+I15*[1]!FMainPool2Fee+J15*[1]!FMainPool3Fee+K15*[1]!FMainPool4Fee+B15*[1]!FMainEntryFee</f>
        <v>70</v>
      </c>
      <c r="U15" s="100"/>
      <c r="V15" s="101"/>
      <c r="W15" s="102"/>
      <c r="X15" s="103">
        <v>1</v>
      </c>
      <c r="Y15" s="103"/>
      <c r="Z15" s="104"/>
    </row>
    <row r="16" spans="1:26" ht="15.75">
      <c r="A16" s="90">
        <f t="shared" si="1"/>
        <v>5</v>
      </c>
      <c r="B16" s="91">
        <v>1</v>
      </c>
      <c r="C16" s="92" t="s">
        <v>747</v>
      </c>
      <c r="D16" s="92" t="s">
        <v>5</v>
      </c>
      <c r="E16" s="93" t="s">
        <v>6</v>
      </c>
      <c r="F16" s="102" t="s">
        <v>748</v>
      </c>
      <c r="G16" s="105" t="s">
        <v>749</v>
      </c>
      <c r="H16" s="96">
        <v>1</v>
      </c>
      <c r="I16" s="91"/>
      <c r="J16" s="91">
        <v>1</v>
      </c>
      <c r="K16" s="91"/>
      <c r="L16" s="91"/>
      <c r="M16" s="91"/>
      <c r="N16" s="91"/>
      <c r="O16" s="97">
        <f>T16*N16</f>
        <v>0</v>
      </c>
      <c r="P16" s="91" t="s">
        <v>796</v>
      </c>
      <c r="Q16" s="91">
        <v>968</v>
      </c>
      <c r="R16" s="98">
        <f>IF(OR(P16="c",P16="C"),+T16,"")</f>
        <v>100</v>
      </c>
      <c r="S16" s="98" t="str">
        <f>IF(OR(P16="$",N16=1),+T16,"")</f>
        <v/>
      </c>
      <c r="T16" s="99">
        <f>H16*[1]!FMainPool1Fee+I16*[1]!FMainPool2Fee+J16*[1]!FMainPool3Fee+K16*[1]!FMainPool4Fee+B16*[1]!FMainEntryFee</f>
        <v>100</v>
      </c>
      <c r="U16" s="100"/>
      <c r="V16" s="101"/>
      <c r="W16" s="102">
        <v>1</v>
      </c>
      <c r="X16" s="103"/>
      <c r="Y16" s="103"/>
      <c r="Z16" s="104" t="s">
        <v>806</v>
      </c>
    </row>
    <row r="17" spans="1:26" ht="15.75">
      <c r="A17" s="90">
        <f t="shared" si="1"/>
        <v>6</v>
      </c>
      <c r="B17" s="91">
        <v>1</v>
      </c>
      <c r="C17" s="92" t="s">
        <v>750</v>
      </c>
      <c r="D17" s="92" t="s">
        <v>103</v>
      </c>
      <c r="E17" s="93" t="s">
        <v>695</v>
      </c>
      <c r="F17" s="94">
        <v>9169894301</v>
      </c>
      <c r="G17" s="106" t="s">
        <v>696</v>
      </c>
      <c r="H17" s="96">
        <v>1</v>
      </c>
      <c r="I17" s="91"/>
      <c r="J17" s="91">
        <v>1</v>
      </c>
      <c r="K17" s="91"/>
      <c r="L17" s="91"/>
      <c r="M17" s="91"/>
      <c r="N17" s="91"/>
      <c r="O17" s="97">
        <f>T17*N17</f>
        <v>0</v>
      </c>
      <c r="P17" s="91" t="s">
        <v>796</v>
      </c>
      <c r="Q17" s="91">
        <v>968</v>
      </c>
      <c r="R17" s="98">
        <f>IF(OR(P17="c",P17="C"),+T17,"")</f>
        <v>100</v>
      </c>
      <c r="S17" s="98" t="str">
        <f>IF(OR(P17="$",N17=1),+T17,"")</f>
        <v/>
      </c>
      <c r="T17" s="99">
        <f>H17*[1]!FMainPool1Fee+I17*[1]!FMainPool2Fee+J17*[1]!FMainPool3Fee+K17*[1]!FMainPool4Fee+B17*[1]!FMainEntryFee</f>
        <v>100</v>
      </c>
      <c r="U17" s="100"/>
      <c r="V17" s="101"/>
      <c r="W17" s="102"/>
      <c r="X17" s="103"/>
      <c r="Y17" s="103">
        <v>1</v>
      </c>
      <c r="Z17" s="104"/>
    </row>
    <row r="18" spans="1:26" ht="15.75">
      <c r="A18" s="90">
        <f t="shared" si="1"/>
        <v>7</v>
      </c>
      <c r="B18" s="91">
        <v>1</v>
      </c>
      <c r="C18" s="107" t="s">
        <v>807</v>
      </c>
      <c r="D18" s="107" t="s">
        <v>191</v>
      </c>
      <c r="E18" s="108" t="s">
        <v>808</v>
      </c>
      <c r="F18" s="109">
        <v>7076856206</v>
      </c>
      <c r="G18" s="110" t="s">
        <v>809</v>
      </c>
      <c r="H18" s="96"/>
      <c r="I18" s="91"/>
      <c r="J18" s="91"/>
      <c r="K18" s="91"/>
      <c r="L18" s="91"/>
      <c r="M18" s="91"/>
      <c r="N18" s="91"/>
      <c r="O18" s="97">
        <f>T18*N18</f>
        <v>0</v>
      </c>
      <c r="P18" s="91" t="s">
        <v>799</v>
      </c>
      <c r="Q18" s="91"/>
      <c r="R18" s="98" t="str">
        <f>IF(OR(P18="c",P18="C"),+T18,"")</f>
        <v/>
      </c>
      <c r="S18" s="98">
        <f>IF(OR(P18="$",N18=1),+T18,"")</f>
        <v>70</v>
      </c>
      <c r="T18" s="99">
        <f>H18*[1]!FMainPool1Fee+I18*[1]!FMainPool2Fee+J18*[1]!FMainPool3Fee+K18*[1]!FMainPool4Fee+B18*[1]!FMainEntryFee</f>
        <v>70</v>
      </c>
      <c r="U18" s="100"/>
      <c r="V18" s="101"/>
      <c r="W18" s="102"/>
      <c r="X18" s="103"/>
      <c r="Y18" s="103"/>
      <c r="Z18" s="104"/>
    </row>
    <row r="19" spans="1:26" ht="15.75">
      <c r="A19" s="90">
        <f t="shared" si="1"/>
        <v>8</v>
      </c>
      <c r="B19" s="91">
        <v>1</v>
      </c>
      <c r="C19" s="107" t="s">
        <v>810</v>
      </c>
      <c r="D19" s="107" t="s">
        <v>191</v>
      </c>
      <c r="E19" s="108" t="s">
        <v>811</v>
      </c>
      <c r="F19" s="109">
        <v>7076856206</v>
      </c>
      <c r="G19" s="110" t="s">
        <v>809</v>
      </c>
      <c r="H19" s="96"/>
      <c r="I19" s="91"/>
      <c r="J19" s="91"/>
      <c r="K19" s="91"/>
      <c r="L19" s="91"/>
      <c r="M19" s="91"/>
      <c r="N19" s="91"/>
      <c r="O19" s="97">
        <f>T19*N19</f>
        <v>0</v>
      </c>
      <c r="P19" s="91" t="s">
        <v>799</v>
      </c>
      <c r="Q19" s="91"/>
      <c r="R19" s="98" t="str">
        <f>IF(OR(P19="c",P19="C"),+T19,"")</f>
        <v/>
      </c>
      <c r="S19" s="98">
        <f>IF(OR(P19="$",N19=1),+T19,"")</f>
        <v>70</v>
      </c>
      <c r="T19" s="99">
        <f>H19*[1]!FMainPool1Fee+I19*[1]!FMainPool2Fee+J19*[1]!FMainPool3Fee+K19*[1]!FMainPool4Fee+B19*[1]!FMainEntryFee</f>
        <v>70</v>
      </c>
      <c r="U19" s="100"/>
      <c r="V19" s="101"/>
      <c r="W19" s="102"/>
      <c r="X19" s="103"/>
      <c r="Y19" s="103">
        <v>1</v>
      </c>
      <c r="Z19" s="104"/>
    </row>
    <row r="20" spans="1:26" ht="15.75">
      <c r="A20" s="90">
        <f t="shared" si="1"/>
        <v>9</v>
      </c>
      <c r="B20" s="91">
        <v>1</v>
      </c>
      <c r="C20" s="92" t="s">
        <v>812</v>
      </c>
      <c r="D20" s="92" t="s">
        <v>25</v>
      </c>
      <c r="E20" s="93" t="s">
        <v>263</v>
      </c>
      <c r="F20" s="109" t="s">
        <v>539</v>
      </c>
      <c r="G20" s="144" t="s">
        <v>540</v>
      </c>
      <c r="H20" s="96">
        <v>1</v>
      </c>
      <c r="I20" s="91">
        <v>1</v>
      </c>
      <c r="J20" s="91">
        <v>1</v>
      </c>
      <c r="K20" s="91">
        <v>1</v>
      </c>
      <c r="L20" s="91"/>
      <c r="M20" s="91"/>
      <c r="N20" s="91"/>
      <c r="O20" s="97">
        <f>T20*N20</f>
        <v>0</v>
      </c>
      <c r="P20" s="91" t="s">
        <v>796</v>
      </c>
      <c r="Q20" s="91">
        <v>1886</v>
      </c>
      <c r="R20" s="98">
        <f>IF(OR(P20="c",P20="C"),+T20,"")</f>
        <v>160</v>
      </c>
      <c r="S20" s="98" t="str">
        <f>IF(OR(P20="$",N20=1),+T20,"")</f>
        <v/>
      </c>
      <c r="T20" s="99">
        <f>H20*[1]!FMainPool1Fee+I20*[1]!FMainPool2Fee+J20*[1]!FMainPool3Fee+K20*[1]!FMainPool4Fee+B20*[1]!FMainEntryFee</f>
        <v>160</v>
      </c>
      <c r="U20" s="100"/>
      <c r="V20" s="101"/>
      <c r="W20" s="102"/>
      <c r="X20" s="103"/>
      <c r="Y20" s="103">
        <v>1</v>
      </c>
      <c r="Z20" s="104"/>
    </row>
    <row r="21" spans="1:26" ht="15.75">
      <c r="A21" s="90">
        <f t="shared" si="1"/>
        <v>10</v>
      </c>
      <c r="B21" s="91">
        <v>1</v>
      </c>
      <c r="C21" s="92" t="s">
        <v>24</v>
      </c>
      <c r="D21" s="92" t="s">
        <v>25</v>
      </c>
      <c r="E21" s="93" t="s">
        <v>26</v>
      </c>
      <c r="F21" s="94">
        <v>5302775321</v>
      </c>
      <c r="G21" s="95" t="s">
        <v>451</v>
      </c>
      <c r="H21" s="96">
        <v>1</v>
      </c>
      <c r="I21" s="91">
        <v>1</v>
      </c>
      <c r="J21" s="91">
        <v>1</v>
      </c>
      <c r="K21" s="91">
        <v>1</v>
      </c>
      <c r="L21" s="91"/>
      <c r="M21" s="91"/>
      <c r="N21" s="91"/>
      <c r="O21" s="97">
        <f>T21*N21</f>
        <v>0</v>
      </c>
      <c r="P21" s="91" t="s">
        <v>796</v>
      </c>
      <c r="Q21" s="91">
        <v>1886</v>
      </c>
      <c r="R21" s="98">
        <f>IF(OR(P21="c",P21="C"),+T21,"")</f>
        <v>160</v>
      </c>
      <c r="S21" s="98" t="str">
        <f>IF(OR(P21="$",N21=1),+T21,"")</f>
        <v/>
      </c>
      <c r="T21" s="99">
        <f>H21*[1]!FMainPool1Fee+I21*[1]!FMainPool2Fee+J21*[1]!FMainPool3Fee+K21*[1]!FMainPool4Fee+B21*[1]!FMainEntryFee</f>
        <v>160</v>
      </c>
      <c r="U21" s="100"/>
      <c r="V21" s="101"/>
      <c r="W21" s="102"/>
      <c r="X21" s="103"/>
      <c r="Y21" s="103"/>
      <c r="Z21" s="104"/>
    </row>
    <row r="22" spans="1:26" ht="15.75">
      <c r="A22" s="90">
        <f t="shared" si="1"/>
        <v>11</v>
      </c>
      <c r="B22" s="91">
        <v>1</v>
      </c>
      <c r="C22" s="92" t="s">
        <v>815</v>
      </c>
      <c r="D22" s="92" t="s">
        <v>293</v>
      </c>
      <c r="E22" s="93" t="s">
        <v>816</v>
      </c>
      <c r="F22" s="94">
        <v>9252853734</v>
      </c>
      <c r="G22" s="95" t="s">
        <v>817</v>
      </c>
      <c r="H22" s="96">
        <v>1</v>
      </c>
      <c r="I22" s="91"/>
      <c r="J22" s="91">
        <v>1</v>
      </c>
      <c r="K22" s="91"/>
      <c r="L22" s="91"/>
      <c r="M22" s="91"/>
      <c r="N22" s="91"/>
      <c r="O22" s="97">
        <f>T22*N22</f>
        <v>0</v>
      </c>
      <c r="P22" s="91" t="s">
        <v>796</v>
      </c>
      <c r="Q22" s="91">
        <v>109</v>
      </c>
      <c r="R22" s="98">
        <f>IF(OR(P22="c",P22="C"),+T22,"")</f>
        <v>100</v>
      </c>
      <c r="S22" s="98" t="str">
        <f>IF(OR(P22="$",N22=1),+T22,"")</f>
        <v/>
      </c>
      <c r="T22" s="99">
        <f>H22*[1]!FMainPool1Fee+I22*[1]!FMainPool2Fee+J22*[1]!FMainPool3Fee+K22*[1]!FMainPool4Fee+B22*[1]!FMainEntryFee</f>
        <v>100</v>
      </c>
      <c r="U22" s="100"/>
      <c r="V22" s="101"/>
      <c r="W22" s="102"/>
      <c r="X22" s="103"/>
      <c r="Y22" s="103"/>
      <c r="Z22" s="104"/>
    </row>
    <row r="23" spans="1:26" ht="15.75">
      <c r="A23" s="90">
        <f t="shared" si="1"/>
        <v>12</v>
      </c>
      <c r="B23" s="91">
        <v>1</v>
      </c>
      <c r="C23" s="92" t="s">
        <v>818</v>
      </c>
      <c r="D23" s="92" t="s">
        <v>8</v>
      </c>
      <c r="E23" s="93" t="s">
        <v>819</v>
      </c>
      <c r="F23" s="94">
        <v>4085956255</v>
      </c>
      <c r="G23" s="95" t="s">
        <v>820</v>
      </c>
      <c r="H23" s="96">
        <v>0</v>
      </c>
      <c r="I23" s="91"/>
      <c r="J23" s="91"/>
      <c r="K23" s="91"/>
      <c r="L23" s="91"/>
      <c r="M23" s="91"/>
      <c r="N23" s="91"/>
      <c r="O23" s="97">
        <f>T23*N23</f>
        <v>0</v>
      </c>
      <c r="P23" s="91" t="s">
        <v>799</v>
      </c>
      <c r="Q23" s="91"/>
      <c r="R23" s="98" t="str">
        <f>IF(OR(P23="c",P23="C"),+T23,"")</f>
        <v/>
      </c>
      <c r="S23" s="98">
        <f>IF(OR(P23="$",N23=1),+T23,"")</f>
        <v>70</v>
      </c>
      <c r="T23" s="99">
        <f>H23*[1]!FMainPool1Fee+I23*[1]!FMainPool2Fee+J23*[1]!FMainPool3Fee+K23*[1]!FMainPool4Fee+B23*[1]!FMainEntryFee</f>
        <v>70</v>
      </c>
      <c r="U23" s="100"/>
      <c r="V23" s="101"/>
      <c r="W23" s="102"/>
      <c r="X23" s="103"/>
      <c r="Y23" s="103"/>
      <c r="Z23" s="104"/>
    </row>
    <row r="24" spans="1:26" ht="15.75">
      <c r="A24" s="90">
        <f t="shared" si="1"/>
        <v>13</v>
      </c>
      <c r="B24" s="91">
        <v>1</v>
      </c>
      <c r="C24" s="92" t="s">
        <v>821</v>
      </c>
      <c r="D24" s="92" t="s">
        <v>14</v>
      </c>
      <c r="E24" s="93" t="s">
        <v>822</v>
      </c>
      <c r="F24" s="94">
        <v>8312771414</v>
      </c>
      <c r="G24" s="116" t="s">
        <v>823</v>
      </c>
      <c r="H24" s="96">
        <v>1</v>
      </c>
      <c r="I24" s="91"/>
      <c r="J24" s="91"/>
      <c r="K24" s="91"/>
      <c r="L24" s="91">
        <v>1</v>
      </c>
      <c r="M24" s="91"/>
      <c r="N24" s="91"/>
      <c r="O24" s="97">
        <f>T24*N24</f>
        <v>0</v>
      </c>
      <c r="P24" s="91" t="s">
        <v>799</v>
      </c>
      <c r="Q24" s="91"/>
      <c r="R24" s="98" t="str">
        <f>IF(OR(P24="c",P24="C"),+T24,"")</f>
        <v/>
      </c>
      <c r="S24" s="98">
        <f>IF(OR(P24="$",N24=1),+T24,"")</f>
        <v>80</v>
      </c>
      <c r="T24" s="99">
        <f>H24*[1]!FMainPool1Fee+I24*[1]!FMainPool2Fee+J24*[1]!FMainPool3Fee+K24*[1]!FMainPool4Fee+B24*[1]!FMainEntryFee</f>
        <v>80</v>
      </c>
      <c r="U24" s="100"/>
      <c r="V24" s="101"/>
      <c r="W24" s="102"/>
      <c r="X24" s="103"/>
      <c r="Y24" s="103"/>
      <c r="Z24" s="104"/>
    </row>
    <row r="25" spans="1:26" ht="15.75">
      <c r="A25" s="90">
        <f t="shared" si="1"/>
        <v>14</v>
      </c>
      <c r="B25" s="91">
        <v>1</v>
      </c>
      <c r="C25" s="112" t="s">
        <v>643</v>
      </c>
      <c r="D25" s="112" t="s">
        <v>173</v>
      </c>
      <c r="E25" s="117" t="s">
        <v>644</v>
      </c>
      <c r="F25" s="109">
        <v>5305666454</v>
      </c>
      <c r="G25" s="118" t="s">
        <v>698</v>
      </c>
      <c r="H25" s="96">
        <v>1</v>
      </c>
      <c r="I25" s="91">
        <v>1</v>
      </c>
      <c r="J25" s="91">
        <v>1</v>
      </c>
      <c r="K25" s="91">
        <v>1</v>
      </c>
      <c r="L25" s="91">
        <v>1</v>
      </c>
      <c r="M25" s="91"/>
      <c r="N25" s="91"/>
      <c r="O25" s="97">
        <f>T25*N25</f>
        <v>0</v>
      </c>
      <c r="P25" s="91" t="s">
        <v>799</v>
      </c>
      <c r="Q25" s="91"/>
      <c r="R25" s="98" t="str">
        <f>IF(OR(P25="c",P25="C"),+T25,"")</f>
        <v/>
      </c>
      <c r="S25" s="98">
        <f>IF(OR(P25="$",N25=1),+T25,"")</f>
        <v>160</v>
      </c>
      <c r="T25" s="99">
        <f>H25*[1]!FMainPool1Fee+I25*[1]!FMainPool2Fee+J25*[1]!FMainPool3Fee+K25*[1]!FMainPool4Fee+B25*[1]!FMainEntryFee</f>
        <v>160</v>
      </c>
      <c r="U25" s="100"/>
      <c r="V25" s="101"/>
      <c r="W25" s="102"/>
      <c r="X25" s="103">
        <v>1</v>
      </c>
      <c r="Y25" s="103"/>
      <c r="Z25" s="104" t="s">
        <v>813</v>
      </c>
    </row>
    <row r="26" spans="1:26" ht="15.75">
      <c r="A26" s="90">
        <f t="shared" si="1"/>
        <v>15</v>
      </c>
      <c r="B26" s="91">
        <v>1</v>
      </c>
      <c r="C26" s="107" t="s">
        <v>699</v>
      </c>
      <c r="D26" s="107" t="s">
        <v>67</v>
      </c>
      <c r="E26" s="108" t="s">
        <v>700</v>
      </c>
      <c r="F26" s="119">
        <v>7075994896</v>
      </c>
      <c r="G26" s="118" t="s">
        <v>701</v>
      </c>
      <c r="H26" s="96">
        <v>1</v>
      </c>
      <c r="I26" s="91">
        <v>1</v>
      </c>
      <c r="J26" s="91">
        <v>1</v>
      </c>
      <c r="K26" s="91"/>
      <c r="L26" s="91">
        <v>1</v>
      </c>
      <c r="M26" s="91"/>
      <c r="N26" s="91"/>
      <c r="O26" s="97">
        <f>T26*N26</f>
        <v>0</v>
      </c>
      <c r="P26" s="91" t="s">
        <v>799</v>
      </c>
      <c r="Q26" s="91"/>
      <c r="R26" s="98" t="str">
        <f>IF(OR(P26="c",P26="C"),+T26,"")</f>
        <v/>
      </c>
      <c r="S26" s="98">
        <f>IF(OR(P26="$",N26=1),+T26,"")</f>
        <v>110</v>
      </c>
      <c r="T26" s="99">
        <f>H26*[1]!FMainPool1Fee+I26*[1]!FMainPool2Fee+J26*[1]!FMainPool3Fee+K26*[1]!FMainPool4Fee+B26*[1]!FMainEntryFee</f>
        <v>110</v>
      </c>
      <c r="U26" s="100"/>
      <c r="V26" s="101"/>
      <c r="W26" s="102">
        <v>1</v>
      </c>
      <c r="X26" s="103"/>
      <c r="Y26" s="103"/>
      <c r="Z26" s="104" t="s">
        <v>814</v>
      </c>
    </row>
    <row r="27" spans="1:26" ht="15.75">
      <c r="A27" s="90">
        <f t="shared" si="1"/>
        <v>16</v>
      </c>
      <c r="B27" s="91">
        <v>1</v>
      </c>
      <c r="C27" s="92" t="s">
        <v>756</v>
      </c>
      <c r="D27" s="92" t="s">
        <v>757</v>
      </c>
      <c r="E27" s="93" t="s">
        <v>758</v>
      </c>
      <c r="F27" s="114">
        <v>9257272271</v>
      </c>
      <c r="G27" s="120" t="s">
        <v>759</v>
      </c>
      <c r="H27" s="96"/>
      <c r="I27" s="91"/>
      <c r="J27" s="91"/>
      <c r="K27" s="91"/>
      <c r="L27" s="91"/>
      <c r="M27" s="91"/>
      <c r="N27" s="91">
        <v>1</v>
      </c>
      <c r="O27" s="97">
        <f>T27*N27</f>
        <v>70</v>
      </c>
      <c r="P27" s="91" t="s">
        <v>799</v>
      </c>
      <c r="Q27" s="91"/>
      <c r="R27" s="98" t="str">
        <f>IF(OR(P27="c",P27="C"),+T27,"")</f>
        <v/>
      </c>
      <c r="S27" s="98">
        <f>IF(OR(P27="$",N27=1),+T27,"")</f>
        <v>70</v>
      </c>
      <c r="T27" s="99">
        <f>H27*[1]!FMainPool1Fee+I27*[1]!FMainPool2Fee+J27*[1]!FMainPool3Fee+K27*[1]!FMainPool4Fee+B27*[1]!FMainEntryFee</f>
        <v>70</v>
      </c>
      <c r="U27" s="100"/>
      <c r="V27" s="101"/>
      <c r="W27" s="102"/>
      <c r="X27" s="103"/>
      <c r="Y27" s="103">
        <v>1</v>
      </c>
      <c r="Z27" s="104"/>
    </row>
    <row r="28" spans="1:26" ht="15.75">
      <c r="A28" s="90">
        <f t="shared" si="1"/>
        <v>17</v>
      </c>
      <c r="B28" s="91">
        <v>1</v>
      </c>
      <c r="C28" s="92" t="s">
        <v>63</v>
      </c>
      <c r="D28" s="92" t="s">
        <v>64</v>
      </c>
      <c r="E28" s="93" t="s">
        <v>65</v>
      </c>
      <c r="F28" s="114">
        <v>7074168199</v>
      </c>
      <c r="G28" s="116" t="s">
        <v>826</v>
      </c>
      <c r="H28" s="96">
        <v>1</v>
      </c>
      <c r="I28" s="91">
        <v>1</v>
      </c>
      <c r="J28" s="91">
        <v>0</v>
      </c>
      <c r="K28" s="91"/>
      <c r="L28" s="91"/>
      <c r="M28" s="91"/>
      <c r="N28" s="91"/>
      <c r="O28" s="97">
        <f>T28*N28</f>
        <v>0</v>
      </c>
      <c r="P28" s="91" t="s">
        <v>796</v>
      </c>
      <c r="Q28" s="91">
        <v>227</v>
      </c>
      <c r="R28" s="98">
        <f>IF(OR(P28="c",P28="C"),+T28,"")</f>
        <v>90</v>
      </c>
      <c r="S28" s="98" t="str">
        <f>IF(OR(P28="$",N28=1),+T28,"")</f>
        <v/>
      </c>
      <c r="T28" s="99">
        <f>H28*[1]!FMainPool1Fee+I28*[1]!FMainPool2Fee+J28*[1]!FMainPool3Fee+K28*[1]!FMainPool4Fee+B28*[1]!FMainEntryFee</f>
        <v>90</v>
      </c>
      <c r="U28" s="100"/>
      <c r="V28" s="101"/>
      <c r="W28" s="102"/>
      <c r="X28" s="103">
        <v>1</v>
      </c>
      <c r="Y28" s="103"/>
      <c r="Z28" s="104" t="s">
        <v>768</v>
      </c>
    </row>
    <row r="29" spans="1:26" ht="15.75">
      <c r="A29" s="90">
        <f t="shared" si="1"/>
        <v>18</v>
      </c>
      <c r="B29" s="91">
        <v>1</v>
      </c>
      <c r="C29" s="107" t="s">
        <v>71</v>
      </c>
      <c r="D29" s="107" t="s">
        <v>72</v>
      </c>
      <c r="E29" s="108" t="s">
        <v>73</v>
      </c>
      <c r="F29" s="119">
        <v>9705539123</v>
      </c>
      <c r="G29" s="112" t="s">
        <v>468</v>
      </c>
      <c r="H29" s="96">
        <v>1</v>
      </c>
      <c r="I29" s="91"/>
      <c r="J29" s="91"/>
      <c r="K29" s="91"/>
      <c r="L29" s="91">
        <v>1</v>
      </c>
      <c r="M29" s="91"/>
      <c r="N29" s="91"/>
      <c r="O29" s="97">
        <f>T29*N29</f>
        <v>0</v>
      </c>
      <c r="P29" s="91" t="s">
        <v>796</v>
      </c>
      <c r="Q29" s="91">
        <v>241</v>
      </c>
      <c r="R29" s="98">
        <f>IF(OR(P29="c",P29="C"),+T29,"")</f>
        <v>80</v>
      </c>
      <c r="S29" s="98" t="str">
        <f>IF(OR(P29="$",N29=1),+T29,"")</f>
        <v/>
      </c>
      <c r="T29" s="99">
        <f>H29*[1]!FMainPool1Fee+I29*[1]!FMainPool2Fee+J29*[1]!FMainPool3Fee+K29*[1]!FMainPool4Fee+B29*[1]!FMainEntryFee</f>
        <v>80</v>
      </c>
      <c r="U29" s="100"/>
      <c r="V29" s="101"/>
      <c r="W29" s="102"/>
      <c r="X29" s="103"/>
      <c r="Y29" s="103"/>
      <c r="Z29" s="104"/>
    </row>
    <row r="30" spans="1:26" ht="15.75">
      <c r="A30" s="90">
        <f t="shared" si="1"/>
        <v>19</v>
      </c>
      <c r="B30" s="91">
        <v>1</v>
      </c>
      <c r="C30" s="107" t="s">
        <v>831</v>
      </c>
      <c r="D30" s="107" t="s">
        <v>355</v>
      </c>
      <c r="E30" s="108" t="s">
        <v>832</v>
      </c>
      <c r="F30" s="119">
        <v>4086485063</v>
      </c>
      <c r="G30" s="116" t="s">
        <v>833</v>
      </c>
      <c r="H30" s="96">
        <v>1</v>
      </c>
      <c r="I30" s="91">
        <v>1</v>
      </c>
      <c r="J30" s="91">
        <v>1</v>
      </c>
      <c r="K30" s="91">
        <v>1</v>
      </c>
      <c r="L30" s="91"/>
      <c r="M30" s="91">
        <v>1</v>
      </c>
      <c r="N30" s="91"/>
      <c r="O30" s="97">
        <f>T30*N30</f>
        <v>0</v>
      </c>
      <c r="P30" s="91" t="s">
        <v>796</v>
      </c>
      <c r="Q30" s="91">
        <v>19</v>
      </c>
      <c r="R30" s="98">
        <v>150</v>
      </c>
      <c r="S30" s="98">
        <v>10</v>
      </c>
      <c r="T30" s="99">
        <f>H30*[1]!FMainPool1Fee+I30*[1]!FMainPool2Fee+J30*[1]!FMainPool3Fee+K30*[1]!FMainPool4Fee+B30*[1]!FMainEntryFee</f>
        <v>160</v>
      </c>
      <c r="U30" s="100"/>
      <c r="V30" s="101"/>
      <c r="W30" s="102"/>
      <c r="X30" s="103"/>
      <c r="Y30" s="103"/>
      <c r="Z30" s="104"/>
    </row>
    <row r="31" spans="1:26" ht="15.75">
      <c r="A31" s="90">
        <f t="shared" si="1"/>
        <v>20</v>
      </c>
      <c r="B31" s="91">
        <v>1</v>
      </c>
      <c r="C31" s="105" t="s">
        <v>647</v>
      </c>
      <c r="D31" s="105" t="s">
        <v>45</v>
      </c>
      <c r="E31" s="102" t="s">
        <v>648</v>
      </c>
      <c r="F31" s="115">
        <v>7079744711</v>
      </c>
      <c r="G31" s="118" t="s">
        <v>649</v>
      </c>
      <c r="H31" s="96"/>
      <c r="I31" s="91"/>
      <c r="J31" s="91"/>
      <c r="K31" s="91"/>
      <c r="L31" s="91"/>
      <c r="M31" s="91"/>
      <c r="N31" s="91"/>
      <c r="O31" s="97">
        <f>T31*N31</f>
        <v>0</v>
      </c>
      <c r="P31" s="91" t="s">
        <v>796</v>
      </c>
      <c r="Q31" s="91">
        <v>1219</v>
      </c>
      <c r="R31" s="98">
        <f>IF(OR(P31="c",P31="C"),+T31,"")</f>
        <v>70</v>
      </c>
      <c r="S31" s="98" t="str">
        <f>IF(OR(P31="$",N31=1),+T31,"")</f>
        <v/>
      </c>
      <c r="T31" s="99">
        <f>H31*[1]!FMainPool1Fee+I31*[1]!FMainPool2Fee+J31*[1]!FMainPool3Fee+K31*[1]!FMainPool4Fee+B31*[1]!FMainEntryFee</f>
        <v>70</v>
      </c>
      <c r="U31" s="100"/>
      <c r="V31" s="101"/>
      <c r="W31" s="102"/>
      <c r="X31" s="103"/>
      <c r="Y31" s="103"/>
      <c r="Z31" s="104"/>
    </row>
    <row r="32" spans="1:26" ht="15.75">
      <c r="A32" s="90">
        <f t="shared" si="1"/>
        <v>21</v>
      </c>
      <c r="B32" s="91">
        <v>1</v>
      </c>
      <c r="C32" s="107" t="s">
        <v>86</v>
      </c>
      <c r="D32" s="107" t="s">
        <v>91</v>
      </c>
      <c r="E32" s="108" t="s">
        <v>87</v>
      </c>
      <c r="F32" s="119">
        <v>7073175740</v>
      </c>
      <c r="G32" s="95" t="s">
        <v>474</v>
      </c>
      <c r="H32" s="96"/>
      <c r="I32" s="91">
        <v>1</v>
      </c>
      <c r="J32" s="91">
        <v>1</v>
      </c>
      <c r="K32" s="91"/>
      <c r="L32" s="91"/>
      <c r="M32" s="91"/>
      <c r="N32" s="91"/>
      <c r="O32" s="97">
        <f>T32*N32</f>
        <v>0</v>
      </c>
      <c r="P32" s="91" t="s">
        <v>799</v>
      </c>
      <c r="Q32" s="91"/>
      <c r="R32" s="98" t="str">
        <f>IF(OR(P32="c",P32="C"),+T32,"")</f>
        <v/>
      </c>
      <c r="S32" s="98">
        <f>IF(OR(P32="$",N32=1),+T32,"")</f>
        <v>100</v>
      </c>
      <c r="T32" s="99">
        <f>H32*[1]!FMainPool1Fee+I32*[1]!FMainPool2Fee+J32*[1]!FMainPool3Fee+K32*[1]!FMainPool4Fee+B32*[1]!FMainEntryFee</f>
        <v>100</v>
      </c>
      <c r="U32" s="100"/>
      <c r="V32" s="101"/>
      <c r="W32" s="102"/>
      <c r="X32" s="103"/>
      <c r="Y32" s="103"/>
      <c r="Z32" s="104"/>
    </row>
    <row r="33" spans="1:26" ht="15.75">
      <c r="A33" s="90">
        <f t="shared" si="1"/>
        <v>22</v>
      </c>
      <c r="B33" s="91">
        <v>1</v>
      </c>
      <c r="C33" s="105" t="s">
        <v>650</v>
      </c>
      <c r="D33" s="105" t="s">
        <v>5</v>
      </c>
      <c r="E33" s="102" t="s">
        <v>651</v>
      </c>
      <c r="F33" s="115">
        <v>2793335535</v>
      </c>
      <c r="G33" s="105"/>
      <c r="H33" s="96">
        <v>1</v>
      </c>
      <c r="I33" s="91">
        <v>1</v>
      </c>
      <c r="J33" s="91">
        <v>1</v>
      </c>
      <c r="K33" s="91">
        <v>1</v>
      </c>
      <c r="L33" s="91">
        <v>1</v>
      </c>
      <c r="M33" s="91"/>
      <c r="N33" s="91"/>
      <c r="O33" s="97">
        <f>T33*N33</f>
        <v>0</v>
      </c>
      <c r="P33" s="91" t="s">
        <v>796</v>
      </c>
      <c r="Q33" s="91">
        <v>1418</v>
      </c>
      <c r="R33" s="98">
        <f>IF(OR(P33="c",P33="C"),+T33,"")</f>
        <v>160</v>
      </c>
      <c r="S33" s="98" t="str">
        <f>IF(OR(P33="$",N33=1),+T33,"")</f>
        <v/>
      </c>
      <c r="T33" s="99">
        <f>H33*[1]!FMainPool1Fee+I33*[1]!FMainPool2Fee+J33*[1]!FMainPool3Fee+K33*[1]!FMainPool4Fee+B33*[1]!FMainEntryFee</f>
        <v>160</v>
      </c>
      <c r="U33" s="100"/>
      <c r="V33" s="101"/>
      <c r="W33" s="102"/>
      <c r="X33" s="103"/>
      <c r="Y33" s="103">
        <v>1</v>
      </c>
      <c r="Z33" s="104" t="s">
        <v>824</v>
      </c>
    </row>
    <row r="34" spans="1:26" ht="15.75">
      <c r="A34" s="90">
        <f t="shared" si="1"/>
        <v>23</v>
      </c>
      <c r="B34" s="91">
        <v>1</v>
      </c>
      <c r="C34" s="92" t="s">
        <v>102</v>
      </c>
      <c r="D34" s="92" t="s">
        <v>103</v>
      </c>
      <c r="E34" s="93" t="s">
        <v>104</v>
      </c>
      <c r="F34" s="169">
        <v>9165213208</v>
      </c>
      <c r="G34" s="112" t="s">
        <v>481</v>
      </c>
      <c r="H34" s="96">
        <v>1</v>
      </c>
      <c r="I34" s="91"/>
      <c r="J34" s="91">
        <v>1</v>
      </c>
      <c r="K34" s="91"/>
      <c r="L34" s="91"/>
      <c r="M34" s="91"/>
      <c r="N34" s="91"/>
      <c r="O34" s="97">
        <f>T34*N34</f>
        <v>0</v>
      </c>
      <c r="P34" s="91" t="s">
        <v>799</v>
      </c>
      <c r="Q34" s="91"/>
      <c r="R34" s="98" t="str">
        <f>IF(OR(P34="c",P34="C"),+T34,"")</f>
        <v/>
      </c>
      <c r="S34" s="98">
        <f>IF(OR(P34="$",N34=1),+T34,"")</f>
        <v>100</v>
      </c>
      <c r="T34" s="99">
        <f>H34*[1]!FMainPool1Fee+I34*[1]!FMainPool2Fee+J34*[1]!FMainPool3Fee+K34*[1]!FMainPool4Fee+B34*[1]!FMainEntryFee</f>
        <v>100</v>
      </c>
      <c r="U34" s="100">
        <v>1</v>
      </c>
      <c r="V34" s="101"/>
      <c r="W34" s="102"/>
      <c r="X34" s="103"/>
      <c r="Y34" s="103"/>
      <c r="Z34" s="104"/>
    </row>
    <row r="35" spans="1:26" ht="15.75">
      <c r="A35" s="90">
        <f t="shared" si="1"/>
        <v>24</v>
      </c>
      <c r="B35" s="91">
        <v>1</v>
      </c>
      <c r="C35" s="107" t="s">
        <v>108</v>
      </c>
      <c r="D35" s="107" t="s">
        <v>72</v>
      </c>
      <c r="E35" s="108" t="s">
        <v>109</v>
      </c>
      <c r="F35" s="115" t="s">
        <v>483</v>
      </c>
      <c r="G35" s="112" t="s">
        <v>484</v>
      </c>
      <c r="H35" s="96">
        <v>1</v>
      </c>
      <c r="I35" s="91">
        <v>1</v>
      </c>
      <c r="J35" s="91">
        <v>1</v>
      </c>
      <c r="K35" s="91">
        <v>1</v>
      </c>
      <c r="L35" s="91"/>
      <c r="M35" s="91"/>
      <c r="N35" s="91"/>
      <c r="O35" s="97">
        <f>T35*N35</f>
        <v>0</v>
      </c>
      <c r="P35" s="91" t="s">
        <v>796</v>
      </c>
      <c r="Q35" s="91">
        <v>2074</v>
      </c>
      <c r="R35" s="98">
        <f>IF(OR(P35="c",P35="C"),+T35,"")</f>
        <v>160</v>
      </c>
      <c r="S35" s="98" t="str">
        <f>IF(OR(P35="$",N35=1),+T35,"")</f>
        <v/>
      </c>
      <c r="T35" s="99">
        <f>H35*[1]!FMainPool1Fee+I35*[1]!FMainPool2Fee+J35*[1]!FMainPool3Fee+K35*[1]!FMainPool4Fee+B35*[1]!FMainEntryFee</f>
        <v>160</v>
      </c>
      <c r="U35" s="100"/>
      <c r="V35" s="101"/>
      <c r="W35" s="102"/>
      <c r="X35" s="103">
        <v>1</v>
      </c>
      <c r="Y35" s="103"/>
      <c r="Z35" s="104" t="s">
        <v>825</v>
      </c>
    </row>
    <row r="36" spans="1:26" ht="15.75">
      <c r="A36" s="90">
        <f t="shared" si="1"/>
        <v>25</v>
      </c>
      <c r="B36" s="91">
        <v>1</v>
      </c>
      <c r="C36" s="107" t="s">
        <v>114</v>
      </c>
      <c r="D36" s="107" t="s">
        <v>72</v>
      </c>
      <c r="E36" s="108" t="s">
        <v>115</v>
      </c>
      <c r="F36" s="119" t="s">
        <v>488</v>
      </c>
      <c r="G36" s="112" t="s">
        <v>468</v>
      </c>
      <c r="H36" s="96">
        <v>1</v>
      </c>
      <c r="I36" s="91">
        <v>1</v>
      </c>
      <c r="J36" s="91">
        <v>1</v>
      </c>
      <c r="K36" s="91">
        <v>1</v>
      </c>
      <c r="L36" s="91"/>
      <c r="M36" s="91"/>
      <c r="N36" s="91"/>
      <c r="O36" s="97">
        <f>T36*N36</f>
        <v>0</v>
      </c>
      <c r="P36" s="91" t="s">
        <v>796</v>
      </c>
      <c r="Q36" s="91">
        <v>2334</v>
      </c>
      <c r="R36" s="98">
        <f>IF(OR(P36="c",P36="C"),+T36,"")</f>
        <v>160</v>
      </c>
      <c r="S36" s="98" t="str">
        <f>IF(OR(P36="$",N36=1),+T36,"")</f>
        <v/>
      </c>
      <c r="T36" s="99">
        <f>H36*[1]!FMainPool1Fee+I36*[1]!FMainPool2Fee+J36*[1]!FMainPool3Fee+K36*[1]!FMainPool4Fee+B36*[1]!FMainEntryFee</f>
        <v>160</v>
      </c>
      <c r="U36" s="100"/>
      <c r="V36" s="101"/>
      <c r="W36" s="102"/>
      <c r="X36" s="103"/>
      <c r="Y36" s="103"/>
      <c r="Z36" s="104"/>
    </row>
    <row r="37" spans="1:26" ht="15.75">
      <c r="A37" s="90">
        <v>22</v>
      </c>
      <c r="B37" s="91">
        <v>1</v>
      </c>
      <c r="C37" s="92" t="s">
        <v>142</v>
      </c>
      <c r="D37" s="107" t="s">
        <v>45</v>
      </c>
      <c r="E37" s="93" t="s">
        <v>143</v>
      </c>
      <c r="F37" s="114" t="s">
        <v>497</v>
      </c>
      <c r="G37" s="112" t="s">
        <v>498</v>
      </c>
      <c r="H37" s="96">
        <v>1</v>
      </c>
      <c r="I37" s="91">
        <v>1</v>
      </c>
      <c r="J37" s="91">
        <v>1</v>
      </c>
      <c r="K37" s="91">
        <v>1</v>
      </c>
      <c r="L37" s="91">
        <v>1</v>
      </c>
      <c r="M37" s="91"/>
      <c r="N37" s="91"/>
      <c r="O37" s="97">
        <f>T37*N37</f>
        <v>0</v>
      </c>
      <c r="P37" s="91" t="s">
        <v>799</v>
      </c>
      <c r="Q37" s="91"/>
      <c r="R37" s="98" t="str">
        <f>IF(OR(P37="c",P37="C"),+T37,"")</f>
        <v/>
      </c>
      <c r="S37" s="98">
        <f>IF(OR(P37="$",N37=1),+T37,"")</f>
        <v>160</v>
      </c>
      <c r="T37" s="99">
        <f>H37*[1]!FMainPool1Fee+I37*[1]!FMainPool2Fee+J37*[1]!FMainPool3Fee+K37*[1]!FMainPool4Fee+B37*[1]!FMainEntryFee</f>
        <v>160</v>
      </c>
      <c r="U37" s="100"/>
      <c r="V37" s="101"/>
      <c r="W37" s="102"/>
      <c r="X37" s="103"/>
      <c r="Y37" s="103"/>
      <c r="Z37" s="104"/>
    </row>
    <row r="38" spans="1:26" ht="15.75">
      <c r="A38" s="90">
        <v>23</v>
      </c>
      <c r="B38" s="91">
        <v>1</v>
      </c>
      <c r="C38" s="112" t="s">
        <v>150</v>
      </c>
      <c r="D38" s="107" t="s">
        <v>151</v>
      </c>
      <c r="E38" s="108" t="s">
        <v>152</v>
      </c>
      <c r="F38" s="119">
        <v>5104613953</v>
      </c>
      <c r="G38" s="95" t="s">
        <v>501</v>
      </c>
      <c r="H38" s="96">
        <v>1</v>
      </c>
      <c r="I38" s="91">
        <v>1</v>
      </c>
      <c r="J38" s="91">
        <v>1</v>
      </c>
      <c r="K38" s="91">
        <v>1</v>
      </c>
      <c r="L38" s="91">
        <v>1</v>
      </c>
      <c r="M38" s="91"/>
      <c r="N38" s="91"/>
      <c r="O38" s="97">
        <f>T38*N38</f>
        <v>0</v>
      </c>
      <c r="P38" s="91" t="s">
        <v>799</v>
      </c>
      <c r="Q38" s="91"/>
      <c r="R38" s="98" t="str">
        <f>IF(OR(P38="c",P38="C"),+T38,"")</f>
        <v/>
      </c>
      <c r="S38" s="98">
        <f>IF(OR(P38="$",N38=1),+T38,"")</f>
        <v>160</v>
      </c>
      <c r="T38" s="99">
        <f>H38*[1]!FMainPool1Fee+I38*[1]!FMainPool2Fee+J38*[1]!FMainPool3Fee+K38*[1]!FMainPool4Fee+B38*[1]!FMainEntryFee</f>
        <v>160</v>
      </c>
      <c r="U38" s="100">
        <v>1</v>
      </c>
      <c r="V38" s="101"/>
      <c r="W38" s="102"/>
      <c r="X38" s="103"/>
      <c r="Y38" s="103"/>
      <c r="Z38" s="104"/>
    </row>
    <row r="39" spans="1:26" ht="15.75">
      <c r="A39" s="90">
        <f t="shared" ref="A39:A71" si="2">ROW() - ROW(FRegentiresEneteredHdr)</f>
        <v>28</v>
      </c>
      <c r="B39" s="91">
        <v>1</v>
      </c>
      <c r="C39" s="92" t="s">
        <v>161</v>
      </c>
      <c r="D39" s="92" t="s">
        <v>208</v>
      </c>
      <c r="E39" s="93" t="s">
        <v>162</v>
      </c>
      <c r="F39" s="114">
        <v>7074223729</v>
      </c>
      <c r="G39" s="112" t="s">
        <v>505</v>
      </c>
      <c r="H39" s="96">
        <v>1</v>
      </c>
      <c r="I39" s="91"/>
      <c r="J39" s="91"/>
      <c r="K39" s="91"/>
      <c r="L39" s="91"/>
      <c r="M39" s="91"/>
      <c r="N39" s="91"/>
      <c r="O39" s="97">
        <f>T39*N39</f>
        <v>0</v>
      </c>
      <c r="P39" s="91" t="s">
        <v>796</v>
      </c>
      <c r="Q39" s="91">
        <v>122</v>
      </c>
      <c r="R39" s="98">
        <f>IF(OR(P39="c",P39="C"),+T39,"")</f>
        <v>80</v>
      </c>
      <c r="S39" s="98" t="str">
        <f>IF(OR(P39="$",N39=1),+T39,"")</f>
        <v/>
      </c>
      <c r="T39" s="99">
        <f>H39*[1]!FMainPool1Fee+I39*[1]!FMainPool2Fee+J39*[1]!FMainPool3Fee+K39*[1]!FMainPool4Fee+B39*[1]!FMainEntryFee</f>
        <v>80</v>
      </c>
      <c r="U39" s="100"/>
      <c r="V39" s="101"/>
      <c r="W39" s="102"/>
      <c r="X39" s="103"/>
      <c r="Y39" s="103"/>
      <c r="Z39" s="104"/>
    </row>
    <row r="40" spans="1:26" ht="15.75">
      <c r="A40" s="90">
        <f t="shared" si="2"/>
        <v>29</v>
      </c>
      <c r="B40" s="91">
        <v>1</v>
      </c>
      <c r="C40" s="92" t="s">
        <v>166</v>
      </c>
      <c r="D40" s="92" t="s">
        <v>167</v>
      </c>
      <c r="E40" s="93" t="s">
        <v>168</v>
      </c>
      <c r="F40" s="114">
        <v>9253604907</v>
      </c>
      <c r="G40" s="171" t="s">
        <v>507</v>
      </c>
      <c r="H40" s="96">
        <v>1</v>
      </c>
      <c r="I40" s="91">
        <v>1</v>
      </c>
      <c r="J40" s="91"/>
      <c r="K40" s="91"/>
      <c r="L40" s="91"/>
      <c r="M40" s="91"/>
      <c r="N40" s="91">
        <v>1</v>
      </c>
      <c r="O40" s="97">
        <f>T40*N40</f>
        <v>90</v>
      </c>
      <c r="P40" s="91" t="s">
        <v>799</v>
      </c>
      <c r="Q40" s="91"/>
      <c r="R40" s="98" t="str">
        <f>IF(OR(P40="c",P40="C"),+T40,"")</f>
        <v/>
      </c>
      <c r="S40" s="98">
        <f>IF(OR(P40="$",N40=1),+T40,"")</f>
        <v>90</v>
      </c>
      <c r="T40" s="99">
        <f>H40*[1]!FMainPool1Fee+I40*[1]!FMainPool2Fee+J40*[1]!FMainPool3Fee+K40*[1]!FMainPool4Fee+B40*[1]!FMainEntryFee</f>
        <v>90</v>
      </c>
      <c r="U40" s="100"/>
      <c r="V40" s="101"/>
      <c r="W40" s="102"/>
      <c r="X40" s="103"/>
      <c r="Y40" s="103"/>
      <c r="Z40" s="104"/>
    </row>
    <row r="41" spans="1:26" ht="15.75">
      <c r="A41" s="90">
        <f t="shared" si="2"/>
        <v>30</v>
      </c>
      <c r="B41" s="91">
        <v>1</v>
      </c>
      <c r="C41" s="92" t="s">
        <v>172</v>
      </c>
      <c r="D41" s="92" t="s">
        <v>173</v>
      </c>
      <c r="E41" s="93" t="s">
        <v>174</v>
      </c>
      <c r="F41" s="114">
        <v>5305180274</v>
      </c>
      <c r="G41" s="112" t="s">
        <v>509</v>
      </c>
      <c r="H41" s="96">
        <v>1</v>
      </c>
      <c r="I41" s="91">
        <v>1</v>
      </c>
      <c r="J41" s="91">
        <v>1</v>
      </c>
      <c r="K41" s="91"/>
      <c r="L41" s="91"/>
      <c r="M41" s="91"/>
      <c r="N41" s="91"/>
      <c r="O41" s="97">
        <f>T41*N41</f>
        <v>0</v>
      </c>
      <c r="P41" s="91" t="s">
        <v>796</v>
      </c>
      <c r="Q41" s="91">
        <v>7457</v>
      </c>
      <c r="R41" s="98">
        <f>IF(OR(P41="c",P41="C"),+T41,"")</f>
        <v>110</v>
      </c>
      <c r="S41" s="98" t="str">
        <f>IF(OR(P41="$",N41=1),+T41,"")</f>
        <v/>
      </c>
      <c r="T41" s="99">
        <f>H41*[1]!FMainPool1Fee+I41*[1]!FMainPool2Fee+J41*[1]!FMainPool3Fee+K41*[1]!FMainPool4Fee+B41*[1]!FMainEntryFee</f>
        <v>110</v>
      </c>
      <c r="U41" s="100"/>
      <c r="V41" s="101"/>
      <c r="W41" s="102"/>
      <c r="X41" s="103"/>
      <c r="Y41" s="103">
        <v>1</v>
      </c>
      <c r="Z41" s="104" t="s">
        <v>751</v>
      </c>
    </row>
    <row r="42" spans="1:26" ht="15.75">
      <c r="A42" s="90">
        <f t="shared" si="2"/>
        <v>31</v>
      </c>
      <c r="B42" s="91">
        <v>1</v>
      </c>
      <c r="C42" s="92" t="s">
        <v>175</v>
      </c>
      <c r="D42" s="92" t="s">
        <v>72</v>
      </c>
      <c r="E42" s="93" t="s">
        <v>176</v>
      </c>
      <c r="F42" s="114">
        <v>7079536818</v>
      </c>
      <c r="G42" s="95" t="s">
        <v>718</v>
      </c>
      <c r="H42" s="96">
        <v>1</v>
      </c>
      <c r="I42" s="91"/>
      <c r="J42" s="91">
        <v>1</v>
      </c>
      <c r="K42" s="91">
        <v>1</v>
      </c>
      <c r="L42" s="91"/>
      <c r="M42" s="91"/>
      <c r="N42" s="91"/>
      <c r="O42" s="97"/>
      <c r="P42" s="91" t="s">
        <v>799</v>
      </c>
      <c r="Q42" s="91"/>
      <c r="R42" s="98" t="str">
        <f>IF(OR(P42="c",P42="C"),+T42,"")</f>
        <v/>
      </c>
      <c r="S42" s="98">
        <f>IF(OR(P42="$",N42=1),+T42,"")</f>
        <v>150</v>
      </c>
      <c r="T42" s="99">
        <f>H42*[1]!FMainPool1Fee+I42*[1]!FMainPool2Fee+J42*[1]!FMainPool3Fee+K42*[1]!FMainPool4Fee+B42*[1]!FMainEntryFee</f>
        <v>150</v>
      </c>
      <c r="U42" s="100"/>
      <c r="V42" s="101"/>
      <c r="W42" s="102"/>
      <c r="X42" s="103"/>
      <c r="Y42" s="103"/>
      <c r="Z42" s="104"/>
    </row>
    <row r="43" spans="1:26" ht="15.75">
      <c r="A43" s="90">
        <f t="shared" si="2"/>
        <v>32</v>
      </c>
      <c r="B43" s="91">
        <v>1</v>
      </c>
      <c r="C43" s="107" t="s">
        <v>196</v>
      </c>
      <c r="D43" s="107" t="s">
        <v>64</v>
      </c>
      <c r="E43" s="108" t="s">
        <v>197</v>
      </c>
      <c r="F43" s="113">
        <v>4084722020</v>
      </c>
      <c r="G43" s="95" t="s">
        <v>518</v>
      </c>
      <c r="H43" s="96">
        <v>1</v>
      </c>
      <c r="I43" s="91">
        <v>1</v>
      </c>
      <c r="J43" s="91">
        <v>1</v>
      </c>
      <c r="K43" s="91">
        <v>1</v>
      </c>
      <c r="L43" s="91"/>
      <c r="M43" s="91"/>
      <c r="N43" s="91"/>
      <c r="O43" s="97">
        <f>T43*N43</f>
        <v>0</v>
      </c>
      <c r="P43" s="91" t="s">
        <v>796</v>
      </c>
      <c r="Q43" s="91">
        <v>5302</v>
      </c>
      <c r="R43" s="98">
        <f>IF(OR(P43="c",P43="C"),+T43,"")</f>
        <v>160</v>
      </c>
      <c r="S43" s="98" t="str">
        <f>IF(OR(P43="$",N43=1),+T43,"")</f>
        <v/>
      </c>
      <c r="T43" s="99">
        <f>H43*[1]!FMainPool1Fee+I43*[1]!FMainPool2Fee+J43*[1]!FMainPool3Fee+K43*[1]!FMainPool4Fee+B43*[1]!FMainEntryFee</f>
        <v>160</v>
      </c>
      <c r="U43" s="100"/>
      <c r="V43" s="101"/>
      <c r="W43" s="102"/>
      <c r="X43" s="103"/>
      <c r="Y43" s="103"/>
      <c r="Z43" s="104"/>
    </row>
    <row r="44" spans="1:26" ht="15.75">
      <c r="A44" s="90">
        <f t="shared" si="2"/>
        <v>33</v>
      </c>
      <c r="B44" s="91">
        <v>1</v>
      </c>
      <c r="C44" s="92" t="s">
        <v>207</v>
      </c>
      <c r="D44" s="92" t="s">
        <v>208</v>
      </c>
      <c r="E44" s="93" t="s">
        <v>209</v>
      </c>
      <c r="F44" s="94">
        <v>9254579513</v>
      </c>
      <c r="G44" s="95" t="s">
        <v>521</v>
      </c>
      <c r="H44" s="96">
        <v>1</v>
      </c>
      <c r="I44" s="91"/>
      <c r="J44" s="91"/>
      <c r="K44" s="91"/>
      <c r="L44" s="91"/>
      <c r="M44" s="91"/>
      <c r="N44" s="91"/>
      <c r="O44" s="97">
        <f>T44*N44</f>
        <v>0</v>
      </c>
      <c r="P44" s="91" t="s">
        <v>796</v>
      </c>
      <c r="Q44" s="91">
        <v>678</v>
      </c>
      <c r="R44" s="98">
        <f>IF(OR(P44="c",P44="C"),+T44,"")</f>
        <v>80</v>
      </c>
      <c r="S44" s="98" t="str">
        <f>IF(OR(P44="$",N44=1),+T44,"")</f>
        <v/>
      </c>
      <c r="T44" s="99">
        <f>H44*[1]!FMainPool1Fee+I44*[1]!FMainPool2Fee+J44*[1]!FMainPool3Fee+K44*[1]!FMainPool4Fee+B44*[1]!FMainEntryFee</f>
        <v>80</v>
      </c>
      <c r="U44" s="100">
        <v>1</v>
      </c>
      <c r="V44" s="101"/>
      <c r="W44" s="102"/>
      <c r="X44" s="103"/>
      <c r="Y44" s="103"/>
      <c r="Z44" s="104"/>
    </row>
    <row r="45" spans="1:26" ht="15.75">
      <c r="A45" s="90">
        <f t="shared" si="2"/>
        <v>34</v>
      </c>
      <c r="B45" s="91">
        <v>1</v>
      </c>
      <c r="C45" s="92" t="s">
        <v>225</v>
      </c>
      <c r="D45" s="92" t="s">
        <v>226</v>
      </c>
      <c r="E45" s="93" t="s">
        <v>227</v>
      </c>
      <c r="F45" s="94">
        <v>5106819675</v>
      </c>
      <c r="G45" s="95" t="s">
        <v>525</v>
      </c>
      <c r="H45" s="96"/>
      <c r="I45" s="91"/>
      <c r="J45" s="91"/>
      <c r="K45" s="91"/>
      <c r="L45" s="91"/>
      <c r="M45" s="91"/>
      <c r="N45" s="91"/>
      <c r="O45" s="97">
        <f>T45*N45</f>
        <v>0</v>
      </c>
      <c r="P45" s="91" t="s">
        <v>799</v>
      </c>
      <c r="Q45" s="91"/>
      <c r="R45" s="98" t="str">
        <f>IF(OR(P45="c",P45="C"),+T45,"")</f>
        <v/>
      </c>
      <c r="S45" s="98">
        <f>IF(OR(P45="$",N45=1),+T45,"")</f>
        <v>70</v>
      </c>
      <c r="T45" s="99">
        <f>H45*[1]!FMainPool1Fee+I45*[1]!FMainPool2Fee+J45*[1]!FMainPool3Fee+K45*[1]!FMainPool4Fee+B45*[1]!FMainEntryFee</f>
        <v>70</v>
      </c>
      <c r="U45" s="100"/>
      <c r="V45" s="101"/>
      <c r="W45" s="102"/>
      <c r="X45" s="103"/>
      <c r="Y45" s="103"/>
      <c r="Z45" s="104"/>
    </row>
    <row r="46" spans="1:26" ht="15.75">
      <c r="A46" s="90">
        <f t="shared" si="2"/>
        <v>35</v>
      </c>
      <c r="B46" s="91">
        <v>1</v>
      </c>
      <c r="C46" s="92" t="s">
        <v>228</v>
      </c>
      <c r="D46" s="92" t="s">
        <v>229</v>
      </c>
      <c r="E46" s="93" t="s">
        <v>230</v>
      </c>
      <c r="F46" s="94">
        <v>8313200940</v>
      </c>
      <c r="G46" s="171" t="s">
        <v>526</v>
      </c>
      <c r="H46" s="96"/>
      <c r="I46" s="91"/>
      <c r="J46" s="91"/>
      <c r="K46" s="91"/>
      <c r="L46" s="91"/>
      <c r="M46" s="91">
        <v>1</v>
      </c>
      <c r="N46" s="91"/>
      <c r="O46" s="97">
        <f>T46*N46</f>
        <v>0</v>
      </c>
      <c r="P46" s="91" t="s">
        <v>796</v>
      </c>
      <c r="Q46" s="91">
        <v>5112</v>
      </c>
      <c r="R46" s="98">
        <f>IF(OR(P46="c",P46="C"),+T46,"")</f>
        <v>70</v>
      </c>
      <c r="S46" s="98" t="str">
        <f>IF(OR(P46="$",N46=1),+T46,"")</f>
        <v/>
      </c>
      <c r="T46" s="99">
        <f>H46*[1]!FMainPool1Fee+I46*[1]!FMainPool2Fee+J46*[1]!FMainPool3Fee+K46*[1]!FMainPool4Fee+B46*[1]!FMainEntryFee</f>
        <v>70</v>
      </c>
      <c r="U46" s="100"/>
      <c r="V46" s="101"/>
      <c r="W46" s="102"/>
      <c r="X46" s="103"/>
      <c r="Y46" s="103"/>
      <c r="Z46" s="104"/>
    </row>
    <row r="47" spans="1:26" ht="15.75">
      <c r="A47" s="90">
        <f t="shared" si="2"/>
        <v>36</v>
      </c>
      <c r="B47" s="91">
        <v>1</v>
      </c>
      <c r="C47" s="107" t="s">
        <v>234</v>
      </c>
      <c r="D47" s="107" t="s">
        <v>235</v>
      </c>
      <c r="E47" s="108" t="s">
        <v>236</v>
      </c>
      <c r="F47" s="113">
        <v>9252504073</v>
      </c>
      <c r="G47" s="171" t="s">
        <v>528</v>
      </c>
      <c r="H47" s="96">
        <v>1</v>
      </c>
      <c r="I47" s="91">
        <v>1</v>
      </c>
      <c r="J47" s="91">
        <v>1</v>
      </c>
      <c r="K47" s="91"/>
      <c r="L47" s="91"/>
      <c r="M47" s="91"/>
      <c r="N47" s="91"/>
      <c r="O47" s="97">
        <f>T47*N47</f>
        <v>0</v>
      </c>
      <c r="P47" s="91" t="s">
        <v>796</v>
      </c>
      <c r="Q47" s="91">
        <v>2307</v>
      </c>
      <c r="R47" s="98">
        <f>IF(OR(P47="c",P47="C"),+T47,"")</f>
        <v>110</v>
      </c>
      <c r="S47" s="98" t="str">
        <f>IF(OR(P47="$",N47=1),+T47,"")</f>
        <v/>
      </c>
      <c r="T47" s="99">
        <f>H47*[1]!FMainPool1Fee+I47*[1]!FMainPool2Fee+J47*[1]!FMainPool3Fee+K47*[1]!FMainPool4Fee+B47*[1]!FMainEntryFee</f>
        <v>110</v>
      </c>
      <c r="U47" s="100"/>
      <c r="V47" s="101"/>
      <c r="W47" s="102"/>
      <c r="X47" s="103"/>
      <c r="Y47" s="103">
        <v>1</v>
      </c>
      <c r="Z47" s="104"/>
    </row>
    <row r="48" spans="1:26" ht="15.75">
      <c r="A48" s="90">
        <f t="shared" si="2"/>
        <v>37</v>
      </c>
      <c r="B48" s="91">
        <v>1</v>
      </c>
      <c r="C48" s="105" t="s">
        <v>666</v>
      </c>
      <c r="D48" s="105" t="s">
        <v>667</v>
      </c>
      <c r="E48" s="102" t="s">
        <v>668</v>
      </c>
      <c r="F48" s="109">
        <v>8315959920</v>
      </c>
      <c r="G48" s="118" t="s">
        <v>720</v>
      </c>
      <c r="H48" s="96">
        <v>1</v>
      </c>
      <c r="I48" s="91"/>
      <c r="J48" s="91">
        <v>1</v>
      </c>
      <c r="K48" s="91"/>
      <c r="L48" s="91"/>
      <c r="M48" s="91"/>
      <c r="N48" s="91"/>
      <c r="O48" s="97"/>
      <c r="P48" s="91" t="s">
        <v>796</v>
      </c>
      <c r="Q48" s="91">
        <v>16750</v>
      </c>
      <c r="R48" s="98">
        <f>IF(OR(P48="c",P48="C"),+T48,"")</f>
        <v>100</v>
      </c>
      <c r="S48" s="98" t="str">
        <f>IF(OR(P48="$",N48=1),+T48,"")</f>
        <v/>
      </c>
      <c r="T48" s="99">
        <f>H48*[1]!FMainPool1Fee+I48*[1]!FMainPool2Fee+J48*[1]!FMainPool3Fee+K48*[1]!FMainPool4Fee+B48*[1]!FMainEntryFee</f>
        <v>100</v>
      </c>
      <c r="U48" s="100"/>
      <c r="V48" s="101"/>
      <c r="W48" s="102"/>
      <c r="X48" s="103"/>
      <c r="Y48" s="103"/>
      <c r="Z48" s="104"/>
    </row>
    <row r="49" spans="1:26" ht="15.75">
      <c r="A49" s="90">
        <f t="shared" si="2"/>
        <v>38</v>
      </c>
      <c r="B49" s="91">
        <v>1</v>
      </c>
      <c r="C49" s="92" t="s">
        <v>239</v>
      </c>
      <c r="D49" s="92" t="s">
        <v>240</v>
      </c>
      <c r="E49" s="93" t="s">
        <v>241</v>
      </c>
      <c r="F49" s="94">
        <v>7073494494</v>
      </c>
      <c r="G49" s="112" t="s">
        <v>530</v>
      </c>
      <c r="H49" s="96"/>
      <c r="I49" s="91"/>
      <c r="J49" s="91"/>
      <c r="K49" s="91"/>
      <c r="L49" s="91"/>
      <c r="M49" s="91"/>
      <c r="N49" s="91"/>
      <c r="O49" s="97">
        <f>T49*N49</f>
        <v>0</v>
      </c>
      <c r="P49" s="91" t="s">
        <v>796</v>
      </c>
      <c r="Q49" s="91">
        <v>1824</v>
      </c>
      <c r="R49" s="98">
        <f>IF(OR(P49="c",P49="C"),+T49,"")</f>
        <v>70</v>
      </c>
      <c r="S49" s="98" t="str">
        <f>IF(OR(P49="$",N49=1),+T49,"")</f>
        <v/>
      </c>
      <c r="T49" s="99">
        <f>H49*[1]!FMainPool1Fee+I49*[1]!FMainPool2Fee+J49*[1]!FMainPool3Fee+K49*[1]!FMainPool4Fee+B49*[1]!FMainEntryFee</f>
        <v>70</v>
      </c>
      <c r="U49" s="100"/>
      <c r="V49" s="101"/>
      <c r="W49" s="102"/>
      <c r="X49" s="103"/>
      <c r="Y49" s="103"/>
      <c r="Z49" s="104"/>
    </row>
    <row r="50" spans="1:26" ht="15.75">
      <c r="A50" s="90">
        <f t="shared" si="2"/>
        <v>39</v>
      </c>
      <c r="B50" s="91">
        <v>1</v>
      </c>
      <c r="C50" s="105" t="s">
        <v>672</v>
      </c>
      <c r="D50" s="105" t="s">
        <v>350</v>
      </c>
      <c r="E50" s="102" t="s">
        <v>673</v>
      </c>
      <c r="F50" s="109">
        <v>7078892101</v>
      </c>
      <c r="G50" s="105"/>
      <c r="H50" s="96"/>
      <c r="I50" s="91">
        <v>1</v>
      </c>
      <c r="J50" s="91">
        <v>1</v>
      </c>
      <c r="K50" s="91">
        <v>1</v>
      </c>
      <c r="L50" s="91"/>
      <c r="M50" s="91"/>
      <c r="N50" s="91">
        <v>1</v>
      </c>
      <c r="O50" s="97">
        <f>T50*N50</f>
        <v>150</v>
      </c>
      <c r="P50" s="91" t="s">
        <v>799</v>
      </c>
      <c r="Q50" s="91"/>
      <c r="R50" s="98" t="str">
        <f>IF(OR(P50="c",P50="C"),+T50,"")</f>
        <v/>
      </c>
      <c r="S50" s="98">
        <f>IF(OR(P50="$",N50=1),+T50,"")</f>
        <v>150</v>
      </c>
      <c r="T50" s="99">
        <f>H50*[1]!FMainPool1Fee+I50*[1]!FMainPool2Fee+J50*[1]!FMainPool3Fee+K50*[1]!FMainPool4Fee+B50*[1]!FMainEntryFee</f>
        <v>150</v>
      </c>
      <c r="U50" s="100">
        <v>1</v>
      </c>
      <c r="V50" s="101"/>
      <c r="W50" s="102"/>
      <c r="X50" s="103"/>
      <c r="Y50" s="103"/>
      <c r="Z50" s="104"/>
    </row>
    <row r="51" spans="1:26" ht="15.75">
      <c r="A51" s="90">
        <f t="shared" si="2"/>
        <v>40</v>
      </c>
      <c r="B51" s="91">
        <v>1</v>
      </c>
      <c r="C51" s="107" t="s">
        <v>272</v>
      </c>
      <c r="D51" s="107" t="s">
        <v>45</v>
      </c>
      <c r="E51" s="108" t="s">
        <v>769</v>
      </c>
      <c r="F51" s="113">
        <v>7072242345</v>
      </c>
      <c r="G51" s="112" t="s">
        <v>544</v>
      </c>
      <c r="H51" s="96">
        <v>1</v>
      </c>
      <c r="I51" s="91">
        <v>1</v>
      </c>
      <c r="J51" s="91">
        <v>1</v>
      </c>
      <c r="K51" s="91">
        <v>1</v>
      </c>
      <c r="L51" s="91">
        <v>1</v>
      </c>
      <c r="M51" s="91"/>
      <c r="N51" s="91"/>
      <c r="O51" s="97">
        <f>T51*N51</f>
        <v>0</v>
      </c>
      <c r="P51" s="91" t="s">
        <v>796</v>
      </c>
      <c r="Q51" s="91">
        <v>2615</v>
      </c>
      <c r="R51" s="98">
        <f>IF(OR(P51="c",P51="C"),+T51,"")</f>
        <v>160</v>
      </c>
      <c r="S51" s="98" t="str">
        <f>IF(OR(P51="$",N51=1),+T51,"")</f>
        <v/>
      </c>
      <c r="T51" s="99">
        <f>H51*[1]!FMainPool1Fee+I51*[1]!FMainPool2Fee+J51*[1]!FMainPool3Fee+K51*[1]!FMainPool4Fee+B51*[1]!FMainEntryFee</f>
        <v>160</v>
      </c>
      <c r="U51" s="100"/>
      <c r="V51" s="101"/>
      <c r="W51" s="102"/>
      <c r="X51" s="103"/>
      <c r="Y51" s="103">
        <v>1</v>
      </c>
      <c r="Z51" s="104" t="s">
        <v>827</v>
      </c>
    </row>
    <row r="52" spans="1:26" ht="15.75">
      <c r="A52" s="90">
        <f t="shared" si="2"/>
        <v>41</v>
      </c>
      <c r="B52" s="91">
        <v>1</v>
      </c>
      <c r="C52" s="105" t="s">
        <v>674</v>
      </c>
      <c r="D52" s="105" t="s">
        <v>159</v>
      </c>
      <c r="E52" s="102" t="s">
        <v>675</v>
      </c>
      <c r="F52" s="109"/>
      <c r="G52" s="118" t="s">
        <v>676</v>
      </c>
      <c r="H52" s="96">
        <v>1</v>
      </c>
      <c r="I52" s="91"/>
      <c r="J52" s="91">
        <v>1</v>
      </c>
      <c r="K52" s="91"/>
      <c r="L52" s="91">
        <v>1</v>
      </c>
      <c r="M52" s="91"/>
      <c r="N52" s="91">
        <v>1</v>
      </c>
      <c r="O52" s="97">
        <f>T52*N52</f>
        <v>100</v>
      </c>
      <c r="P52" s="91" t="s">
        <v>799</v>
      </c>
      <c r="Q52" s="91"/>
      <c r="R52" s="98" t="str">
        <f>IF(OR(P52="c",P52="C"),+T52,"")</f>
        <v/>
      </c>
      <c r="S52" s="98">
        <f>IF(OR(P52="$",N52=1),+T52,"")</f>
        <v>100</v>
      </c>
      <c r="T52" s="99">
        <f>H52*[1]!FMainPool1Fee+I52*[1]!FMainPool2Fee+J52*[1]!FMainPool3Fee+K52*[1]!FMainPool4Fee+B52*[1]!FMainEntryFee</f>
        <v>100</v>
      </c>
      <c r="U52" s="100"/>
      <c r="V52" s="101"/>
      <c r="W52" s="102"/>
      <c r="X52" s="103"/>
      <c r="Y52" s="103"/>
      <c r="Z52" s="104"/>
    </row>
    <row r="53" spans="1:26" ht="15.75">
      <c r="A53" s="90">
        <f t="shared" si="2"/>
        <v>42</v>
      </c>
      <c r="B53" s="91">
        <v>1</v>
      </c>
      <c r="C53" s="107" t="s">
        <v>283</v>
      </c>
      <c r="D53" s="107" t="s">
        <v>81</v>
      </c>
      <c r="E53" s="108" t="s">
        <v>284</v>
      </c>
      <c r="F53" s="113">
        <v>8315952169</v>
      </c>
      <c r="G53" s="112" t="s">
        <v>468</v>
      </c>
      <c r="H53" s="96">
        <v>1</v>
      </c>
      <c r="I53" s="91"/>
      <c r="J53" s="91">
        <v>1</v>
      </c>
      <c r="K53" s="91"/>
      <c r="L53" s="91"/>
      <c r="M53" s="91">
        <v>1</v>
      </c>
      <c r="N53" s="91"/>
      <c r="O53" s="97">
        <f>T53*N53</f>
        <v>0</v>
      </c>
      <c r="P53" s="91" t="s">
        <v>799</v>
      </c>
      <c r="Q53" s="91"/>
      <c r="R53" s="98" t="str">
        <f>IF(OR(P53="c",P53="C"),+T53,"")</f>
        <v/>
      </c>
      <c r="S53" s="98">
        <f>IF(OR(P53="$",N53=1),+T53,"")</f>
        <v>100</v>
      </c>
      <c r="T53" s="99">
        <f>H53*[1]!FMainPool1Fee+I53*[1]!FMainPool2Fee+J53*[1]!FMainPool3Fee+K53*[1]!FMainPool4Fee+B53*[1]!FMainEntryFee</f>
        <v>100</v>
      </c>
      <c r="U53" s="100"/>
      <c r="V53" s="101"/>
      <c r="W53" s="102"/>
      <c r="X53" s="103"/>
      <c r="Y53" s="103"/>
      <c r="Z53" s="104"/>
    </row>
    <row r="54" spans="1:26" ht="15.75">
      <c r="A54" s="90">
        <f t="shared" si="2"/>
        <v>43</v>
      </c>
      <c r="B54" s="91">
        <v>1</v>
      </c>
      <c r="C54" s="107" t="s">
        <v>292</v>
      </c>
      <c r="D54" s="107" t="s">
        <v>293</v>
      </c>
      <c r="E54" s="108" t="s">
        <v>294</v>
      </c>
      <c r="F54" s="113">
        <v>9253780132</v>
      </c>
      <c r="G54" s="112" t="s">
        <v>555</v>
      </c>
      <c r="H54" s="96">
        <v>1</v>
      </c>
      <c r="I54" s="91">
        <v>1</v>
      </c>
      <c r="J54" s="91">
        <v>1</v>
      </c>
      <c r="K54" s="91"/>
      <c r="L54" s="91"/>
      <c r="M54" s="91"/>
      <c r="N54" s="91"/>
      <c r="O54" s="97">
        <f>T54*N54</f>
        <v>0</v>
      </c>
      <c r="P54" s="91" t="s">
        <v>796</v>
      </c>
      <c r="Q54" s="91">
        <v>5549</v>
      </c>
      <c r="R54" s="98">
        <f>IF(OR(P54="c",P54="C"),+T54,"")</f>
        <v>110</v>
      </c>
      <c r="S54" s="98" t="str">
        <f>IF(OR(P54="$",N54=1),+T54,"")</f>
        <v/>
      </c>
      <c r="T54" s="99">
        <f>H54*[1]!FMainPool1Fee+I54*[1]!FMainPool2Fee+J54*[1]!FMainPool3Fee+K54*[1]!FMainPool4Fee+B54*[1]!FMainEntryFee</f>
        <v>110</v>
      </c>
      <c r="U54" s="100">
        <v>1</v>
      </c>
      <c r="V54" s="101"/>
      <c r="W54" s="102"/>
      <c r="X54" s="103"/>
      <c r="Y54" s="103"/>
      <c r="Z54" s="104"/>
    </row>
    <row r="55" spans="1:26" ht="15.75">
      <c r="A55" s="90">
        <f t="shared" si="2"/>
        <v>44</v>
      </c>
      <c r="B55" s="91">
        <v>1</v>
      </c>
      <c r="C55" s="107" t="s">
        <v>316</v>
      </c>
      <c r="D55" s="107" t="s">
        <v>45</v>
      </c>
      <c r="E55" s="108" t="s">
        <v>317</v>
      </c>
      <c r="F55" s="113">
        <v>5105046905</v>
      </c>
      <c r="G55" s="95" t="s">
        <v>562</v>
      </c>
      <c r="H55" s="96">
        <v>1</v>
      </c>
      <c r="I55" s="91">
        <v>1</v>
      </c>
      <c r="J55" s="91">
        <v>1</v>
      </c>
      <c r="K55" s="91">
        <v>1</v>
      </c>
      <c r="L55" s="91">
        <v>1</v>
      </c>
      <c r="M55" s="91"/>
      <c r="N55" s="91"/>
      <c r="O55" s="97">
        <f>T55*N55</f>
        <v>0</v>
      </c>
      <c r="P55" s="91" t="s">
        <v>796</v>
      </c>
      <c r="Q55" s="91">
        <v>5014</v>
      </c>
      <c r="R55" s="98">
        <f>IF(OR(P55="c",P55="C"),+T55,"")</f>
        <v>160</v>
      </c>
      <c r="S55" s="98" t="str">
        <f>IF(OR(P55="$",N55=1),+T55,"")</f>
        <v/>
      </c>
      <c r="T55" s="99">
        <f>H55*[1]!FMainPool1Fee+I55*[1]!FMainPool2Fee+J55*[1]!FMainPool3Fee+K55*[1]!FMainPool4Fee+B55*[1]!FMainEntryFee</f>
        <v>160</v>
      </c>
      <c r="U55" s="100">
        <v>1</v>
      </c>
      <c r="V55" s="101"/>
      <c r="W55" s="102"/>
      <c r="X55" s="103"/>
      <c r="Y55" s="103">
        <v>1</v>
      </c>
      <c r="Z55" s="104"/>
    </row>
    <row r="56" spans="1:26" ht="15.75">
      <c r="A56" s="90">
        <f t="shared" si="2"/>
        <v>45</v>
      </c>
      <c r="B56" s="91">
        <v>1</v>
      </c>
      <c r="C56" s="92" t="s">
        <v>318</v>
      </c>
      <c r="D56" s="92" t="s">
        <v>148</v>
      </c>
      <c r="E56" s="93" t="s">
        <v>319</v>
      </c>
      <c r="F56" s="109" t="s">
        <v>563</v>
      </c>
      <c r="G56" s="112" t="s">
        <v>564</v>
      </c>
      <c r="H56" s="96">
        <v>1</v>
      </c>
      <c r="I56" s="91">
        <v>1</v>
      </c>
      <c r="J56" s="91">
        <v>1</v>
      </c>
      <c r="K56" s="91">
        <v>1</v>
      </c>
      <c r="L56" s="91"/>
      <c r="M56" s="91"/>
      <c r="N56" s="91" t="s">
        <v>418</v>
      </c>
      <c r="O56" s="97" t="s">
        <v>418</v>
      </c>
      <c r="P56" s="91" t="s">
        <v>796</v>
      </c>
      <c r="Q56" s="91">
        <v>202</v>
      </c>
      <c r="R56" s="98">
        <f>IF(OR(P56="c",P56="C"),+T56,"")</f>
        <v>160</v>
      </c>
      <c r="S56" s="98" t="str">
        <f>IF(OR(P56="$",N56=1),+T56,"")</f>
        <v/>
      </c>
      <c r="T56" s="99">
        <f>H56*[1]!FMainPool1Fee+I56*[1]!FMainPool2Fee+J56*[1]!FMainPool3Fee+K56*[1]!FMainPool4Fee+B56*[1]!FMainEntryFee</f>
        <v>160</v>
      </c>
      <c r="U56" s="100"/>
      <c r="V56" s="101"/>
      <c r="W56" s="102"/>
      <c r="X56" s="103"/>
      <c r="Y56" s="103"/>
      <c r="Z56" s="104"/>
    </row>
    <row r="57" spans="1:26" ht="15.75">
      <c r="A57" s="90">
        <f t="shared" si="2"/>
        <v>46</v>
      </c>
      <c r="B57" s="91">
        <v>1</v>
      </c>
      <c r="C57" s="107" t="s">
        <v>733</v>
      </c>
      <c r="D57" s="107" t="s">
        <v>45</v>
      </c>
      <c r="E57" s="108" t="s">
        <v>734</v>
      </c>
      <c r="F57" s="113">
        <v>7072944291</v>
      </c>
      <c r="G57" s="95" t="s">
        <v>735</v>
      </c>
      <c r="H57" s="96"/>
      <c r="I57" s="91">
        <v>1</v>
      </c>
      <c r="J57" s="91">
        <v>1</v>
      </c>
      <c r="K57" s="91"/>
      <c r="L57" s="91"/>
      <c r="M57" s="91"/>
      <c r="N57" s="91"/>
      <c r="O57" s="97">
        <f>T57*N57</f>
        <v>0</v>
      </c>
      <c r="P57" s="91" t="s">
        <v>796</v>
      </c>
      <c r="Q57" s="91">
        <v>1412</v>
      </c>
      <c r="R57" s="98">
        <f>IF(OR(P57="c",P57="C"),+T57,"")</f>
        <v>100</v>
      </c>
      <c r="S57" s="98" t="str">
        <f>IF(OR(P57="$",N57=1),+T57,"")</f>
        <v/>
      </c>
      <c r="T57" s="99">
        <f>H57*[1]!FMainPool1Fee+I57*[1]!FMainPool2Fee+J57*[1]!FMainPool3Fee+K57*[1]!FMainPool4Fee+B57*[1]!FMainEntryFee</f>
        <v>100</v>
      </c>
      <c r="U57" s="100"/>
      <c r="V57" s="101"/>
      <c r="W57" s="102"/>
      <c r="X57" s="103">
        <v>1</v>
      </c>
      <c r="Y57" s="103"/>
      <c r="Z57" s="104" t="s">
        <v>834</v>
      </c>
    </row>
    <row r="58" spans="1:26" ht="15.75">
      <c r="A58" s="90">
        <f t="shared" si="2"/>
        <v>47</v>
      </c>
      <c r="B58" s="91">
        <v>1</v>
      </c>
      <c r="C58" s="92" t="s">
        <v>336</v>
      </c>
      <c r="D58" s="92" t="s">
        <v>67</v>
      </c>
      <c r="E58" s="93" t="s">
        <v>337</v>
      </c>
      <c r="F58" s="94">
        <v>7075991826</v>
      </c>
      <c r="G58" s="112" t="s">
        <v>570</v>
      </c>
      <c r="H58" s="96">
        <v>1</v>
      </c>
      <c r="I58" s="91">
        <v>1</v>
      </c>
      <c r="J58" s="91">
        <v>1</v>
      </c>
      <c r="K58" s="91">
        <v>1</v>
      </c>
      <c r="L58" s="91">
        <v>1</v>
      </c>
      <c r="M58" s="91"/>
      <c r="N58" s="91"/>
      <c r="O58" s="97">
        <f>T58*N58</f>
        <v>0</v>
      </c>
      <c r="P58" s="91" t="s">
        <v>796</v>
      </c>
      <c r="Q58" s="91">
        <v>1570</v>
      </c>
      <c r="R58" s="98">
        <f>IF(OR(P58="c",P58="C"),+T58,"")</f>
        <v>160</v>
      </c>
      <c r="S58" s="98" t="str">
        <f>IF(OR(P58="$",N58=1),+T58,"")</f>
        <v/>
      </c>
      <c r="T58" s="99">
        <f>H58*[1]!FMainPool1Fee+I58*[1]!FMainPool2Fee+J58*[1]!FMainPool3Fee+K58*[1]!FMainPool4Fee+B58*[1]!FMainEntryFee</f>
        <v>160</v>
      </c>
      <c r="U58" s="100"/>
      <c r="V58" s="101"/>
      <c r="W58" s="102"/>
      <c r="X58" s="103"/>
      <c r="Y58" s="103"/>
      <c r="Z58" s="104"/>
    </row>
    <row r="59" spans="1:26" ht="15.75">
      <c r="A59" s="90">
        <f t="shared" si="2"/>
        <v>48</v>
      </c>
      <c r="B59" s="91">
        <v>1</v>
      </c>
      <c r="C59" s="107" t="s">
        <v>338</v>
      </c>
      <c r="D59" s="107" t="s">
        <v>67</v>
      </c>
      <c r="E59" s="108" t="s">
        <v>339</v>
      </c>
      <c r="F59" s="113">
        <v>7075994605</v>
      </c>
      <c r="G59" s="105" t="s">
        <v>571</v>
      </c>
      <c r="H59" s="96">
        <v>1</v>
      </c>
      <c r="I59" s="91">
        <v>1</v>
      </c>
      <c r="J59" s="91">
        <v>1</v>
      </c>
      <c r="K59" s="91">
        <v>1</v>
      </c>
      <c r="L59" s="91">
        <v>1</v>
      </c>
      <c r="M59" s="91"/>
      <c r="N59" s="91"/>
      <c r="O59" s="97">
        <f>T59*N59</f>
        <v>0</v>
      </c>
      <c r="P59" s="91" t="s">
        <v>796</v>
      </c>
      <c r="Q59" s="91">
        <v>1570</v>
      </c>
      <c r="R59" s="98">
        <f>IF(OR(P59="c",P59="C"),+T59,"")</f>
        <v>160</v>
      </c>
      <c r="S59" s="98" t="str">
        <f>IF(OR(P59="$",N59=1),+T59,"")</f>
        <v/>
      </c>
      <c r="T59" s="99">
        <f>H59*[1]!FMainPool1Fee+I59*[1]!FMainPool2Fee+J59*[1]!FMainPool3Fee+K59*[1]!FMainPool4Fee+B59*[1]!FMainEntryFee</f>
        <v>160</v>
      </c>
      <c r="U59" s="100"/>
      <c r="V59" s="101"/>
      <c r="W59" s="102">
        <v>1</v>
      </c>
      <c r="X59" s="103"/>
      <c r="Y59" s="103"/>
      <c r="Z59" s="104"/>
    </row>
    <row r="60" spans="1:26" ht="15.75">
      <c r="A60" s="90">
        <f t="shared" si="2"/>
        <v>49</v>
      </c>
      <c r="B60" s="91">
        <v>1</v>
      </c>
      <c r="C60" s="92" t="s">
        <v>849</v>
      </c>
      <c r="D60" s="92" t="s">
        <v>72</v>
      </c>
      <c r="E60" s="93" t="s">
        <v>850</v>
      </c>
      <c r="F60" s="94">
        <v>7074802768</v>
      </c>
      <c r="G60" s="116" t="s">
        <v>851</v>
      </c>
      <c r="H60" s="96">
        <v>1</v>
      </c>
      <c r="I60" s="91">
        <v>1</v>
      </c>
      <c r="J60" s="91">
        <v>1</v>
      </c>
      <c r="K60" s="91">
        <v>1</v>
      </c>
      <c r="L60" s="91"/>
      <c r="M60" s="91"/>
      <c r="N60" s="91"/>
      <c r="O60" s="97">
        <f>T60*N60</f>
        <v>0</v>
      </c>
      <c r="P60" s="91" t="s">
        <v>852</v>
      </c>
      <c r="Q60" s="91"/>
      <c r="R60" s="98" t="str">
        <f>IF(OR(P60="c",P60="C"),+T60,"")</f>
        <v/>
      </c>
      <c r="S60" s="98">
        <v>160</v>
      </c>
      <c r="T60" s="99">
        <f>H60*[1]!FMainPool1Fee+I60*[1]!FMainPool2Fee+J60*[1]!FMainPool3Fee+K60*[1]!FMainPool4Fee+B60*[1]!FMainEntryFee</f>
        <v>160</v>
      </c>
      <c r="U60" s="100"/>
      <c r="V60" s="101"/>
      <c r="W60" s="102"/>
      <c r="X60" s="103"/>
      <c r="Y60" s="103"/>
      <c r="Z60" s="104"/>
    </row>
    <row r="61" spans="1:26" ht="15.75">
      <c r="A61" s="90">
        <f t="shared" si="2"/>
        <v>50</v>
      </c>
      <c r="B61" s="91">
        <v>1</v>
      </c>
      <c r="C61" s="92" t="s">
        <v>853</v>
      </c>
      <c r="D61" s="92" t="s">
        <v>375</v>
      </c>
      <c r="E61" s="93" t="s">
        <v>854</v>
      </c>
      <c r="F61" s="94">
        <v>7077186800</v>
      </c>
      <c r="G61" s="112" t="s">
        <v>855</v>
      </c>
      <c r="H61" s="96">
        <v>1</v>
      </c>
      <c r="I61" s="91"/>
      <c r="J61" s="91">
        <v>1</v>
      </c>
      <c r="K61" s="91"/>
      <c r="L61" s="91"/>
      <c r="M61" s="91"/>
      <c r="N61" s="91"/>
      <c r="O61" s="97">
        <f>T61*N61</f>
        <v>0</v>
      </c>
      <c r="P61" s="91" t="s">
        <v>799</v>
      </c>
      <c r="Q61" s="91"/>
      <c r="R61" s="98" t="str">
        <f>IF(OR(P61="c",P61="C"),+T61,"")</f>
        <v/>
      </c>
      <c r="S61" s="98">
        <f>IF(OR(P61="$",N61=1),+T61,"")</f>
        <v>100</v>
      </c>
      <c r="T61" s="99">
        <f>H61*[1]!FMainPool1Fee+I61*[1]!FMainPool2Fee+J61*[1]!FMainPool3Fee+K61*[1]!FMainPool4Fee+B61*[1]!FMainEntryFee</f>
        <v>100</v>
      </c>
      <c r="U61" s="100"/>
      <c r="V61" s="101"/>
      <c r="W61" s="102"/>
      <c r="X61" s="103"/>
      <c r="Y61" s="103"/>
      <c r="Z61" s="104"/>
    </row>
    <row r="62" spans="1:26" ht="15.75">
      <c r="A62" s="90">
        <f t="shared" si="2"/>
        <v>51</v>
      </c>
      <c r="B62" s="91">
        <v>1</v>
      </c>
      <c r="C62" s="92" t="s">
        <v>349</v>
      </c>
      <c r="D62" s="92" t="s">
        <v>350</v>
      </c>
      <c r="E62" s="93" t="s">
        <v>351</v>
      </c>
      <c r="F62" s="94">
        <v>7076641532</v>
      </c>
      <c r="G62" s="95" t="s">
        <v>576</v>
      </c>
      <c r="H62" s="96">
        <v>1</v>
      </c>
      <c r="I62" s="91">
        <v>1</v>
      </c>
      <c r="J62" s="91">
        <v>1</v>
      </c>
      <c r="K62" s="91"/>
      <c r="L62" s="91"/>
      <c r="M62" s="91"/>
      <c r="N62" s="91">
        <v>1</v>
      </c>
      <c r="O62" s="97">
        <f>T62*N62</f>
        <v>110</v>
      </c>
      <c r="P62" s="91" t="s">
        <v>799</v>
      </c>
      <c r="Q62" s="91"/>
      <c r="R62" s="98" t="str">
        <f>IF(OR(P62="c",P62="C"),+T62,"")</f>
        <v/>
      </c>
      <c r="S62" s="98">
        <f>IF(OR(P62="$",N62=1),+T62,"")</f>
        <v>110</v>
      </c>
      <c r="T62" s="99">
        <f>H62*[1]!FMainPool1Fee+I62*[1]!FMainPool2Fee+J62*[1]!FMainPool3Fee+K62*[1]!FMainPool4Fee+B62*[1]!FMainEntryFee</f>
        <v>110</v>
      </c>
      <c r="U62" s="100"/>
      <c r="V62" s="101"/>
      <c r="W62" s="102"/>
      <c r="X62" s="103"/>
      <c r="Y62" s="103"/>
      <c r="Z62" s="104" t="s">
        <v>835</v>
      </c>
    </row>
    <row r="63" spans="1:26" ht="15.75">
      <c r="A63" s="90">
        <f t="shared" si="2"/>
        <v>52</v>
      </c>
      <c r="B63" s="91">
        <v>1</v>
      </c>
      <c r="C63" s="92" t="s">
        <v>352</v>
      </c>
      <c r="D63" s="92" t="s">
        <v>45</v>
      </c>
      <c r="E63" s="93" t="s">
        <v>353</v>
      </c>
      <c r="F63" s="168" t="s">
        <v>577</v>
      </c>
      <c r="G63" s="112" t="s">
        <v>578</v>
      </c>
      <c r="H63" s="96">
        <v>1</v>
      </c>
      <c r="I63" s="91">
        <v>1</v>
      </c>
      <c r="J63" s="91">
        <v>1</v>
      </c>
      <c r="K63" s="91"/>
      <c r="L63" s="91"/>
      <c r="M63" s="91"/>
      <c r="N63" s="91"/>
      <c r="O63" s="97">
        <f>T63*N63</f>
        <v>0</v>
      </c>
      <c r="P63" s="91" t="s">
        <v>799</v>
      </c>
      <c r="Q63" s="91"/>
      <c r="R63" s="98" t="str">
        <f>IF(OR(P63="c",P63="C"),+T63,"")</f>
        <v/>
      </c>
      <c r="S63" s="98">
        <f>IF(OR(P63="$",N63=1),+T63,"")</f>
        <v>110</v>
      </c>
      <c r="T63" s="99">
        <f>H63*[1]!FMainPool1Fee+I63*[1]!FMainPool2Fee+J63*[1]!FMainPool3Fee+K63*[1]!FMainPool4Fee+B63*[1]!FMainEntryFee</f>
        <v>110</v>
      </c>
      <c r="U63" s="100"/>
      <c r="V63" s="101"/>
      <c r="W63" s="102"/>
      <c r="X63" s="103"/>
      <c r="Y63" s="103"/>
      <c r="Z63" s="104"/>
    </row>
    <row r="64" spans="1:26" ht="15.75">
      <c r="A64" s="90">
        <f t="shared" si="2"/>
        <v>53</v>
      </c>
      <c r="B64" s="91">
        <v>1</v>
      </c>
      <c r="C64" s="92" t="s">
        <v>361</v>
      </c>
      <c r="D64" s="92" t="s">
        <v>45</v>
      </c>
      <c r="E64" s="93" t="s">
        <v>362</v>
      </c>
      <c r="F64" s="94">
        <v>5303666465</v>
      </c>
      <c r="G64" s="95" t="s">
        <v>582</v>
      </c>
      <c r="H64" s="96"/>
      <c r="I64" s="91">
        <v>1</v>
      </c>
      <c r="J64" s="91"/>
      <c r="K64" s="91"/>
      <c r="L64" s="91"/>
      <c r="M64" s="91"/>
      <c r="N64" s="91"/>
      <c r="O64" s="97">
        <f>T64*N64</f>
        <v>0</v>
      </c>
      <c r="P64" s="91" t="s">
        <v>796</v>
      </c>
      <c r="Q64" s="91">
        <v>8445</v>
      </c>
      <c r="R64" s="98">
        <f>IF(OR(P64="c",P64="C"),+T64,"")</f>
        <v>80</v>
      </c>
      <c r="S64" s="98" t="str">
        <f>IF(OR(P64="$",N64=1),+T64,"")</f>
        <v/>
      </c>
      <c r="T64" s="99">
        <f>H64*[1]!FMainPool1Fee+I64*[1]!FMainPool2Fee+J64*[1]!FMainPool3Fee+K64*[1]!FMainPool4Fee+B64*[1]!FMainEntryFee</f>
        <v>80</v>
      </c>
      <c r="U64" s="100"/>
      <c r="V64" s="101"/>
      <c r="W64" s="102"/>
      <c r="X64" s="103">
        <v>1</v>
      </c>
      <c r="Y64" s="103"/>
      <c r="Z64" s="104"/>
    </row>
    <row r="65" spans="1:26" ht="15.75">
      <c r="A65" s="90">
        <f t="shared" si="2"/>
        <v>54</v>
      </c>
      <c r="B65" s="91">
        <v>1</v>
      </c>
      <c r="C65" s="107" t="s">
        <v>367</v>
      </c>
      <c r="D65" s="107" t="s">
        <v>45</v>
      </c>
      <c r="E65" s="108" t="s">
        <v>368</v>
      </c>
      <c r="F65" s="113">
        <v>7072524331</v>
      </c>
      <c r="G65" s="112" t="s">
        <v>585</v>
      </c>
      <c r="H65" s="96">
        <v>1</v>
      </c>
      <c r="I65" s="91">
        <v>1</v>
      </c>
      <c r="J65" s="91">
        <v>1</v>
      </c>
      <c r="K65" s="91"/>
      <c r="L65" s="91"/>
      <c r="M65" s="91"/>
      <c r="N65" s="91"/>
      <c r="O65" s="97">
        <f>T65*N65</f>
        <v>0</v>
      </c>
      <c r="P65" s="91" t="s">
        <v>799</v>
      </c>
      <c r="Q65" s="91"/>
      <c r="R65" s="98" t="str">
        <f>IF(OR(P65="c",P65="C"),+T65,"")</f>
        <v/>
      </c>
      <c r="S65" s="98">
        <f>IF(OR(P65="$",N65=1),+T65,"")</f>
        <v>110</v>
      </c>
      <c r="T65" s="99">
        <f>H65*[1]!FMainPool1Fee+I65*[1]!FMainPool2Fee+J65*[1]!FMainPool3Fee+K65*[1]!FMainPool4Fee+B65*[1]!FMainEntryFee</f>
        <v>110</v>
      </c>
      <c r="U65" s="100"/>
      <c r="V65" s="101"/>
      <c r="W65" s="102"/>
      <c r="X65" s="103"/>
      <c r="Y65" s="103"/>
      <c r="Z65" s="104"/>
    </row>
    <row r="66" spans="1:26" ht="15.75">
      <c r="A66" s="90">
        <f t="shared" si="2"/>
        <v>55</v>
      </c>
      <c r="B66" s="91">
        <v>1</v>
      </c>
      <c r="C66" s="107" t="s">
        <v>369</v>
      </c>
      <c r="D66" s="107" t="s">
        <v>45</v>
      </c>
      <c r="E66" s="108" t="s">
        <v>370</v>
      </c>
      <c r="F66" s="113" t="s">
        <v>586</v>
      </c>
      <c r="G66" s="112" t="s">
        <v>587</v>
      </c>
      <c r="H66" s="96">
        <v>1</v>
      </c>
      <c r="I66" s="91">
        <v>1</v>
      </c>
      <c r="J66" s="91">
        <v>1</v>
      </c>
      <c r="K66" s="91">
        <v>1</v>
      </c>
      <c r="L66" s="91">
        <v>1</v>
      </c>
      <c r="M66" s="91">
        <v>1</v>
      </c>
      <c r="N66" s="91"/>
      <c r="O66" s="97">
        <f>T66*N66</f>
        <v>0</v>
      </c>
      <c r="P66" s="91" t="s">
        <v>799</v>
      </c>
      <c r="Q66" s="91"/>
      <c r="R66" s="98" t="str">
        <f>IF(OR(P66="c",P66="C"),+T66,"")</f>
        <v/>
      </c>
      <c r="S66" s="98">
        <f>IF(OR(P66="$",N66=1),+T66,"")</f>
        <v>160</v>
      </c>
      <c r="T66" s="99">
        <f>H66*[1]!FMainPool1Fee+I66*[1]!FMainPool2Fee+J66*[1]!FMainPool3Fee+K66*[1]!FMainPool4Fee+B66*[1]!FMainEntryFee</f>
        <v>160</v>
      </c>
      <c r="U66" s="100"/>
      <c r="V66" s="101"/>
      <c r="W66" s="102"/>
      <c r="X66" s="103"/>
      <c r="Y66" s="103"/>
      <c r="Z66" s="104"/>
    </row>
    <row r="67" spans="1:26" ht="15.75">
      <c r="A67" s="90">
        <f t="shared" si="2"/>
        <v>56</v>
      </c>
      <c r="B67" s="91">
        <v>1</v>
      </c>
      <c r="C67" s="112" t="s">
        <v>860</v>
      </c>
      <c r="D67" s="107" t="s">
        <v>861</v>
      </c>
      <c r="E67" s="108" t="s">
        <v>862</v>
      </c>
      <c r="F67" s="113">
        <v>5305666454</v>
      </c>
      <c r="G67" s="118" t="s">
        <v>698</v>
      </c>
      <c r="H67" s="96"/>
      <c r="I67" s="91"/>
      <c r="J67" s="91"/>
      <c r="K67" s="91"/>
      <c r="L67" s="91"/>
      <c r="M67" s="91"/>
      <c r="N67" s="91"/>
      <c r="O67" s="97">
        <f>T67*N67</f>
        <v>0</v>
      </c>
      <c r="P67" s="91" t="s">
        <v>799</v>
      </c>
      <c r="Q67" s="91"/>
      <c r="R67" s="98" t="str">
        <f>IF(OR(P67="c",P67="C"),+T67,"")</f>
        <v/>
      </c>
      <c r="S67" s="98">
        <f>IF(OR(P67="$",N67=1),+T67,"")</f>
        <v>70</v>
      </c>
      <c r="T67" s="99">
        <f>H67*[1]!FMainPool1Fee+I67*[1]!FMainPool2Fee+J67*[1]!FMainPool3Fee+K67*[1]!FMainPool4Fee+B67*[1]!FMainEntryFee</f>
        <v>70</v>
      </c>
      <c r="U67" s="100"/>
      <c r="V67" s="101"/>
      <c r="W67" s="102"/>
      <c r="X67" s="103"/>
      <c r="Y67" s="103"/>
      <c r="Z67" s="104"/>
    </row>
    <row r="68" spans="1:26" ht="15.75">
      <c r="A68" s="90">
        <f t="shared" si="2"/>
        <v>57</v>
      </c>
      <c r="B68" s="91">
        <v>1</v>
      </c>
      <c r="C68" s="107" t="s">
        <v>381</v>
      </c>
      <c r="D68" s="107" t="s">
        <v>103</v>
      </c>
      <c r="E68" s="108" t="s">
        <v>382</v>
      </c>
      <c r="F68" s="94"/>
      <c r="G68" s="112" t="s">
        <v>592</v>
      </c>
      <c r="H68" s="96">
        <v>1</v>
      </c>
      <c r="I68" s="91"/>
      <c r="J68" s="91"/>
      <c r="K68" s="91"/>
      <c r="L68" s="91"/>
      <c r="M68" s="91"/>
      <c r="N68" s="91"/>
      <c r="O68" s="97">
        <f>T68*N68</f>
        <v>0</v>
      </c>
      <c r="P68" s="91" t="s">
        <v>796</v>
      </c>
      <c r="Q68" s="91">
        <v>2497</v>
      </c>
      <c r="R68" s="98">
        <f>IF(OR(P68="c",P68="C"),+T68,"")</f>
        <v>80</v>
      </c>
      <c r="S68" s="98" t="str">
        <f>IF(OR(P68="$",N68=1),+T68,"")</f>
        <v/>
      </c>
      <c r="T68" s="99">
        <f>H68*[1]!FMainPool1Fee+I68*[1]!FMainPool2Fee+J68*[1]!FMainPool3Fee+K68*[1]!FMainPool4Fee+B68*[1]!FMainEntryFee</f>
        <v>80</v>
      </c>
      <c r="U68" s="100"/>
      <c r="V68" s="101"/>
      <c r="W68" s="102"/>
      <c r="X68" s="103"/>
      <c r="Y68" s="103"/>
      <c r="Z68" s="104" t="s">
        <v>751</v>
      </c>
    </row>
    <row r="69" spans="1:26" ht="15.75">
      <c r="A69" s="90">
        <f t="shared" si="2"/>
        <v>58</v>
      </c>
      <c r="B69" s="91"/>
      <c r="C69" s="107" t="s">
        <v>7</v>
      </c>
      <c r="D69" s="107" t="s">
        <v>8</v>
      </c>
      <c r="E69" s="108" t="s">
        <v>9</v>
      </c>
      <c r="F69" s="109" t="s">
        <v>445</v>
      </c>
      <c r="G69" s="112" t="s">
        <v>446</v>
      </c>
      <c r="H69" s="96"/>
      <c r="I69" s="91"/>
      <c r="J69" s="91"/>
      <c r="K69" s="91"/>
      <c r="L69" s="91"/>
      <c r="M69" s="91"/>
      <c r="N69" s="91"/>
      <c r="O69" s="97">
        <f>T69*N69</f>
        <v>0</v>
      </c>
      <c r="P69" s="91" t="s">
        <v>796</v>
      </c>
      <c r="Q69" s="91"/>
      <c r="R69" s="98">
        <f>IF(OR(P69="c",P69="C"),+T69,"")</f>
        <v>0</v>
      </c>
      <c r="S69" s="98" t="str">
        <f>IF(OR(P69="$",N69=1),+T69,"")</f>
        <v/>
      </c>
      <c r="T69" s="99">
        <f>H69*[1]!FMainPool1Fee+I69*[1]!FMainPool2Fee+J69*[1]!FMainPool3Fee+K69*[1]!FMainPool4Fee+B69*[1]!FMainEntryFee</f>
        <v>0</v>
      </c>
      <c r="U69" s="100"/>
      <c r="V69" s="101"/>
      <c r="W69" s="102"/>
      <c r="X69" s="103"/>
      <c r="Y69" s="103"/>
      <c r="Z69" s="104"/>
    </row>
    <row r="70" spans="1:26" ht="15.75">
      <c r="A70" s="90">
        <f t="shared" si="2"/>
        <v>59</v>
      </c>
      <c r="B70" s="111"/>
      <c r="C70" s="92" t="s">
        <v>10</v>
      </c>
      <c r="D70" s="92" t="s">
        <v>11</v>
      </c>
      <c r="E70" s="93" t="s">
        <v>12</v>
      </c>
      <c r="F70" s="169"/>
      <c r="G70" s="92" t="s">
        <v>447</v>
      </c>
      <c r="H70" s="96"/>
      <c r="I70" s="91"/>
      <c r="J70" s="91"/>
      <c r="K70" s="91"/>
      <c r="L70" s="91"/>
      <c r="M70" s="91"/>
      <c r="N70" s="91"/>
      <c r="O70" s="97">
        <f>T70*N70</f>
        <v>0</v>
      </c>
      <c r="P70" s="91" t="s">
        <v>796</v>
      </c>
      <c r="Q70" s="91"/>
      <c r="R70" s="98">
        <f>IF(OR(P70="c",P70="C"),+T70,"")</f>
        <v>0</v>
      </c>
      <c r="S70" s="98" t="str">
        <f>IF(OR(P70="$",N70=1),+T70,"")</f>
        <v/>
      </c>
      <c r="T70" s="99">
        <f>H70*[1]!FMainPool1Fee+I70*[1]!FMainPool2Fee+J70*[1]!FMainPool3Fee+K70*[1]!FMainPool4Fee+B70*[1]!FMainEntryFee</f>
        <v>0</v>
      </c>
      <c r="U70" s="100"/>
      <c r="V70" s="101"/>
      <c r="W70" s="102"/>
      <c r="X70" s="103"/>
      <c r="Y70" s="103">
        <v>1</v>
      </c>
      <c r="Z70" s="104"/>
    </row>
    <row r="71" spans="1:26" ht="15.75">
      <c r="A71" s="90">
        <f t="shared" si="2"/>
        <v>60</v>
      </c>
      <c r="B71" s="91"/>
      <c r="C71" s="92" t="s">
        <v>16</v>
      </c>
      <c r="D71" s="92" t="s">
        <v>17</v>
      </c>
      <c r="E71" s="93" t="s">
        <v>18</v>
      </c>
      <c r="F71" s="94">
        <v>9098875893</v>
      </c>
      <c r="G71" s="95" t="s">
        <v>448</v>
      </c>
      <c r="H71" s="96"/>
      <c r="I71" s="91"/>
      <c r="J71" s="91"/>
      <c r="K71" s="91"/>
      <c r="L71" s="91"/>
      <c r="M71" s="91"/>
      <c r="N71" s="91"/>
      <c r="O71" s="97">
        <f>T71*N71</f>
        <v>0</v>
      </c>
      <c r="P71" s="91" t="s">
        <v>796</v>
      </c>
      <c r="Q71" s="91"/>
      <c r="R71" s="98">
        <f>IF(OR(P71="c",P71="C"),+T71,"")</f>
        <v>0</v>
      </c>
      <c r="S71" s="98" t="str">
        <f>IF(OR(P71="$",N71=1),+T71,"")</f>
        <v/>
      </c>
      <c r="T71" s="99">
        <f>H71*[1]!FMainPool1Fee+I71*[1]!FMainPool2Fee+J71*[1]!FMainPool3Fee+K71*[1]!FMainPool4Fee+B71*[1]!FMainEntryFee</f>
        <v>0</v>
      </c>
      <c r="U71" s="100"/>
      <c r="V71" s="101"/>
      <c r="W71" s="102"/>
      <c r="X71" s="103"/>
      <c r="Y71" s="103"/>
      <c r="Z71" s="104"/>
    </row>
    <row r="72" spans="1:26" ht="15.75">
      <c r="A72" s="90">
        <f t="shared" ref="A72:A102" si="3">ROW() - ROW(FRegentiresEneteredHdr)</f>
        <v>61</v>
      </c>
      <c r="B72" s="91"/>
      <c r="C72" s="92" t="s">
        <v>19</v>
      </c>
      <c r="D72" s="92" t="s">
        <v>20</v>
      </c>
      <c r="E72" s="93" t="s">
        <v>21</v>
      </c>
      <c r="F72" s="94"/>
      <c r="G72" s="112" t="s">
        <v>449</v>
      </c>
      <c r="H72" s="96"/>
      <c r="I72" s="91"/>
      <c r="J72" s="91"/>
      <c r="K72" s="91"/>
      <c r="L72" s="91"/>
      <c r="M72" s="91"/>
      <c r="N72" s="91"/>
      <c r="O72" s="97">
        <f>T72*N72</f>
        <v>0</v>
      </c>
      <c r="P72" s="91" t="s">
        <v>796</v>
      </c>
      <c r="Q72" s="91"/>
      <c r="R72" s="98">
        <f>IF(OR(P72="c",P72="C"),+T72,"")</f>
        <v>0</v>
      </c>
      <c r="S72" s="98" t="str">
        <f>IF(OR(P72="$",N72=1),+T72,"")</f>
        <v/>
      </c>
      <c r="T72" s="99">
        <f>H72*[1]!FMainPool1Fee+I72*[1]!FMainPool2Fee+J72*[1]!FMainPool3Fee+K72*[1]!FMainPool4Fee+B72*[1]!FMainEntryFee</f>
        <v>0</v>
      </c>
      <c r="U72" s="100"/>
      <c r="V72" s="101"/>
      <c r="W72" s="102"/>
      <c r="X72" s="103"/>
      <c r="Y72" s="103"/>
      <c r="Z72" s="104"/>
    </row>
    <row r="73" spans="1:26" ht="15.75">
      <c r="A73" s="90">
        <f t="shared" si="3"/>
        <v>62</v>
      </c>
      <c r="B73" s="91"/>
      <c r="C73" s="107" t="s">
        <v>22</v>
      </c>
      <c r="D73" s="107" t="s">
        <v>20</v>
      </c>
      <c r="E73" s="108" t="s">
        <v>23</v>
      </c>
      <c r="F73" s="170">
        <v>9168138609</v>
      </c>
      <c r="G73" s="112" t="s">
        <v>450</v>
      </c>
      <c r="H73" s="96"/>
      <c r="I73" s="91"/>
      <c r="J73" s="91"/>
      <c r="K73" s="91"/>
      <c r="L73" s="91"/>
      <c r="M73" s="91"/>
      <c r="N73" s="91"/>
      <c r="O73" s="97">
        <f>T73*N73</f>
        <v>0</v>
      </c>
      <c r="P73" s="91" t="s">
        <v>796</v>
      </c>
      <c r="Q73" s="91"/>
      <c r="R73" s="98">
        <f>IF(OR(P73="c",P73="C"),+T73,"")</f>
        <v>0</v>
      </c>
      <c r="S73" s="98" t="str">
        <f>IF(OR(P73="$",N73=1),+T73,"")</f>
        <v/>
      </c>
      <c r="T73" s="99">
        <f>H73*[1]!FMainPool1Fee+I73*[1]!FMainPool2Fee+J73*[1]!FMainPool3Fee+K73*[1]!FMainPool4Fee+B73*[1]!FMainEntryFee</f>
        <v>0</v>
      </c>
      <c r="U73" s="100"/>
      <c r="V73" s="101"/>
      <c r="W73" s="102"/>
      <c r="X73" s="103">
        <v>1</v>
      </c>
      <c r="Y73" s="103"/>
      <c r="Z73" s="104" t="s">
        <v>836</v>
      </c>
    </row>
    <row r="74" spans="1:26" ht="15.75">
      <c r="A74" s="90">
        <f t="shared" si="3"/>
        <v>63</v>
      </c>
      <c r="B74" s="91"/>
      <c r="C74" s="105" t="s">
        <v>693</v>
      </c>
      <c r="D74" s="105"/>
      <c r="E74" s="102" t="s">
        <v>694</v>
      </c>
      <c r="F74" s="168"/>
      <c r="G74" s="105"/>
      <c r="H74" s="96"/>
      <c r="I74" s="91"/>
      <c r="J74" s="91"/>
      <c r="K74" s="91"/>
      <c r="L74" s="91"/>
      <c r="M74" s="91"/>
      <c r="N74" s="91"/>
      <c r="O74" s="97">
        <f>T74*N74</f>
        <v>0</v>
      </c>
      <c r="P74" s="91" t="s">
        <v>796</v>
      </c>
      <c r="Q74" s="91"/>
      <c r="R74" s="98">
        <f>IF(OR(P74="c",P74="C"),+T74,"")</f>
        <v>0</v>
      </c>
      <c r="S74" s="98" t="str">
        <f>IF(OR(P74="$",N74=1),+T74,"")</f>
        <v/>
      </c>
      <c r="T74" s="99">
        <f>H74*[1]!FMainPool1Fee+I74*[1]!FMainPool2Fee+J74*[1]!FMainPool3Fee+K74*[1]!FMainPool4Fee+B74*[1]!FMainEntryFee</f>
        <v>0</v>
      </c>
      <c r="U74" s="100"/>
      <c r="V74" s="101"/>
      <c r="W74" s="102"/>
      <c r="X74" s="103"/>
      <c r="Y74" s="103"/>
      <c r="Z74" s="104"/>
    </row>
    <row r="75" spans="1:26" ht="15.75">
      <c r="A75" s="90">
        <f t="shared" si="3"/>
        <v>64</v>
      </c>
      <c r="B75" s="91"/>
      <c r="C75" s="105" t="s">
        <v>640</v>
      </c>
      <c r="D75" s="105" t="s">
        <v>641</v>
      </c>
      <c r="E75" s="102" t="s">
        <v>642</v>
      </c>
      <c r="F75" s="109"/>
      <c r="G75" s="105"/>
      <c r="H75" s="96"/>
      <c r="I75" s="91"/>
      <c r="J75" s="91"/>
      <c r="K75" s="91"/>
      <c r="L75" s="91"/>
      <c r="M75" s="91"/>
      <c r="N75" s="91"/>
      <c r="O75" s="97">
        <f>T75*N75</f>
        <v>0</v>
      </c>
      <c r="P75" s="91" t="s">
        <v>796</v>
      </c>
      <c r="Q75" s="91"/>
      <c r="R75" s="98">
        <f>IF(OR(P75="c",P75="C"),+T75,"")</f>
        <v>0</v>
      </c>
      <c r="S75" s="98" t="str">
        <f>IF(OR(P75="$",N75=1),+T75,"")</f>
        <v/>
      </c>
      <c r="T75" s="99">
        <f>H75*[1]!FMainPool1Fee+I75*[1]!FMainPool2Fee+J75*[1]!FMainPool3Fee+K75*[1]!FMainPool4Fee+B75*[1]!FMainEntryFee</f>
        <v>0</v>
      </c>
      <c r="U75" s="100"/>
      <c r="V75" s="101"/>
      <c r="W75" s="102"/>
      <c r="X75" s="103"/>
      <c r="Y75" s="103"/>
      <c r="Z75" s="104"/>
    </row>
    <row r="76" spans="1:26" ht="15.75">
      <c r="A76" s="90">
        <f t="shared" si="3"/>
        <v>65</v>
      </c>
      <c r="B76" s="91"/>
      <c r="C76" s="92" t="s">
        <v>27</v>
      </c>
      <c r="D76" s="92" t="s">
        <v>28</v>
      </c>
      <c r="E76" s="93" t="s">
        <v>697</v>
      </c>
      <c r="F76" s="94">
        <v>4087325550</v>
      </c>
      <c r="G76" s="112" t="s">
        <v>452</v>
      </c>
      <c r="H76" s="96"/>
      <c r="I76" s="91"/>
      <c r="J76" s="91"/>
      <c r="K76" s="91"/>
      <c r="L76" s="91"/>
      <c r="M76" s="91"/>
      <c r="N76" s="91"/>
      <c r="O76" s="97">
        <f>T76*N76</f>
        <v>0</v>
      </c>
      <c r="P76" s="91" t="s">
        <v>796</v>
      </c>
      <c r="Q76" s="91"/>
      <c r="R76" s="98">
        <f>IF(OR(P76="c",P76="C"),+T76,"")</f>
        <v>0</v>
      </c>
      <c r="S76" s="98" t="str">
        <f>IF(OR(P76="$",N76=1),+T76,"")</f>
        <v/>
      </c>
      <c r="T76" s="99">
        <f>H76*[1]!FMainPool1Fee+I76*[1]!FMainPool2Fee+J76*[1]!FMainPool3Fee+K76*[1]!FMainPool4Fee+B76*[1]!FMainEntryFee</f>
        <v>0</v>
      </c>
      <c r="U76" s="100"/>
      <c r="V76" s="101"/>
      <c r="W76" s="102"/>
      <c r="X76" s="103"/>
      <c r="Y76" s="103"/>
      <c r="Z76" s="104"/>
    </row>
    <row r="77" spans="1:26" ht="15.75">
      <c r="A77" s="90">
        <f t="shared" si="3"/>
        <v>66</v>
      </c>
      <c r="B77" s="91"/>
      <c r="C77" s="92" t="s">
        <v>30</v>
      </c>
      <c r="D77" s="92" t="s">
        <v>20</v>
      </c>
      <c r="E77" s="167" t="s">
        <v>31</v>
      </c>
      <c r="F77" s="94">
        <v>9162036636</v>
      </c>
      <c r="G77" s="112" t="s">
        <v>453</v>
      </c>
      <c r="H77" s="96"/>
      <c r="I77" s="91"/>
      <c r="J77" s="91"/>
      <c r="K77" s="91"/>
      <c r="L77" s="91"/>
      <c r="M77" s="91"/>
      <c r="N77" s="91"/>
      <c r="O77" s="97">
        <f>T77*N77</f>
        <v>0</v>
      </c>
      <c r="P77" s="91" t="s">
        <v>796</v>
      </c>
      <c r="Q77" s="91"/>
      <c r="R77" s="98">
        <f>IF(OR(P77="c",P77="C"),+T77,"")</f>
        <v>0</v>
      </c>
      <c r="S77" s="98" t="str">
        <f>IF(OR(P77="$",N77=1),+T77,"")</f>
        <v/>
      </c>
      <c r="T77" s="99">
        <f>H77*[1]!FMainPool1Fee+I77*[1]!FMainPool2Fee+J77*[1]!FMainPool3Fee+K77*[1]!FMainPool4Fee+B77*[1]!FMainEntryFee</f>
        <v>0</v>
      </c>
      <c r="U77" s="100"/>
      <c r="V77" s="101"/>
      <c r="W77" s="102"/>
      <c r="X77" s="103"/>
      <c r="Y77" s="103"/>
      <c r="Z77" s="104"/>
    </row>
    <row r="78" spans="1:26" ht="15.75">
      <c r="A78" s="90">
        <f t="shared" si="3"/>
        <v>67</v>
      </c>
      <c r="B78" s="91"/>
      <c r="C78" s="107" t="s">
        <v>32</v>
      </c>
      <c r="D78" s="107" t="s">
        <v>33</v>
      </c>
      <c r="E78" s="108" t="s">
        <v>34</v>
      </c>
      <c r="F78" s="113">
        <v>7078430109</v>
      </c>
      <c r="G78" s="95" t="s">
        <v>454</v>
      </c>
      <c r="H78" s="96"/>
      <c r="I78" s="91"/>
      <c r="J78" s="91"/>
      <c r="K78" s="91"/>
      <c r="L78" s="91"/>
      <c r="M78" s="91"/>
      <c r="N78" s="91"/>
      <c r="O78" s="97">
        <f>T78*N78</f>
        <v>0</v>
      </c>
      <c r="P78" s="91" t="s">
        <v>796</v>
      </c>
      <c r="Q78" s="91"/>
      <c r="R78" s="98">
        <f>IF(OR(P78="c",P78="C"),+T78,"")</f>
        <v>0</v>
      </c>
      <c r="S78" s="98" t="str">
        <f>IF(OR(P78="$",N78=1),+T78,"")</f>
        <v/>
      </c>
      <c r="T78" s="99">
        <f>H78*[1]!FMainPool1Fee+I78*[1]!FMainPool2Fee+J78*[1]!FMainPool3Fee+K78*[1]!FMainPool4Fee+B78*[1]!FMainEntryFee</f>
        <v>0</v>
      </c>
      <c r="U78" s="100"/>
      <c r="V78" s="101"/>
      <c r="W78" s="102"/>
      <c r="X78" s="103"/>
      <c r="Y78" s="103"/>
      <c r="Z78" s="104" t="s">
        <v>837</v>
      </c>
    </row>
    <row r="79" spans="1:26" ht="15.75">
      <c r="A79" s="90">
        <f t="shared" si="3"/>
        <v>68</v>
      </c>
      <c r="B79" s="91"/>
      <c r="C79" s="92" t="s">
        <v>38</v>
      </c>
      <c r="D79" s="92" t="s">
        <v>39</v>
      </c>
      <c r="E79" s="93" t="s">
        <v>40</v>
      </c>
      <c r="F79" s="94">
        <v>9167055602</v>
      </c>
      <c r="G79" s="112" t="s">
        <v>456</v>
      </c>
      <c r="H79" s="96"/>
      <c r="I79" s="91"/>
      <c r="J79" s="91"/>
      <c r="K79" s="91"/>
      <c r="L79" s="91"/>
      <c r="M79" s="91"/>
      <c r="N79" s="91"/>
      <c r="O79" s="97">
        <f>T79*N79</f>
        <v>0</v>
      </c>
      <c r="P79" s="91" t="s">
        <v>796</v>
      </c>
      <c r="Q79" s="91"/>
      <c r="R79" s="98">
        <f>IF(OR(P79="c",P79="C"),+T79,"")</f>
        <v>0</v>
      </c>
      <c r="S79" s="98" t="str">
        <f>IF(OR(P79="$",N79=1),+T79,"")</f>
        <v/>
      </c>
      <c r="T79" s="99">
        <f>H79*[1]!FMainPool1Fee+I79*[1]!FMainPool2Fee+J79*[1]!FMainPool3Fee+K79*[1]!FMainPool4Fee+B79*[1]!FMainEntryFee</f>
        <v>0</v>
      </c>
      <c r="U79" s="100"/>
      <c r="V79" s="101"/>
      <c r="W79" s="102"/>
      <c r="X79" s="103"/>
      <c r="Y79" s="103"/>
      <c r="Z79" s="104"/>
    </row>
    <row r="80" spans="1:26" ht="15.75">
      <c r="A80" s="90">
        <f t="shared" si="3"/>
        <v>69</v>
      </c>
      <c r="B80" s="91"/>
      <c r="C80" s="105" t="s">
        <v>645</v>
      </c>
      <c r="D80" s="105" t="s">
        <v>39</v>
      </c>
      <c r="E80" s="102" t="s">
        <v>646</v>
      </c>
      <c r="F80" s="109"/>
      <c r="G80" s="105"/>
      <c r="H80" s="96"/>
      <c r="I80" s="91"/>
      <c r="J80" s="91"/>
      <c r="K80" s="91"/>
      <c r="L80" s="91"/>
      <c r="M80" s="91"/>
      <c r="N80" s="91"/>
      <c r="O80" s="97">
        <f>T80*N80</f>
        <v>0</v>
      </c>
      <c r="P80" s="91" t="s">
        <v>796</v>
      </c>
      <c r="Q80" s="91"/>
      <c r="R80" s="98">
        <f>IF(OR(P80="c",P80="C"),+T80,"")</f>
        <v>0</v>
      </c>
      <c r="S80" s="98" t="str">
        <f>IF(OR(P80="$",N80=1),+T80,"")</f>
        <v/>
      </c>
      <c r="T80" s="99">
        <f>H80*[1]!FMainPool1Fee+I80*[1]!FMainPool2Fee+J80*[1]!FMainPool3Fee+K80*[1]!FMainPool4Fee+B80*[1]!FMainEntryFee</f>
        <v>0</v>
      </c>
      <c r="U80" s="100"/>
      <c r="V80" s="101"/>
      <c r="W80" s="102"/>
      <c r="X80" s="103"/>
      <c r="Y80" s="103"/>
      <c r="Z80" s="104"/>
    </row>
    <row r="81" spans="1:26" ht="15.75">
      <c r="A81" s="90">
        <f t="shared" si="3"/>
        <v>70</v>
      </c>
      <c r="B81" s="91"/>
      <c r="C81" s="92" t="s">
        <v>41</v>
      </c>
      <c r="D81" s="92" t="s">
        <v>42</v>
      </c>
      <c r="E81" s="93" t="s">
        <v>43</v>
      </c>
      <c r="F81" s="109" t="s">
        <v>457</v>
      </c>
      <c r="G81" s="105" t="s">
        <v>458</v>
      </c>
      <c r="H81" s="96"/>
      <c r="I81" s="91"/>
      <c r="J81" s="91"/>
      <c r="K81" s="91"/>
      <c r="L81" s="91"/>
      <c r="M81" s="91"/>
      <c r="N81" s="91"/>
      <c r="O81" s="97">
        <f>T81*N81</f>
        <v>0</v>
      </c>
      <c r="P81" s="91" t="s">
        <v>796</v>
      </c>
      <c r="Q81" s="91"/>
      <c r="R81" s="98">
        <f>IF(OR(P81="c",P81="C"),+T81,"")</f>
        <v>0</v>
      </c>
      <c r="S81" s="98" t="str">
        <f>IF(OR(P81="$",N81=1),+T81,"")</f>
        <v/>
      </c>
      <c r="T81" s="99">
        <f>H81*[1]!FMainPool1Fee+I81*[1]!FMainPool2Fee+J81*[1]!FMainPool3Fee+K81*[1]!FMainPool4Fee+B81*[1]!FMainEntryFee</f>
        <v>0</v>
      </c>
      <c r="U81" s="100"/>
      <c r="V81" s="101"/>
      <c r="W81" s="102"/>
      <c r="X81" s="103"/>
      <c r="Y81" s="103"/>
      <c r="Z81" s="104"/>
    </row>
    <row r="82" spans="1:26" ht="15.75">
      <c r="A82" s="90">
        <f t="shared" si="3"/>
        <v>71</v>
      </c>
      <c r="B82" s="91"/>
      <c r="C82" s="107" t="s">
        <v>44</v>
      </c>
      <c r="D82" s="107" t="s">
        <v>45</v>
      </c>
      <c r="E82" s="108" t="s">
        <v>46</v>
      </c>
      <c r="F82" s="113" t="s">
        <v>459</v>
      </c>
      <c r="G82" s="112" t="s">
        <v>460</v>
      </c>
      <c r="H82" s="96"/>
      <c r="I82" s="91"/>
      <c r="J82" s="91"/>
      <c r="K82" s="91"/>
      <c r="L82" s="91"/>
      <c r="M82" s="91"/>
      <c r="N82" s="91"/>
      <c r="O82" s="97">
        <f>T82*N82</f>
        <v>0</v>
      </c>
      <c r="P82" s="91" t="s">
        <v>796</v>
      </c>
      <c r="Q82" s="91"/>
      <c r="R82" s="98">
        <f>IF(OR(P82="c",P82="C"),+T82,"")</f>
        <v>0</v>
      </c>
      <c r="S82" s="98" t="str">
        <f>IF(OR(P82="$",N82=1),+T82,"")</f>
        <v/>
      </c>
      <c r="T82" s="99">
        <f>H82*[1]!FMainPool1Fee+I82*[1]!FMainPool2Fee+J82*[1]!FMainPool3Fee+K82*[1]!FMainPool4Fee+B82*[1]!FMainEntryFee</f>
        <v>0</v>
      </c>
      <c r="U82" s="100"/>
      <c r="V82" s="101"/>
      <c r="W82" s="102"/>
      <c r="X82" s="103"/>
      <c r="Y82" s="103"/>
      <c r="Z82" s="104"/>
    </row>
    <row r="83" spans="1:26" ht="15.75">
      <c r="A83" s="90">
        <f t="shared" si="3"/>
        <v>72</v>
      </c>
      <c r="B83" s="91"/>
      <c r="C83" s="107" t="s">
        <v>47</v>
      </c>
      <c r="D83" s="107" t="s">
        <v>45</v>
      </c>
      <c r="E83" s="108" t="s">
        <v>48</v>
      </c>
      <c r="F83" s="113" t="s">
        <v>459</v>
      </c>
      <c r="G83" s="112" t="s">
        <v>460</v>
      </c>
      <c r="H83" s="96"/>
      <c r="I83" s="91"/>
      <c r="J83" s="91"/>
      <c r="K83" s="91"/>
      <c r="L83" s="91"/>
      <c r="M83" s="91"/>
      <c r="N83" s="91"/>
      <c r="O83" s="97">
        <f>T83*N83</f>
        <v>0</v>
      </c>
      <c r="P83" s="91" t="s">
        <v>796</v>
      </c>
      <c r="Q83" s="91"/>
      <c r="R83" s="98">
        <f>IF(OR(P83="c",P83="C"),+T83,"")</f>
        <v>0</v>
      </c>
      <c r="S83" s="98" t="str">
        <f>IF(OR(P83="$",N83=1),+T83,"")</f>
        <v/>
      </c>
      <c r="T83" s="99">
        <f>H83*[1]!FMainPool1Fee+I83*[1]!FMainPool2Fee+J83*[1]!FMainPool3Fee+K83*[1]!FMainPool4Fee+B83*[1]!FMainEntryFee</f>
        <v>0</v>
      </c>
      <c r="U83" s="100"/>
      <c r="V83" s="101"/>
      <c r="W83" s="102"/>
      <c r="X83" s="103"/>
      <c r="Y83" s="103"/>
      <c r="Z83" s="104"/>
    </row>
    <row r="84" spans="1:26" ht="15.75">
      <c r="A84" s="90">
        <f t="shared" si="3"/>
        <v>73</v>
      </c>
      <c r="B84" s="91"/>
      <c r="C84" s="92" t="s">
        <v>49</v>
      </c>
      <c r="D84" s="92" t="s">
        <v>50</v>
      </c>
      <c r="E84" s="93" t="s">
        <v>51</v>
      </c>
      <c r="F84" s="169"/>
      <c r="G84" s="112" t="s">
        <v>461</v>
      </c>
      <c r="H84" s="96"/>
      <c r="I84" s="91"/>
      <c r="J84" s="91"/>
      <c r="K84" s="91"/>
      <c r="L84" s="91"/>
      <c r="M84" s="91"/>
      <c r="N84" s="91"/>
      <c r="O84" s="97">
        <f>T84*N84</f>
        <v>0</v>
      </c>
      <c r="P84" s="91" t="s">
        <v>796</v>
      </c>
      <c r="Q84" s="91"/>
      <c r="R84" s="98">
        <f>IF(OR(P84="c",P84="C"),+T84,"")</f>
        <v>0</v>
      </c>
      <c r="S84" s="98" t="str">
        <f>IF(OR(P84="$",N84=1),+T84,"")</f>
        <v/>
      </c>
      <c r="T84" s="99">
        <f>H84*[1]!FMainPool1Fee+I84*[1]!FMainPool2Fee+J84*[1]!FMainPool3Fee+K84*[1]!FMainPool4Fee+B84*[1]!FMainEntryFee</f>
        <v>0</v>
      </c>
      <c r="U84" s="100"/>
      <c r="V84" s="101"/>
      <c r="W84" s="102"/>
      <c r="X84" s="103"/>
      <c r="Y84" s="103"/>
      <c r="Z84" s="104"/>
    </row>
    <row r="85" spans="1:26" ht="15.75">
      <c r="A85" s="90">
        <f t="shared" si="3"/>
        <v>74</v>
      </c>
      <c r="B85" s="91"/>
      <c r="C85" s="92" t="s">
        <v>52</v>
      </c>
      <c r="D85" s="107" t="s">
        <v>45</v>
      </c>
      <c r="E85" s="93" t="s">
        <v>53</v>
      </c>
      <c r="F85" s="94" t="s">
        <v>462</v>
      </c>
      <c r="G85" s="112" t="s">
        <v>463</v>
      </c>
      <c r="H85" s="96"/>
      <c r="I85" s="91"/>
      <c r="J85" s="91"/>
      <c r="K85" s="91"/>
      <c r="L85" s="91"/>
      <c r="M85" s="91"/>
      <c r="N85" s="91"/>
      <c r="O85" s="97">
        <f>T85*N85</f>
        <v>0</v>
      </c>
      <c r="P85" s="91" t="s">
        <v>796</v>
      </c>
      <c r="Q85" s="91"/>
      <c r="R85" s="98">
        <f>IF(OR(P85="c",P85="C"),+T85,"")</f>
        <v>0</v>
      </c>
      <c r="S85" s="98" t="str">
        <f>IF(OR(P85="$",N85=1),+T85,"")</f>
        <v/>
      </c>
      <c r="T85" s="99">
        <f>H85*[1]!FMainPool1Fee+I85*[1]!FMainPool2Fee+J85*[1]!FMainPool3Fee+K85*[1]!FMainPool4Fee+B85*[1]!FMainEntryFee</f>
        <v>0</v>
      </c>
      <c r="U85" s="100"/>
      <c r="V85" s="101"/>
      <c r="W85" s="102"/>
      <c r="X85" s="103"/>
      <c r="Y85" s="103"/>
      <c r="Z85" s="104"/>
    </row>
    <row r="86" spans="1:26" ht="15.75">
      <c r="A86" s="90">
        <f t="shared" si="3"/>
        <v>75</v>
      </c>
      <c r="B86" s="91"/>
      <c r="C86" s="92" t="s">
        <v>54</v>
      </c>
      <c r="D86" s="92" t="s">
        <v>55</v>
      </c>
      <c r="E86" s="93" t="s">
        <v>56</v>
      </c>
      <c r="F86" s="94"/>
      <c r="G86" s="112" t="s">
        <v>464</v>
      </c>
      <c r="H86" s="96"/>
      <c r="I86" s="91"/>
      <c r="J86" s="91"/>
      <c r="K86" s="91"/>
      <c r="L86" s="91"/>
      <c r="M86" s="91"/>
      <c r="N86" s="91"/>
      <c r="O86" s="97">
        <f>T86*N86</f>
        <v>0</v>
      </c>
      <c r="P86" s="91" t="s">
        <v>796</v>
      </c>
      <c r="Q86" s="91"/>
      <c r="R86" s="98">
        <f>IF(OR(P86="c",P86="C"),+T86,"")</f>
        <v>0</v>
      </c>
      <c r="S86" s="98" t="str">
        <f>IF(OR(P86="$",N86=1),+T86,"")</f>
        <v/>
      </c>
      <c r="T86" s="99">
        <f>H86*[1]!FMainPool1Fee+I86*[1]!FMainPool2Fee+J86*[1]!FMainPool3Fee+K86*[1]!FMainPool4Fee+B86*[1]!FMainEntryFee</f>
        <v>0</v>
      </c>
      <c r="U86" s="100"/>
      <c r="V86" s="101"/>
      <c r="W86" s="102">
        <v>1</v>
      </c>
      <c r="X86" s="103"/>
      <c r="Y86" s="103"/>
      <c r="Z86" s="104"/>
    </row>
    <row r="87" spans="1:26" ht="15.75">
      <c r="A87" s="90">
        <f t="shared" si="3"/>
        <v>76</v>
      </c>
      <c r="B87" s="91"/>
      <c r="C87" s="92" t="s">
        <v>752</v>
      </c>
      <c r="D87" s="92" t="s">
        <v>753</v>
      </c>
      <c r="E87" s="93" t="s">
        <v>754</v>
      </c>
      <c r="F87" s="94">
        <v>9255487664</v>
      </c>
      <c r="G87" s="116" t="s">
        <v>755</v>
      </c>
      <c r="H87" s="96"/>
      <c r="I87" s="91"/>
      <c r="J87" s="91"/>
      <c r="K87" s="91"/>
      <c r="L87" s="91"/>
      <c r="M87" s="91"/>
      <c r="N87" s="91"/>
      <c r="O87" s="97">
        <f>T87*N87</f>
        <v>0</v>
      </c>
      <c r="P87" s="91" t="s">
        <v>796</v>
      </c>
      <c r="Q87" s="91"/>
      <c r="R87" s="98">
        <f>IF(OR(P87="c",P87="C"),+T87,"")</f>
        <v>0</v>
      </c>
      <c r="S87" s="98" t="str">
        <f>IF(OR(P87="$",N87=1),+T87,"")</f>
        <v/>
      </c>
      <c r="T87" s="99">
        <f>H87*[1]!FMainPool1Fee+I87*[1]!FMainPool2Fee+J87*[1]!FMainPool3Fee+K87*[1]!FMainPool4Fee+B87*[1]!FMainEntryFee</f>
        <v>0</v>
      </c>
      <c r="U87" s="100"/>
      <c r="V87" s="101"/>
      <c r="W87" s="102"/>
      <c r="X87" s="103"/>
      <c r="Y87" s="103"/>
      <c r="Z87" s="104"/>
    </row>
    <row r="88" spans="1:26" ht="15.75">
      <c r="A88" s="90">
        <f t="shared" si="3"/>
        <v>77</v>
      </c>
      <c r="B88" s="91"/>
      <c r="C88" s="92" t="s">
        <v>702</v>
      </c>
      <c r="D88" s="92" t="s">
        <v>235</v>
      </c>
      <c r="E88" s="93" t="s">
        <v>703</v>
      </c>
      <c r="F88" s="94">
        <v>9254322030</v>
      </c>
      <c r="G88" s="112" t="s">
        <v>468</v>
      </c>
      <c r="H88" s="96"/>
      <c r="I88" s="91"/>
      <c r="J88" s="91"/>
      <c r="K88" s="91"/>
      <c r="L88" s="91"/>
      <c r="M88" s="91"/>
      <c r="N88" s="91"/>
      <c r="O88" s="97">
        <f>T88*N88</f>
        <v>0</v>
      </c>
      <c r="P88" s="91" t="s">
        <v>796</v>
      </c>
      <c r="Q88" s="91"/>
      <c r="R88" s="98">
        <f>IF(OR(P88="c",P88="C"),+T88,"")</f>
        <v>0</v>
      </c>
      <c r="S88" s="98" t="str">
        <f>IF(OR(P88="$",N88=1),+T88,"")</f>
        <v/>
      </c>
      <c r="T88" s="99">
        <f>H88*[1]!FMainPool1Fee+I88*[1]!FMainPool2Fee+J88*[1]!FMainPool3Fee+K88*[1]!FMainPool4Fee+B88*[1]!FMainEntryFee</f>
        <v>0</v>
      </c>
      <c r="U88" s="100"/>
      <c r="V88" s="101"/>
      <c r="W88" s="102"/>
      <c r="X88" s="103"/>
      <c r="Y88" s="103"/>
      <c r="Z88" s="104"/>
    </row>
    <row r="89" spans="1:26" ht="15.75">
      <c r="A89" s="90">
        <f t="shared" si="3"/>
        <v>78</v>
      </c>
      <c r="B89" s="91"/>
      <c r="C89" s="92" t="s">
        <v>760</v>
      </c>
      <c r="D89" s="92" t="s">
        <v>72</v>
      </c>
      <c r="E89" s="93" t="s">
        <v>761</v>
      </c>
      <c r="F89" s="94">
        <v>7078430341</v>
      </c>
      <c r="G89" s="120" t="s">
        <v>762</v>
      </c>
      <c r="H89" s="96"/>
      <c r="I89" s="91"/>
      <c r="J89" s="91"/>
      <c r="K89" s="91"/>
      <c r="L89" s="91"/>
      <c r="M89" s="91"/>
      <c r="N89" s="91"/>
      <c r="O89" s="97">
        <f>T89*N89</f>
        <v>0</v>
      </c>
      <c r="P89" s="91" t="s">
        <v>796</v>
      </c>
      <c r="Q89" s="91"/>
      <c r="R89" s="98">
        <f>IF(OR(P89="c",P89="C"),+T89,"")</f>
        <v>0</v>
      </c>
      <c r="S89" s="98" t="str">
        <f>IF(OR(P89="$",N89=1),+T89,"")</f>
        <v/>
      </c>
      <c r="T89" s="99">
        <f>H89*[1]!FMainPool1Fee+I89*[1]!FMainPool2Fee+J89*[1]!FMainPool3Fee+K89*[1]!FMainPool4Fee+B89*[1]!FMainEntryFee</f>
        <v>0</v>
      </c>
      <c r="U89" s="100"/>
      <c r="V89" s="101"/>
      <c r="W89" s="102"/>
      <c r="X89" s="103"/>
      <c r="Y89" s="103"/>
      <c r="Z89" s="104"/>
    </row>
    <row r="90" spans="1:26" ht="15.75">
      <c r="A90" s="90">
        <f t="shared" si="3"/>
        <v>79</v>
      </c>
      <c r="B90" s="91"/>
      <c r="C90" s="92" t="s">
        <v>57</v>
      </c>
      <c r="D90" s="92" t="s">
        <v>58</v>
      </c>
      <c r="E90" s="93" t="s">
        <v>59</v>
      </c>
      <c r="F90" s="94"/>
      <c r="G90" s="112" t="s">
        <v>465</v>
      </c>
      <c r="H90" s="96"/>
      <c r="I90" s="91"/>
      <c r="J90" s="91"/>
      <c r="K90" s="91"/>
      <c r="L90" s="91"/>
      <c r="M90" s="91"/>
      <c r="N90" s="91"/>
      <c r="O90" s="97"/>
      <c r="P90" s="91" t="s">
        <v>796</v>
      </c>
      <c r="Q90" s="91"/>
      <c r="R90" s="98">
        <f>IF(OR(P90="c",P90="C"),+T90,"")</f>
        <v>0</v>
      </c>
      <c r="S90" s="98" t="str">
        <f>IF(OR(P90="$",N90=1),+T90,"")</f>
        <v/>
      </c>
      <c r="T90" s="99"/>
      <c r="U90" s="100"/>
      <c r="V90" s="101"/>
      <c r="W90" s="102"/>
      <c r="X90" s="103"/>
      <c r="Y90" s="103"/>
      <c r="Z90" s="104"/>
    </row>
    <row r="91" spans="1:26" ht="15.75">
      <c r="A91" s="90">
        <f t="shared" si="3"/>
        <v>80</v>
      </c>
      <c r="B91" s="91"/>
      <c r="C91" s="107" t="s">
        <v>60</v>
      </c>
      <c r="D91" s="107" t="s">
        <v>61</v>
      </c>
      <c r="E91" s="108" t="s">
        <v>62</v>
      </c>
      <c r="F91" s="113">
        <v>9253213485</v>
      </c>
      <c r="G91" s="112" t="s">
        <v>466</v>
      </c>
      <c r="H91" s="96"/>
      <c r="I91" s="91"/>
      <c r="J91" s="91"/>
      <c r="K91" s="91"/>
      <c r="L91" s="91"/>
      <c r="M91" s="91"/>
      <c r="N91" s="91"/>
      <c r="O91" s="97">
        <f>T91*N91</f>
        <v>0</v>
      </c>
      <c r="P91" s="91" t="s">
        <v>796</v>
      </c>
      <c r="Q91" s="91"/>
      <c r="R91" s="98">
        <f>IF(OR(P91="c",P91="C"),+T91,"")</f>
        <v>0</v>
      </c>
      <c r="S91" s="98" t="str">
        <f>IF(OR(P91="$",N91=1),+T91,"")</f>
        <v/>
      </c>
      <c r="T91" s="99">
        <f>H91*[1]!FMainPool1Fee+I91*[1]!FMainPool2Fee+J91*[1]!FMainPool3Fee+K91*[1]!FMainPool4Fee+B91*[1]!FMainEntryFee</f>
        <v>0</v>
      </c>
      <c r="U91" s="100"/>
      <c r="V91" s="101"/>
      <c r="W91" s="102"/>
      <c r="X91" s="103"/>
      <c r="Y91" s="103"/>
      <c r="Z91" s="104"/>
    </row>
    <row r="92" spans="1:26" ht="15.75">
      <c r="A92" s="90">
        <f t="shared" si="3"/>
        <v>81</v>
      </c>
      <c r="B92" s="91"/>
      <c r="C92" s="92" t="s">
        <v>66</v>
      </c>
      <c r="D92" s="92" t="s">
        <v>67</v>
      </c>
      <c r="E92" s="93" t="s">
        <v>68</v>
      </c>
      <c r="F92" s="94"/>
      <c r="G92" s="112"/>
      <c r="H92" s="96"/>
      <c r="I92" s="91"/>
      <c r="J92" s="91"/>
      <c r="K92" s="91"/>
      <c r="L92" s="91"/>
      <c r="M92" s="91"/>
      <c r="N92" s="91"/>
      <c r="O92" s="97">
        <f>T92*N92</f>
        <v>0</v>
      </c>
      <c r="P92" s="91" t="s">
        <v>796</v>
      </c>
      <c r="Q92" s="91"/>
      <c r="R92" s="98">
        <f>IF(OR(P92="c",P92="C"),+T92,"")</f>
        <v>0</v>
      </c>
      <c r="S92" s="98" t="str">
        <f>IF(OR(P92="$",N92=1),+T92,"")</f>
        <v/>
      </c>
      <c r="T92" s="99">
        <f>H92*[1]!FMainPool1Fee+I92*[1]!FMainPool2Fee+J92*[1]!FMainPool3Fee+K92*[1]!FMainPool4Fee+B92*[1]!FMainEntryFee</f>
        <v>0</v>
      </c>
      <c r="U92" s="100"/>
      <c r="V92" s="101"/>
      <c r="W92" s="102"/>
      <c r="X92" s="103"/>
      <c r="Y92" s="103"/>
      <c r="Z92" s="104"/>
    </row>
    <row r="93" spans="1:26" ht="15.75">
      <c r="A93" s="90">
        <f t="shared" si="3"/>
        <v>82</v>
      </c>
      <c r="B93" s="91"/>
      <c r="C93" s="92" t="s">
        <v>69</v>
      </c>
      <c r="D93" s="92" t="s">
        <v>67</v>
      </c>
      <c r="E93" s="93" t="s">
        <v>70</v>
      </c>
      <c r="F93" s="94"/>
      <c r="G93" s="95" t="s">
        <v>467</v>
      </c>
      <c r="H93" s="96"/>
      <c r="I93" s="91"/>
      <c r="J93" s="91"/>
      <c r="K93" s="91"/>
      <c r="L93" s="91"/>
      <c r="M93" s="91"/>
      <c r="N93" s="91"/>
      <c r="O93" s="97">
        <f>T93*N93</f>
        <v>0</v>
      </c>
      <c r="P93" s="91" t="s">
        <v>796</v>
      </c>
      <c r="Q93" s="91"/>
      <c r="R93" s="98">
        <f>IF(OR(P93="c",P93="C"),+T93,"")</f>
        <v>0</v>
      </c>
      <c r="S93" s="98" t="str">
        <f>IF(OR(P93="$",N93=1),+T93,"")</f>
        <v/>
      </c>
      <c r="T93" s="99">
        <f>H93*[1]!FMainPool1Fee+I93*[1]!FMainPool2Fee+J93*[1]!FMainPool3Fee+K93*[1]!FMainPool4Fee+B93*[1]!FMainEntryFee</f>
        <v>0</v>
      </c>
      <c r="U93" s="100"/>
      <c r="V93" s="101"/>
      <c r="W93" s="102"/>
      <c r="X93" s="103"/>
      <c r="Y93" s="103"/>
      <c r="Z93" s="104"/>
    </row>
    <row r="94" spans="1:26" ht="15.75">
      <c r="A94" s="90">
        <f t="shared" si="3"/>
        <v>83</v>
      </c>
      <c r="B94" s="91"/>
      <c r="C94" s="92" t="s">
        <v>828</v>
      </c>
      <c r="D94" s="92" t="s">
        <v>45</v>
      </c>
      <c r="E94" s="93" t="s">
        <v>829</v>
      </c>
      <c r="F94" s="94">
        <v>7072252742</v>
      </c>
      <c r="G94" s="95" t="s">
        <v>830</v>
      </c>
      <c r="H94" s="96"/>
      <c r="I94" s="91"/>
      <c r="J94" s="91"/>
      <c r="K94" s="91"/>
      <c r="L94" s="91"/>
      <c r="M94" s="91"/>
      <c r="N94" s="91"/>
      <c r="O94" s="97">
        <f>T94*N94</f>
        <v>0</v>
      </c>
      <c r="P94" s="91" t="s">
        <v>799</v>
      </c>
      <c r="Q94" s="91"/>
      <c r="R94" s="98" t="str">
        <f>IF(OR(P94="c",P94="C"),+T94,"")</f>
        <v/>
      </c>
      <c r="S94" s="98">
        <f>IF(OR(P94="$",N94=1),+T94,"")</f>
        <v>0</v>
      </c>
      <c r="T94" s="99">
        <f>H94*[1]!FMainPool1Fee+I94*[1]!FMainPool2Fee+J94*[1]!FMainPool3Fee+K94*[1]!FMainPool4Fee+B94*[1]!FMainEntryFee</f>
        <v>0</v>
      </c>
      <c r="U94" s="100">
        <v>1</v>
      </c>
      <c r="V94" s="101"/>
      <c r="W94" s="102"/>
      <c r="X94" s="103"/>
      <c r="Y94" s="103"/>
      <c r="Z94" s="104" t="s">
        <v>838</v>
      </c>
    </row>
    <row r="95" spans="1:26" ht="15.75">
      <c r="A95" s="90">
        <f t="shared" si="3"/>
        <v>84</v>
      </c>
      <c r="B95" s="91"/>
      <c r="C95" s="107" t="s">
        <v>74</v>
      </c>
      <c r="D95" s="107" t="s">
        <v>75</v>
      </c>
      <c r="E95" s="108" t="s">
        <v>76</v>
      </c>
      <c r="F95" s="170"/>
      <c r="G95" s="112" t="s">
        <v>469</v>
      </c>
      <c r="H95" s="96"/>
      <c r="I95" s="91"/>
      <c r="J95" s="91"/>
      <c r="K95" s="91"/>
      <c r="L95" s="91"/>
      <c r="M95" s="91"/>
      <c r="N95" s="91"/>
      <c r="O95" s="97">
        <f>T95*N95</f>
        <v>0</v>
      </c>
      <c r="P95" s="91" t="s">
        <v>796</v>
      </c>
      <c r="Q95" s="91"/>
      <c r="R95" s="98">
        <f>IF(OR(P95="c",P95="C"),+T95,"")</f>
        <v>0</v>
      </c>
      <c r="S95" s="98" t="str">
        <f>IF(OR(P95="$",N95=1),+T95,"")</f>
        <v/>
      </c>
      <c r="T95" s="99">
        <f>H95*[1]!FMainPool1Fee+I95*[1]!FMainPool2Fee+J95*[1]!FMainPool3Fee+K95*[1]!FMainPool4Fee+B95*[1]!FMainEntryFee</f>
        <v>0</v>
      </c>
      <c r="U95" s="100"/>
      <c r="V95" s="101"/>
      <c r="W95" s="102"/>
      <c r="X95" s="103"/>
      <c r="Y95" s="103"/>
      <c r="Z95" s="104"/>
    </row>
    <row r="96" spans="1:26" ht="15.75">
      <c r="A96" s="90">
        <f t="shared" si="3"/>
        <v>85</v>
      </c>
      <c r="B96" s="91"/>
      <c r="C96" s="107" t="s">
        <v>77</v>
      </c>
      <c r="D96" s="107" t="s">
        <v>78</v>
      </c>
      <c r="E96" s="90" t="s">
        <v>79</v>
      </c>
      <c r="F96" s="109" t="s">
        <v>470</v>
      </c>
      <c r="G96" s="105" t="s">
        <v>471</v>
      </c>
      <c r="H96" s="96"/>
      <c r="I96" s="91"/>
      <c r="J96" s="91"/>
      <c r="K96" s="91"/>
      <c r="L96" s="91"/>
      <c r="M96" s="91"/>
      <c r="N96" s="91"/>
      <c r="O96" s="97">
        <f>T96*N96</f>
        <v>0</v>
      </c>
      <c r="P96" s="91" t="s">
        <v>796</v>
      </c>
      <c r="Q96" s="91"/>
      <c r="R96" s="98">
        <f>IF(OR(P96="c",P96="C"),+T96,"")</f>
        <v>0</v>
      </c>
      <c r="S96" s="98" t="str">
        <f>IF(OR(P96="$",N96=1),+T96,"")</f>
        <v/>
      </c>
      <c r="T96" s="99">
        <f>H96*[1]!FMainPool1Fee+I96*[1]!FMainPool2Fee+J96*[1]!FMainPool3Fee+K96*[1]!FMainPool4Fee+B96*[1]!FMainEntryFee</f>
        <v>0</v>
      </c>
      <c r="U96" s="100"/>
      <c r="V96" s="101"/>
      <c r="W96" s="102"/>
      <c r="X96" s="103"/>
      <c r="Y96" s="103"/>
      <c r="Z96" s="104"/>
    </row>
    <row r="97" spans="1:26" ht="15.75">
      <c r="A97" s="90">
        <f t="shared" si="3"/>
        <v>86</v>
      </c>
      <c r="B97" s="91"/>
      <c r="C97" s="105" t="s">
        <v>704</v>
      </c>
      <c r="D97" s="105" t="s">
        <v>67</v>
      </c>
      <c r="E97" s="102" t="s">
        <v>705</v>
      </c>
      <c r="F97" s="109">
        <v>7075027980</v>
      </c>
      <c r="G97" s="118" t="s">
        <v>706</v>
      </c>
      <c r="H97" s="96"/>
      <c r="I97" s="91"/>
      <c r="J97" s="91"/>
      <c r="K97" s="91"/>
      <c r="L97" s="91"/>
      <c r="M97" s="91"/>
      <c r="N97" s="91"/>
      <c r="O97" s="97">
        <f>T97*N97</f>
        <v>0</v>
      </c>
      <c r="P97" s="91" t="s">
        <v>796</v>
      </c>
      <c r="Q97" s="91"/>
      <c r="R97" s="98">
        <f>IF(OR(P97="c",P97="C"),+T97,"")</f>
        <v>0</v>
      </c>
      <c r="S97" s="98" t="str">
        <f>IF(OR(P97="$",N97=1),+T97,"")</f>
        <v/>
      </c>
      <c r="T97" s="99">
        <f>H97*[1]!FMainPool1Fee+I97*[1]!FMainPool2Fee+J97*[1]!FMainPool3Fee+K97*[1]!FMainPool4Fee+B97*[1]!FMainEntryFee</f>
        <v>0</v>
      </c>
      <c r="U97" s="100"/>
      <c r="V97" s="101"/>
      <c r="W97" s="102"/>
      <c r="X97" s="103"/>
      <c r="Y97" s="103">
        <v>1</v>
      </c>
      <c r="Z97" s="104"/>
    </row>
    <row r="98" spans="1:26" ht="15.75">
      <c r="A98" s="90">
        <f t="shared" si="3"/>
        <v>87</v>
      </c>
      <c r="B98" s="91"/>
      <c r="C98" s="107" t="s">
        <v>83</v>
      </c>
      <c r="D98" s="107" t="s">
        <v>84</v>
      </c>
      <c r="E98" s="108" t="s">
        <v>85</v>
      </c>
      <c r="F98" s="170"/>
      <c r="G98" s="112" t="s">
        <v>473</v>
      </c>
      <c r="H98" s="96"/>
      <c r="I98" s="91"/>
      <c r="J98" s="91"/>
      <c r="K98" s="91"/>
      <c r="L98" s="91"/>
      <c r="M98" s="91"/>
      <c r="N98" s="91"/>
      <c r="O98" s="97">
        <f>T98*N98</f>
        <v>0</v>
      </c>
      <c r="P98" s="91" t="s">
        <v>796</v>
      </c>
      <c r="Q98" s="91"/>
      <c r="R98" s="98">
        <f>IF(OR(P98="c",P98="C"),+T98,"")</f>
        <v>0</v>
      </c>
      <c r="S98" s="98" t="str">
        <f>IF(OR(P98="$",N98=1),+T98,"")</f>
        <v/>
      </c>
      <c r="T98" s="99">
        <f>H98*[1]!FMainPool1Fee+I98*[1]!FMainPool2Fee+J98*[1]!FMainPool3Fee+K98*[1]!FMainPool4Fee+B98*[1]!FMainEntryFee</f>
        <v>0</v>
      </c>
      <c r="U98" s="100"/>
      <c r="V98" s="101"/>
      <c r="W98" s="102"/>
      <c r="X98" s="103"/>
      <c r="Y98" s="103"/>
      <c r="Z98" s="104"/>
    </row>
    <row r="99" spans="1:26" ht="15.75">
      <c r="A99" s="90">
        <f t="shared" si="3"/>
        <v>88</v>
      </c>
      <c r="B99" s="91"/>
      <c r="C99" s="92" t="s">
        <v>88</v>
      </c>
      <c r="D99" s="92" t="s">
        <v>84</v>
      </c>
      <c r="E99" s="93" t="s">
        <v>89</v>
      </c>
      <c r="F99" s="94"/>
      <c r="G99" s="112" t="s">
        <v>475</v>
      </c>
      <c r="H99" s="96"/>
      <c r="I99" s="91"/>
      <c r="J99" s="91"/>
      <c r="K99" s="91"/>
      <c r="L99" s="91"/>
      <c r="M99" s="91"/>
      <c r="N99" s="91"/>
      <c r="O99" s="97">
        <f>T99*N99</f>
        <v>0</v>
      </c>
      <c r="P99" s="91" t="s">
        <v>796</v>
      </c>
      <c r="Q99" s="91"/>
      <c r="R99" s="98">
        <f>IF(OR(P99="c",P99="C"),+T99,"")</f>
        <v>0</v>
      </c>
      <c r="S99" s="98" t="str">
        <f>IF(OR(P99="$",N99=1),+T99,"")</f>
        <v/>
      </c>
      <c r="T99" s="99">
        <f>H99*[1]!FMainPool1Fee+I99*[1]!FMainPool2Fee+J99*[1]!FMainPool3Fee+K99*[1]!FMainPool4Fee+B99*[1]!FMainEntryFee</f>
        <v>0</v>
      </c>
      <c r="U99" s="100"/>
      <c r="V99" s="101"/>
      <c r="W99" s="102"/>
      <c r="X99" s="103">
        <v>1</v>
      </c>
      <c r="Y99" s="103"/>
      <c r="Z99" s="104"/>
    </row>
    <row r="100" spans="1:26" ht="15.75">
      <c r="A100" s="90">
        <f t="shared" si="3"/>
        <v>89</v>
      </c>
      <c r="B100" s="91"/>
      <c r="C100" s="107" t="s">
        <v>93</v>
      </c>
      <c r="D100" s="107" t="s">
        <v>94</v>
      </c>
      <c r="E100" s="108" t="s">
        <v>95</v>
      </c>
      <c r="F100" s="113"/>
      <c r="G100" s="112" t="s">
        <v>478</v>
      </c>
      <c r="H100" s="96"/>
      <c r="I100" s="91"/>
      <c r="J100" s="91"/>
      <c r="K100" s="91"/>
      <c r="L100" s="91"/>
      <c r="M100" s="91"/>
      <c r="N100" s="91"/>
      <c r="O100" s="97">
        <f>T100*N100</f>
        <v>0</v>
      </c>
      <c r="P100" s="91" t="s">
        <v>796</v>
      </c>
      <c r="Q100" s="91"/>
      <c r="R100" s="98">
        <f>IF(OR(P100="c",P100="C"),+T100,"")</f>
        <v>0</v>
      </c>
      <c r="S100" s="98" t="str">
        <f>IF(OR(P100="$",N100=1),+T100,"")</f>
        <v/>
      </c>
      <c r="T100" s="99">
        <f>H100*[1]!FMainPool1Fee+I100*[1]!FMainPool2Fee+J100*[1]!FMainPool3Fee+K100*[1]!FMainPool4Fee+B100*[1]!FMainEntryFee</f>
        <v>0</v>
      </c>
      <c r="U100" s="100"/>
      <c r="V100" s="101"/>
      <c r="W100" s="102"/>
      <c r="X100" s="103"/>
      <c r="Y100" s="103"/>
      <c r="Z100" s="104"/>
    </row>
    <row r="101" spans="1:26" ht="15.75">
      <c r="A101" s="90">
        <f t="shared" si="3"/>
        <v>90</v>
      </c>
      <c r="B101" s="91"/>
      <c r="C101" s="92" t="s">
        <v>96</v>
      </c>
      <c r="D101" s="92" t="s">
        <v>97</v>
      </c>
      <c r="E101" s="93" t="s">
        <v>98</v>
      </c>
      <c r="F101" s="94"/>
      <c r="G101" s="112" t="s">
        <v>479</v>
      </c>
      <c r="H101" s="96"/>
      <c r="I101" s="91"/>
      <c r="J101" s="91"/>
      <c r="K101" s="91"/>
      <c r="L101" s="91"/>
      <c r="M101" s="91"/>
      <c r="N101" s="91"/>
      <c r="O101" s="97">
        <f>T101*N101</f>
        <v>0</v>
      </c>
      <c r="P101" s="91" t="s">
        <v>796</v>
      </c>
      <c r="Q101" s="91"/>
      <c r="R101" s="98">
        <f>IF(OR(P101="c",P101="C"),+T101,"")</f>
        <v>0</v>
      </c>
      <c r="S101" s="98" t="str">
        <f>IF(OR(P101="$",N101=1),+T101,"")</f>
        <v/>
      </c>
      <c r="T101" s="99">
        <f>H101*[1]!FMainPool1Fee+I101*[1]!FMainPool2Fee+J101*[1]!FMainPool3Fee+K101*[1]!FMainPool4Fee+B101*[1]!FMainEntryFee</f>
        <v>0</v>
      </c>
      <c r="U101" s="100"/>
      <c r="V101" s="101"/>
      <c r="W101" s="102">
        <v>1</v>
      </c>
      <c r="X101" s="103"/>
      <c r="Y101" s="103"/>
      <c r="Z101" s="104"/>
    </row>
    <row r="102" spans="1:26" ht="15.75">
      <c r="A102" s="90">
        <f t="shared" si="3"/>
        <v>91</v>
      </c>
      <c r="B102" s="91"/>
      <c r="C102" s="107" t="s">
        <v>99</v>
      </c>
      <c r="D102" s="107" t="s">
        <v>100</v>
      </c>
      <c r="E102" s="108" t="s">
        <v>101</v>
      </c>
      <c r="F102" s="113"/>
      <c r="G102" s="112" t="s">
        <v>480</v>
      </c>
      <c r="H102" s="96"/>
      <c r="I102" s="91"/>
      <c r="J102" s="91"/>
      <c r="K102" s="91"/>
      <c r="L102" s="91"/>
      <c r="M102" s="91"/>
      <c r="N102" s="91"/>
      <c r="O102" s="97">
        <f>T102*N102</f>
        <v>0</v>
      </c>
      <c r="P102" s="91" t="s">
        <v>796</v>
      </c>
      <c r="Q102" s="91"/>
      <c r="R102" s="98">
        <f>IF(OR(P102="c",P102="C"),+T102,"")</f>
        <v>0</v>
      </c>
      <c r="S102" s="98" t="str">
        <f>IF(OR(P102="$",N102=1),+T102,"")</f>
        <v/>
      </c>
      <c r="T102" s="99">
        <f>H102*[1]!FMainPool1Fee+I102*[1]!FMainPool2Fee+J102*[1]!FMainPool3Fee+K102*[1]!FMainPool4Fee+B102*[1]!FMainEntryFee</f>
        <v>0</v>
      </c>
      <c r="U102" s="100"/>
      <c r="V102" s="101"/>
      <c r="W102" s="102"/>
      <c r="X102" s="103"/>
      <c r="Y102" s="103">
        <v>1</v>
      </c>
      <c r="Z102" s="104" t="s">
        <v>751</v>
      </c>
    </row>
    <row r="103" spans="1:26" ht="15.75">
      <c r="A103" s="90">
        <f t="shared" ref="A103:A133" si="4">ROW() - ROW(FRegentiresEneteredHdr)</f>
        <v>92</v>
      </c>
      <c r="B103" s="91"/>
      <c r="C103" s="92" t="s">
        <v>105</v>
      </c>
      <c r="D103" s="92" t="s">
        <v>106</v>
      </c>
      <c r="E103" s="93" t="s">
        <v>107</v>
      </c>
      <c r="F103" s="94"/>
      <c r="G103" s="112" t="s">
        <v>482</v>
      </c>
      <c r="H103" s="96"/>
      <c r="I103" s="91"/>
      <c r="J103" s="91"/>
      <c r="K103" s="91"/>
      <c r="L103" s="91"/>
      <c r="M103" s="91"/>
      <c r="N103" s="91"/>
      <c r="O103" s="97">
        <f>T103*N103</f>
        <v>0</v>
      </c>
      <c r="P103" s="91" t="s">
        <v>796</v>
      </c>
      <c r="Q103" s="91"/>
      <c r="R103" s="98">
        <f>IF(OR(P103="c",P103="C"),+T103,"")</f>
        <v>0</v>
      </c>
      <c r="S103" s="98" t="str">
        <f>IF(OR(P103="$",N103=1),+T103,"")</f>
        <v/>
      </c>
      <c r="T103" s="99">
        <f>H103*[1]!FMainPool1Fee+I103*[1]!FMainPool2Fee+J103*[1]!FMainPool3Fee+K103*[1]!FMainPool4Fee+B103*[1]!FMainEntryFee</f>
        <v>0</v>
      </c>
      <c r="U103" s="100"/>
      <c r="V103" s="101"/>
      <c r="W103" s="102"/>
      <c r="X103" s="103"/>
      <c r="Y103" s="103"/>
      <c r="Z103" s="104"/>
    </row>
    <row r="104" spans="1:26" ht="15.75">
      <c r="A104" s="90">
        <f t="shared" si="4"/>
        <v>93</v>
      </c>
      <c r="B104" s="91"/>
      <c r="C104" s="107" t="s">
        <v>110</v>
      </c>
      <c r="D104" s="107" t="s">
        <v>20</v>
      </c>
      <c r="E104" s="108" t="s">
        <v>111</v>
      </c>
      <c r="F104" s="109" t="s">
        <v>485</v>
      </c>
      <c r="G104" s="112" t="s">
        <v>486</v>
      </c>
      <c r="H104" s="96"/>
      <c r="I104" s="91"/>
      <c r="J104" s="91"/>
      <c r="K104" s="91"/>
      <c r="L104" s="91"/>
      <c r="M104" s="91"/>
      <c r="N104" s="91"/>
      <c r="O104" s="97">
        <f>T104*N104</f>
        <v>0</v>
      </c>
      <c r="P104" s="91" t="s">
        <v>796</v>
      </c>
      <c r="Q104" s="91"/>
      <c r="R104" s="98">
        <f>IF(OR(P104="c",P104="C"),+T104,"")</f>
        <v>0</v>
      </c>
      <c r="S104" s="98" t="str">
        <f>IF(OR(P104="$",N104=1),+T104,"")</f>
        <v/>
      </c>
      <c r="T104" s="99">
        <f>H104*[1]!FMainPool1Fee+I104*[1]!FMainPool2Fee+J104*[1]!FMainPool3Fee+K104*[1]!FMainPool4Fee+B104*[1]!FMainEntryFee</f>
        <v>0</v>
      </c>
      <c r="U104" s="100"/>
      <c r="V104" s="101"/>
      <c r="W104" s="102"/>
      <c r="X104" s="103"/>
      <c r="Y104" s="103"/>
      <c r="Z104" s="104"/>
    </row>
    <row r="105" spans="1:26" ht="15.75">
      <c r="A105" s="90">
        <f t="shared" si="4"/>
        <v>94</v>
      </c>
      <c r="B105" s="91"/>
      <c r="C105" s="92" t="s">
        <v>112</v>
      </c>
      <c r="D105" s="92" t="s">
        <v>55</v>
      </c>
      <c r="E105" s="93" t="s">
        <v>113</v>
      </c>
      <c r="F105" s="94"/>
      <c r="G105" s="112" t="s">
        <v>487</v>
      </c>
      <c r="H105" s="96"/>
      <c r="I105" s="91"/>
      <c r="J105" s="91"/>
      <c r="K105" s="91"/>
      <c r="L105" s="91"/>
      <c r="M105" s="91"/>
      <c r="N105" s="91"/>
      <c r="O105" s="97">
        <f>T105*N105</f>
        <v>0</v>
      </c>
      <c r="P105" s="91" t="s">
        <v>796</v>
      </c>
      <c r="Q105" s="91"/>
      <c r="R105" s="98">
        <f>IF(OR(P105="c",P105="C"),+T105,"")</f>
        <v>0</v>
      </c>
      <c r="S105" s="98" t="str">
        <f>IF(OR(P105="$",N105=1),+T105,"")</f>
        <v/>
      </c>
      <c r="T105" s="99">
        <f>H105*[1]!FMainPool1Fee+I105*[1]!FMainPool2Fee+J105*[1]!FMainPool3Fee+K105*[1]!FMainPool4Fee+B105*[1]!FMainEntryFee</f>
        <v>0</v>
      </c>
      <c r="U105" s="100"/>
      <c r="V105" s="101"/>
      <c r="W105" s="102"/>
      <c r="X105" s="103"/>
      <c r="Y105" s="103"/>
      <c r="Z105" s="104"/>
    </row>
    <row r="106" spans="1:26" ht="15.75">
      <c r="A106" s="90">
        <f t="shared" si="4"/>
        <v>95</v>
      </c>
      <c r="B106" s="91"/>
      <c r="C106" s="92" t="s">
        <v>116</v>
      </c>
      <c r="D106" s="92" t="s">
        <v>117</v>
      </c>
      <c r="E106" s="93" t="s">
        <v>118</v>
      </c>
      <c r="F106" s="94"/>
      <c r="G106" s="112"/>
      <c r="H106" s="96"/>
      <c r="I106" s="91"/>
      <c r="J106" s="91"/>
      <c r="K106" s="91"/>
      <c r="L106" s="91"/>
      <c r="M106" s="91"/>
      <c r="N106" s="91"/>
      <c r="O106" s="97">
        <f>T106*N106</f>
        <v>0</v>
      </c>
      <c r="P106" s="91" t="s">
        <v>796</v>
      </c>
      <c r="Q106" s="91"/>
      <c r="R106" s="98">
        <f>IF(OR(P106="c",P106="C"),+T106,"")</f>
        <v>0</v>
      </c>
      <c r="S106" s="98" t="str">
        <f>IF(OR(P106="$",N106=1),+T106,"")</f>
        <v/>
      </c>
      <c r="T106" s="99">
        <f>H106*[1]!FMainPool1Fee+I106*[1]!FMainPool2Fee+J106*[1]!FMainPool3Fee+K106*[1]!FMainPool4Fee+B106*[1]!FMainEntryFee</f>
        <v>0</v>
      </c>
      <c r="U106" s="100"/>
      <c r="V106" s="101"/>
      <c r="W106" s="102"/>
      <c r="X106" s="103"/>
      <c r="Y106" s="103"/>
      <c r="Z106" s="104"/>
    </row>
    <row r="107" spans="1:26" ht="15.75">
      <c r="A107" s="90">
        <f t="shared" si="4"/>
        <v>96</v>
      </c>
      <c r="B107" s="91"/>
      <c r="C107" s="92" t="s">
        <v>119</v>
      </c>
      <c r="D107" s="92" t="s">
        <v>72</v>
      </c>
      <c r="E107" s="93" t="s">
        <v>120</v>
      </c>
      <c r="F107" s="94">
        <v>7078499317</v>
      </c>
      <c r="G107" s="112" t="s">
        <v>489</v>
      </c>
      <c r="H107" s="96"/>
      <c r="I107" s="91"/>
      <c r="J107" s="91"/>
      <c r="K107" s="91"/>
      <c r="L107" s="91"/>
      <c r="M107" s="91"/>
      <c r="N107" s="91"/>
      <c r="O107" s="97">
        <f>T107*N107</f>
        <v>0</v>
      </c>
      <c r="P107" s="91" t="s">
        <v>796</v>
      </c>
      <c r="Q107" s="91"/>
      <c r="R107" s="98">
        <f>IF(OR(P107="c",P107="C"),+T107,"")</f>
        <v>0</v>
      </c>
      <c r="S107" s="98" t="str">
        <f>IF(OR(P107="$",N107=1),+T107,"")</f>
        <v/>
      </c>
      <c r="T107" s="99">
        <f>H107*[1]!FMainPool1Fee+I107*[1]!FMainPool2Fee+J107*[1]!FMainPool3Fee+K107*[1]!FMainPool4Fee+B107*[1]!FMainEntryFee</f>
        <v>0</v>
      </c>
      <c r="U107" s="100"/>
      <c r="V107" s="101"/>
      <c r="W107" s="102"/>
      <c r="X107" s="103"/>
      <c r="Y107" s="103"/>
      <c r="Z107" s="104"/>
    </row>
    <row r="108" spans="1:26" ht="15.75">
      <c r="A108" s="90">
        <f t="shared" si="4"/>
        <v>97</v>
      </c>
      <c r="B108" s="91"/>
      <c r="C108" s="92" t="s">
        <v>124</v>
      </c>
      <c r="D108" s="92" t="s">
        <v>72</v>
      </c>
      <c r="E108" s="93" t="s">
        <v>125</v>
      </c>
      <c r="F108" s="94">
        <v>7073225806</v>
      </c>
      <c r="G108" s="95" t="s">
        <v>491</v>
      </c>
      <c r="H108" s="96"/>
      <c r="I108" s="91"/>
      <c r="J108" s="91"/>
      <c r="K108" s="91"/>
      <c r="L108" s="91"/>
      <c r="M108" s="91"/>
      <c r="N108" s="91"/>
      <c r="O108" s="97">
        <f>T108*N108</f>
        <v>0</v>
      </c>
      <c r="P108" s="91" t="s">
        <v>796</v>
      </c>
      <c r="Q108" s="91"/>
      <c r="R108" s="98">
        <f>IF(OR(P108="c",P108="C"),+T108,"")</f>
        <v>0</v>
      </c>
      <c r="S108" s="98" t="str">
        <f>IF(OR(P108="$",N108=1),+T108,"")</f>
        <v/>
      </c>
      <c r="T108" s="99">
        <f>H108*[1]!FMainPool1Fee+I108*[1]!FMainPool2Fee+J108*[1]!FMainPool3Fee+K108*[1]!FMainPool4Fee+B108*[1]!FMainEntryFee</f>
        <v>0</v>
      </c>
      <c r="U108" s="100"/>
      <c r="V108" s="101"/>
      <c r="W108" s="102"/>
      <c r="X108" s="103"/>
      <c r="Y108" s="103"/>
      <c r="Z108" s="104"/>
    </row>
    <row r="109" spans="1:26" ht="15.75">
      <c r="A109" s="90">
        <f t="shared" si="4"/>
        <v>98</v>
      </c>
      <c r="B109" s="91"/>
      <c r="C109" s="92" t="s">
        <v>707</v>
      </c>
      <c r="D109" s="92" t="s">
        <v>185</v>
      </c>
      <c r="E109" s="93" t="s">
        <v>708</v>
      </c>
      <c r="F109" s="94">
        <v>9258406622</v>
      </c>
      <c r="G109" s="95" t="s">
        <v>709</v>
      </c>
      <c r="H109" s="96"/>
      <c r="I109" s="91"/>
      <c r="J109" s="91"/>
      <c r="K109" s="91"/>
      <c r="L109" s="91"/>
      <c r="M109" s="91"/>
      <c r="N109" s="91"/>
      <c r="O109" s="97">
        <f>T109*N109</f>
        <v>0</v>
      </c>
      <c r="P109" s="91" t="s">
        <v>796</v>
      </c>
      <c r="Q109" s="91"/>
      <c r="R109" s="98">
        <f>IF(OR(P109="c",P109="C"),+T109,"")</f>
        <v>0</v>
      </c>
      <c r="S109" s="98" t="str">
        <f>IF(OR(P109="$",N109=1),+T109,"")</f>
        <v/>
      </c>
      <c r="T109" s="99">
        <f>H109*[1]!FMainPool1Fee+I109*[1]!FMainPool2Fee+J109*[1]!FMainPool3Fee+K109*[1]!FMainPool4Fee+B109*[1]!FMainEntryFee</f>
        <v>0</v>
      </c>
      <c r="U109" s="100"/>
      <c r="V109" s="101"/>
      <c r="W109" s="102"/>
      <c r="X109" s="103"/>
      <c r="Y109" s="103" t="s">
        <v>839</v>
      </c>
      <c r="Z109" s="104"/>
    </row>
    <row r="110" spans="1:26" ht="15.75">
      <c r="A110" s="90">
        <f t="shared" si="4"/>
        <v>99</v>
      </c>
      <c r="B110" s="91"/>
      <c r="C110" s="107" t="s">
        <v>126</v>
      </c>
      <c r="D110" s="107" t="s">
        <v>753</v>
      </c>
      <c r="E110" s="108" t="s">
        <v>128</v>
      </c>
      <c r="F110" s="109">
        <v>5103760257</v>
      </c>
      <c r="G110" s="112" t="s">
        <v>493</v>
      </c>
      <c r="H110" s="96"/>
      <c r="I110" s="91"/>
      <c r="J110" s="91"/>
      <c r="K110" s="91"/>
      <c r="L110" s="91"/>
      <c r="M110" s="91"/>
      <c r="N110" s="91"/>
      <c r="O110" s="97"/>
      <c r="P110" s="91" t="s">
        <v>796</v>
      </c>
      <c r="Q110" s="91"/>
      <c r="R110" s="98">
        <f>IF(OR(P110="c",P110="C"),+T110,"")</f>
        <v>0</v>
      </c>
      <c r="S110" s="98" t="str">
        <f>IF(OR(P110="$",N110=1),+T110,"")</f>
        <v/>
      </c>
      <c r="T110" s="99">
        <f>H110*[1]!FMainPool1Fee+I110*[1]!FMainPool2Fee+J110*[1]!FMainPool3Fee+K110*[1]!FMainPool4Fee+B110*[1]!FMainEntryFee</f>
        <v>0</v>
      </c>
      <c r="U110" s="100"/>
      <c r="V110" s="101"/>
      <c r="W110" s="102"/>
      <c r="X110" s="103"/>
      <c r="Y110" s="103"/>
      <c r="Z110" s="104"/>
    </row>
    <row r="111" spans="1:26" ht="15.75">
      <c r="A111" s="90">
        <f t="shared" si="4"/>
        <v>100</v>
      </c>
      <c r="B111" s="91"/>
      <c r="C111" s="92" t="s">
        <v>129</v>
      </c>
      <c r="D111" s="92" t="s">
        <v>130</v>
      </c>
      <c r="E111" s="93" t="s">
        <v>131</v>
      </c>
      <c r="F111" s="94"/>
      <c r="G111" s="112" t="s">
        <v>494</v>
      </c>
      <c r="H111" s="96"/>
      <c r="I111" s="91"/>
      <c r="J111" s="91"/>
      <c r="K111" s="91"/>
      <c r="L111" s="91"/>
      <c r="M111" s="91"/>
      <c r="N111" s="91"/>
      <c r="O111" s="97">
        <f>T111*N111</f>
        <v>0</v>
      </c>
      <c r="P111" s="91" t="s">
        <v>796</v>
      </c>
      <c r="Q111" s="91"/>
      <c r="R111" s="98">
        <f>IF(OR(P111="c",P111="C"),+T111,"")</f>
        <v>0</v>
      </c>
      <c r="S111" s="98" t="str">
        <f>IF(OR(P111="$",N111=1),+T111,"")</f>
        <v/>
      </c>
      <c r="T111" s="99">
        <f>H111*[1]!FMainPool1Fee+I111*[1]!FMainPool2Fee+J111*[1]!FMainPool3Fee+K111*[1]!FMainPool4Fee+B111*[1]!FMainEntryFee</f>
        <v>0</v>
      </c>
      <c r="U111" s="100"/>
      <c r="V111" s="101"/>
      <c r="W111" s="102"/>
      <c r="X111" s="103"/>
      <c r="Y111" s="103"/>
      <c r="Z111" s="104"/>
    </row>
    <row r="112" spans="1:26" ht="15.75">
      <c r="A112" s="90">
        <f t="shared" si="4"/>
        <v>101</v>
      </c>
      <c r="B112" s="91"/>
      <c r="C112" s="105" t="s">
        <v>652</v>
      </c>
      <c r="D112" s="105" t="s">
        <v>45</v>
      </c>
      <c r="E112" s="102" t="s">
        <v>653</v>
      </c>
      <c r="F112" s="109"/>
      <c r="G112" s="105"/>
      <c r="H112" s="96"/>
      <c r="I112" s="91"/>
      <c r="J112" s="91"/>
      <c r="K112" s="91"/>
      <c r="L112" s="91"/>
      <c r="M112" s="91"/>
      <c r="N112" s="91"/>
      <c r="O112" s="97">
        <f>T112*N112</f>
        <v>0</v>
      </c>
      <c r="P112" s="91" t="s">
        <v>796</v>
      </c>
      <c r="Q112" s="91"/>
      <c r="R112" s="98">
        <f>IF(OR(P112="c",P112="C"),+T112,"")</f>
        <v>0</v>
      </c>
      <c r="S112" s="98" t="str">
        <f>IF(OR(P112="$",N112=1),+T112,"")</f>
        <v/>
      </c>
      <c r="T112" s="99">
        <f>H112*[1]!FMainPool1Fee+I112*[1]!FMainPool2Fee+J112*[1]!FMainPool3Fee+K112*[1]!FMainPool4Fee+B112*[1]!FMainEntryFee</f>
        <v>0</v>
      </c>
      <c r="U112" s="100"/>
      <c r="V112" s="101"/>
      <c r="W112" s="102"/>
      <c r="X112" s="103"/>
      <c r="Y112" s="103"/>
      <c r="Z112" s="104"/>
    </row>
    <row r="113" spans="1:26" ht="15.75">
      <c r="A113" s="90">
        <f t="shared" si="4"/>
        <v>102</v>
      </c>
      <c r="B113" s="91"/>
      <c r="C113" s="92" t="s">
        <v>132</v>
      </c>
      <c r="D113" s="92" t="s">
        <v>84</v>
      </c>
      <c r="E113" s="167" t="s">
        <v>133</v>
      </c>
      <c r="F113" s="169"/>
      <c r="G113" s="171"/>
      <c r="H113" s="96"/>
      <c r="I113" s="91"/>
      <c r="J113" s="91"/>
      <c r="K113" s="91"/>
      <c r="L113" s="91"/>
      <c r="M113" s="91"/>
      <c r="N113" s="91"/>
      <c r="O113" s="97">
        <f>T113*N113</f>
        <v>0</v>
      </c>
      <c r="P113" s="91" t="s">
        <v>796</v>
      </c>
      <c r="Q113" s="91"/>
      <c r="R113" s="98">
        <f>IF(OR(P113="c",P113="C"),+T113,"")</f>
        <v>0</v>
      </c>
      <c r="S113" s="98" t="str">
        <f>IF(OR(P113="$",N113=1),+T113,"")</f>
        <v/>
      </c>
      <c r="T113" s="99">
        <f>H113*[1]!FMainPool1Fee+I113*[1]!FMainPool2Fee+J113*[1]!FMainPool3Fee+K113*[1]!FMainPool4Fee+B113*[1]!FMainEntryFee</f>
        <v>0</v>
      </c>
      <c r="U113" s="100"/>
      <c r="V113" s="101"/>
      <c r="W113" s="102"/>
      <c r="X113" s="103"/>
      <c r="Y113" s="103"/>
      <c r="Z113" s="104"/>
    </row>
    <row r="114" spans="1:26" ht="15.75">
      <c r="A114" s="90">
        <f t="shared" si="4"/>
        <v>103</v>
      </c>
      <c r="B114" s="91"/>
      <c r="C114" s="92" t="s">
        <v>134</v>
      </c>
      <c r="D114" s="92" t="s">
        <v>135</v>
      </c>
      <c r="E114" s="93" t="s">
        <v>136</v>
      </c>
      <c r="F114" s="94">
        <v>4152058885</v>
      </c>
      <c r="G114" s="95" t="s">
        <v>495</v>
      </c>
      <c r="H114" s="96"/>
      <c r="I114" s="91"/>
      <c r="J114" s="91"/>
      <c r="K114" s="91"/>
      <c r="L114" s="91"/>
      <c r="M114" s="91"/>
      <c r="N114" s="91"/>
      <c r="O114" s="97">
        <f>T114*N114</f>
        <v>0</v>
      </c>
      <c r="P114" s="91" t="s">
        <v>796</v>
      </c>
      <c r="Q114" s="91"/>
      <c r="R114" s="98">
        <f>IF(OR(P114="c",P114="C"),+T114,"")</f>
        <v>0</v>
      </c>
      <c r="S114" s="98" t="str">
        <f>IF(OR(P114="$",N114=1),+T114,"")</f>
        <v/>
      </c>
      <c r="T114" s="99">
        <f>H114*[1]!FMainPool1Fee+I114*[1]!FMainPool2Fee+J114*[1]!FMainPool3Fee+K114*[1]!FMainPool4Fee+B114*[1]!FMainEntryFee</f>
        <v>0</v>
      </c>
      <c r="U114" s="100"/>
      <c r="V114" s="101"/>
      <c r="W114" s="102"/>
      <c r="X114" s="103"/>
      <c r="Y114" s="103"/>
      <c r="Z114" s="104"/>
    </row>
    <row r="115" spans="1:26" ht="15.75">
      <c r="A115" s="90">
        <f t="shared" si="4"/>
        <v>104</v>
      </c>
      <c r="B115" s="91"/>
      <c r="C115" s="92" t="s">
        <v>137</v>
      </c>
      <c r="D115" s="92" t="s">
        <v>138</v>
      </c>
      <c r="E115" s="93" t="s">
        <v>139</v>
      </c>
      <c r="F115" s="94">
        <v>4152052574</v>
      </c>
      <c r="G115" s="95" t="s">
        <v>496</v>
      </c>
      <c r="H115" s="96"/>
      <c r="I115" s="91"/>
      <c r="J115" s="91"/>
      <c r="K115" s="91"/>
      <c r="L115" s="91"/>
      <c r="M115" s="91"/>
      <c r="N115" s="91"/>
      <c r="O115" s="97">
        <f>T115*N115</f>
        <v>0</v>
      </c>
      <c r="P115" s="91" t="s">
        <v>796</v>
      </c>
      <c r="Q115" s="91"/>
      <c r="R115" s="98">
        <f>IF(OR(P115="c",P115="C"),+T115,"")</f>
        <v>0</v>
      </c>
      <c r="S115" s="98" t="str">
        <f>IF(OR(P115="$",N115=1),+T115,"")</f>
        <v/>
      </c>
      <c r="T115" s="99">
        <f>H115*[1]!FMainPool1Fee+I115*[1]!FMainPool2Fee+J115*[1]!FMainPool3Fee+K115*[1]!FMainPool4Fee+B115*[1]!FMainEntryFee</f>
        <v>0</v>
      </c>
      <c r="U115" s="100"/>
      <c r="V115" s="101"/>
      <c r="W115" s="102"/>
      <c r="X115" s="103"/>
      <c r="Y115" s="103"/>
      <c r="Z115" s="104"/>
    </row>
    <row r="116" spans="1:26" ht="15.75">
      <c r="A116" s="90">
        <f t="shared" si="4"/>
        <v>105</v>
      </c>
      <c r="B116" s="91"/>
      <c r="C116" s="105" t="s">
        <v>654</v>
      </c>
      <c r="D116" s="105" t="s">
        <v>45</v>
      </c>
      <c r="E116" s="102" t="s">
        <v>655</v>
      </c>
      <c r="F116" s="109"/>
      <c r="G116" s="105"/>
      <c r="H116" s="96"/>
      <c r="I116" s="91"/>
      <c r="J116" s="91"/>
      <c r="K116" s="91"/>
      <c r="L116" s="91"/>
      <c r="M116" s="91"/>
      <c r="N116" s="91"/>
      <c r="O116" s="97">
        <f>T116*N116</f>
        <v>0</v>
      </c>
      <c r="P116" s="91" t="s">
        <v>796</v>
      </c>
      <c r="Q116" s="91"/>
      <c r="R116" s="98">
        <f>IF(OR(P116="c",P116="C"),+T116,"")</f>
        <v>0</v>
      </c>
      <c r="S116" s="98" t="str">
        <f>IF(OR(P116="$",N116=1),+T116,"")</f>
        <v/>
      </c>
      <c r="T116" s="99">
        <f>H116*[1]!FMainPool1Fee+I116*[1]!FMainPool2Fee+J116*[1]!FMainPool3Fee+K116*[1]!FMainPool4Fee+B116*[1]!FMainEntryFee</f>
        <v>0</v>
      </c>
      <c r="U116" s="100"/>
      <c r="V116" s="101"/>
      <c r="W116" s="102"/>
      <c r="X116" s="103"/>
      <c r="Y116" s="103"/>
      <c r="Z116" s="104"/>
    </row>
    <row r="117" spans="1:26" ht="15.75">
      <c r="A117" s="90">
        <f t="shared" si="4"/>
        <v>106</v>
      </c>
      <c r="B117" s="91"/>
      <c r="C117" s="92" t="s">
        <v>140</v>
      </c>
      <c r="D117" s="92" t="s">
        <v>138</v>
      </c>
      <c r="E117" s="102" t="s">
        <v>141</v>
      </c>
      <c r="F117" s="94"/>
      <c r="G117" s="112"/>
      <c r="H117" s="96"/>
      <c r="I117" s="91"/>
      <c r="J117" s="91"/>
      <c r="K117" s="91"/>
      <c r="L117" s="91"/>
      <c r="M117" s="91"/>
      <c r="N117" s="91"/>
      <c r="O117" s="97">
        <f>T117*N117</f>
        <v>0</v>
      </c>
      <c r="P117" s="91" t="s">
        <v>796</v>
      </c>
      <c r="Q117" s="91"/>
      <c r="R117" s="98">
        <f>IF(OR(P117="c",P117="C"),+T117,"")</f>
        <v>0</v>
      </c>
      <c r="S117" s="98" t="str">
        <f>IF(OR(P117="$",N117=1),+T117,"")</f>
        <v/>
      </c>
      <c r="T117" s="99">
        <f>H117*[1]!FMainPool1Fee+I117*[1]!FMainPool2Fee+J117*[1]!FMainPool3Fee+K117*[1]!FMainPool4Fee+B117*[1]!FMainEntryFee</f>
        <v>0</v>
      </c>
      <c r="U117" s="100"/>
      <c r="V117" s="101"/>
      <c r="W117" s="102"/>
      <c r="X117" s="103"/>
      <c r="Y117" s="103"/>
      <c r="Z117" s="104"/>
    </row>
    <row r="118" spans="1:26" ht="15.75">
      <c r="A118" s="90">
        <f t="shared" si="4"/>
        <v>107</v>
      </c>
      <c r="B118" s="91"/>
      <c r="C118" s="105" t="s">
        <v>656</v>
      </c>
      <c r="D118" s="105" t="s">
        <v>409</v>
      </c>
      <c r="E118" s="102" t="s">
        <v>657</v>
      </c>
      <c r="F118" s="109">
        <v>5103043540</v>
      </c>
      <c r="G118" s="118" t="s">
        <v>710</v>
      </c>
      <c r="H118" s="96"/>
      <c r="I118" s="91"/>
      <c r="J118" s="91"/>
      <c r="K118" s="91"/>
      <c r="L118" s="91"/>
      <c r="M118" s="91"/>
      <c r="N118" s="91"/>
      <c r="O118" s="97">
        <f>T118*N118</f>
        <v>0</v>
      </c>
      <c r="P118" s="91" t="s">
        <v>796</v>
      </c>
      <c r="Q118" s="91"/>
      <c r="R118" s="98">
        <f>IF(OR(P118="c",P118="C"),+T118,"")</f>
        <v>0</v>
      </c>
      <c r="S118" s="98" t="str">
        <f>IF(OR(P118="$",N118=1),+T118,"")</f>
        <v/>
      </c>
      <c r="T118" s="99">
        <f>H118*[1]!FMainPool1Fee+I118*[1]!FMainPool2Fee+J118*[1]!FMainPool3Fee+K118*[1]!FMainPool4Fee+B118*[1]!FMainEntryFee</f>
        <v>0</v>
      </c>
      <c r="U118" s="100"/>
      <c r="V118" s="101"/>
      <c r="W118" s="102"/>
      <c r="X118" s="103"/>
      <c r="Y118" s="103"/>
      <c r="Z118" s="104"/>
    </row>
    <row r="119" spans="1:26" ht="15.75">
      <c r="A119" s="90">
        <f t="shared" si="4"/>
        <v>108</v>
      </c>
      <c r="B119" s="91"/>
      <c r="C119" s="105" t="s">
        <v>711</v>
      </c>
      <c r="D119" s="105" t="s">
        <v>712</v>
      </c>
      <c r="E119" s="102" t="s">
        <v>713</v>
      </c>
      <c r="F119" s="109">
        <v>5309277047</v>
      </c>
      <c r="G119" s="118" t="s">
        <v>714</v>
      </c>
      <c r="H119" s="96"/>
      <c r="I119" s="91"/>
      <c r="J119" s="91"/>
      <c r="K119" s="91"/>
      <c r="L119" s="91"/>
      <c r="M119" s="91"/>
      <c r="N119" s="91"/>
      <c r="O119" s="97">
        <f>T119*N119</f>
        <v>0</v>
      </c>
      <c r="P119" s="91" t="s">
        <v>796</v>
      </c>
      <c r="Q119" s="91"/>
      <c r="R119" s="98">
        <f>IF(OR(P119="c",P119="C"),+T119,"")</f>
        <v>0</v>
      </c>
      <c r="S119" s="98" t="str">
        <f>IF(OR(P119="$",N119=1),+T119,"")</f>
        <v/>
      </c>
      <c r="T119" s="99">
        <f>H119*[1]!FMainPool1Fee+I119*[1]!FMainPool2Fee+J119*[1]!FMainPool3Fee+K119*[1]!FMainPool4Fee+B119*[1]!FMainEntryFee</f>
        <v>0</v>
      </c>
      <c r="U119" s="100"/>
      <c r="V119" s="101"/>
      <c r="W119" s="102"/>
      <c r="X119" s="103"/>
      <c r="Y119" s="103"/>
      <c r="Z119" s="104"/>
    </row>
    <row r="120" spans="1:26" ht="15.75">
      <c r="A120" s="90">
        <f t="shared" si="4"/>
        <v>109</v>
      </c>
      <c r="B120" s="91"/>
      <c r="C120" s="105" t="s">
        <v>715</v>
      </c>
      <c r="D120" s="105" t="s">
        <v>712</v>
      </c>
      <c r="E120" s="102" t="s">
        <v>716</v>
      </c>
      <c r="F120" s="168">
        <v>5309277048</v>
      </c>
      <c r="G120" s="118" t="s">
        <v>717</v>
      </c>
      <c r="H120" s="96"/>
      <c r="I120" s="91"/>
      <c r="J120" s="91"/>
      <c r="K120" s="91"/>
      <c r="L120" s="91"/>
      <c r="M120" s="91"/>
      <c r="N120" s="91"/>
      <c r="O120" s="97">
        <f>T120*N120</f>
        <v>0</v>
      </c>
      <c r="P120" s="91" t="s">
        <v>796</v>
      </c>
      <c r="Q120" s="91"/>
      <c r="R120" s="98">
        <f>IF(OR(P120="c",P120="C"),+T120,"")</f>
        <v>0</v>
      </c>
      <c r="S120" s="98" t="str">
        <f>IF(OR(P120="$",N120=1),+T120,"")</f>
        <v/>
      </c>
      <c r="T120" s="99">
        <f>H120*[1]!FMainPool1Fee+I120*[1]!FMainPool2Fee+J120*[1]!FMainPool3Fee+K120*[1]!FMainPool4Fee+B120*[1]!FMainEntryFee</f>
        <v>0</v>
      </c>
      <c r="U120" s="100"/>
      <c r="V120" s="101"/>
      <c r="W120" s="102"/>
      <c r="X120" s="103">
        <v>1</v>
      </c>
      <c r="Y120" s="103"/>
      <c r="Z120" s="104" t="s">
        <v>751</v>
      </c>
    </row>
    <row r="121" spans="1:26" ht="15.75">
      <c r="A121" s="90">
        <f t="shared" si="4"/>
        <v>110</v>
      </c>
      <c r="B121" s="91"/>
      <c r="C121" s="92" t="s">
        <v>144</v>
      </c>
      <c r="D121" s="92" t="s">
        <v>145</v>
      </c>
      <c r="E121" s="93" t="s">
        <v>146</v>
      </c>
      <c r="F121" s="114"/>
      <c r="G121" s="112" t="s">
        <v>499</v>
      </c>
      <c r="H121" s="96"/>
      <c r="I121" s="91"/>
      <c r="J121" s="91"/>
      <c r="K121" s="91"/>
      <c r="L121" s="91"/>
      <c r="M121" s="91"/>
      <c r="N121" s="91"/>
      <c r="O121" s="97">
        <f>T121*N121</f>
        <v>0</v>
      </c>
      <c r="P121" s="91" t="s">
        <v>796</v>
      </c>
      <c r="Q121" s="91"/>
      <c r="R121" s="98">
        <f>IF(OR(P121="c",P121="C"),+T121,"")</f>
        <v>0</v>
      </c>
      <c r="S121" s="98" t="str">
        <f>IF(OR(P121="$",N121=1),+T121,"")</f>
        <v/>
      </c>
      <c r="T121" s="99">
        <f>H121*[1]!FMainPool1Fee+I121*[1]!FMainPool2Fee+J121*[1]!FMainPool3Fee+K121*[1]!FMainPool4Fee+B121*[1]!FMainEntryFee</f>
        <v>0</v>
      </c>
      <c r="U121" s="100"/>
      <c r="V121" s="101"/>
      <c r="W121" s="102"/>
      <c r="X121" s="103"/>
      <c r="Y121" s="103">
        <v>1</v>
      </c>
      <c r="Z121" s="104"/>
    </row>
    <row r="122" spans="1:26" ht="15.75">
      <c r="A122" s="90">
        <f t="shared" si="4"/>
        <v>111</v>
      </c>
      <c r="B122" s="91"/>
      <c r="C122" s="107" t="s">
        <v>147</v>
      </c>
      <c r="D122" s="107" t="s">
        <v>148</v>
      </c>
      <c r="E122" s="108" t="s">
        <v>149</v>
      </c>
      <c r="F122" s="113">
        <v>9166997163</v>
      </c>
      <c r="G122" s="95" t="s">
        <v>500</v>
      </c>
      <c r="H122" s="96"/>
      <c r="I122" s="91"/>
      <c r="J122" s="91"/>
      <c r="K122" s="91"/>
      <c r="L122" s="91"/>
      <c r="M122" s="91"/>
      <c r="N122" s="91"/>
      <c r="O122" s="97">
        <f>T122*N122</f>
        <v>0</v>
      </c>
      <c r="P122" s="91" t="s">
        <v>796</v>
      </c>
      <c r="Q122" s="91"/>
      <c r="R122" s="98">
        <f>IF(OR(P122="c",P122="C"),+T122,"")</f>
        <v>0</v>
      </c>
      <c r="S122" s="98" t="str">
        <f>IF(OR(P122="$",N122=1),+T122,"")</f>
        <v/>
      </c>
      <c r="T122" s="99">
        <f>H122*[1]!FMainPool1Fee+I122*[1]!FMainPool2Fee+J122*[1]!FMainPool3Fee+K122*[1]!FMainPool4Fee+B122*[1]!FMainEntryFee</f>
        <v>0</v>
      </c>
      <c r="U122" s="100"/>
      <c r="V122" s="101"/>
      <c r="W122" s="102"/>
      <c r="X122" s="103"/>
      <c r="Y122" s="103"/>
      <c r="Z122" s="104"/>
    </row>
    <row r="123" spans="1:26" ht="15.75">
      <c r="A123" s="90">
        <f t="shared" si="4"/>
        <v>112</v>
      </c>
      <c r="B123" s="91"/>
      <c r="C123" s="105" t="s">
        <v>658</v>
      </c>
      <c r="D123" s="105" t="s">
        <v>191</v>
      </c>
      <c r="E123" s="102" t="s">
        <v>659</v>
      </c>
      <c r="F123" s="109"/>
      <c r="G123" s="95" t="s">
        <v>660</v>
      </c>
      <c r="H123" s="96"/>
      <c r="I123" s="91"/>
      <c r="J123" s="91"/>
      <c r="K123" s="91"/>
      <c r="L123" s="91"/>
      <c r="M123" s="91"/>
      <c r="N123" s="91"/>
      <c r="O123" s="97">
        <f>T123*N123</f>
        <v>0</v>
      </c>
      <c r="P123" s="91" t="s">
        <v>796</v>
      </c>
      <c r="Q123" s="91"/>
      <c r="R123" s="98">
        <f>IF(OR(P123="c",P123="C"),+T123,"")</f>
        <v>0</v>
      </c>
      <c r="S123" s="98" t="str">
        <f>IF(OR(P123="$",N123=1),+T123,"")</f>
        <v/>
      </c>
      <c r="T123" s="99">
        <f>H123*[1]!FMainPool1Fee+I123*[1]!FMainPool2Fee+J123*[1]!FMainPool3Fee+K123*[1]!FMainPool4Fee+B123*[1]!FMainEntryFee</f>
        <v>0</v>
      </c>
      <c r="U123" s="100"/>
      <c r="V123" s="101"/>
      <c r="W123" s="102"/>
      <c r="X123" s="103"/>
      <c r="Y123" s="103">
        <v>1</v>
      </c>
      <c r="Z123" s="104" t="s">
        <v>840</v>
      </c>
    </row>
    <row r="124" spans="1:26" ht="15.75">
      <c r="A124" s="90">
        <f t="shared" si="4"/>
        <v>113</v>
      </c>
      <c r="B124" s="91"/>
      <c r="C124" s="105" t="s">
        <v>661</v>
      </c>
      <c r="D124" s="105" t="s">
        <v>33</v>
      </c>
      <c r="E124" s="102" t="s">
        <v>662</v>
      </c>
      <c r="F124" s="109"/>
      <c r="G124" s="95" t="s">
        <v>663</v>
      </c>
      <c r="H124" s="96"/>
      <c r="I124" s="91"/>
      <c r="J124" s="91"/>
      <c r="K124" s="91"/>
      <c r="L124" s="91"/>
      <c r="M124" s="91"/>
      <c r="N124" s="91"/>
      <c r="O124" s="97">
        <f>T124*N124</f>
        <v>0</v>
      </c>
      <c r="P124" s="91" t="s">
        <v>796</v>
      </c>
      <c r="Q124" s="91"/>
      <c r="R124" s="98">
        <f>IF(OR(P124="c",P124="C"),+T124,"")</f>
        <v>0</v>
      </c>
      <c r="S124" s="98" t="str">
        <f>IF(OR(P124="$",N124=1),+T124,"")</f>
        <v/>
      </c>
      <c r="T124" s="99">
        <f>H124*[1]!FMainPool1Fee+I124*[1]!FMainPool2Fee+J124*[1]!FMainPool3Fee+K124*[1]!FMainPool4Fee+B124*[1]!FMainEntryFee</f>
        <v>0</v>
      </c>
      <c r="U124" s="100"/>
      <c r="V124" s="101"/>
      <c r="W124" s="102">
        <v>1</v>
      </c>
      <c r="X124" s="103"/>
      <c r="Y124" s="103"/>
      <c r="Z124" s="104"/>
    </row>
    <row r="125" spans="1:26" ht="15.75">
      <c r="A125" s="90">
        <f t="shared" si="4"/>
        <v>114</v>
      </c>
      <c r="B125" s="91"/>
      <c r="C125" s="92" t="s">
        <v>155</v>
      </c>
      <c r="D125" s="92" t="s">
        <v>156</v>
      </c>
      <c r="E125" s="93" t="s">
        <v>157</v>
      </c>
      <c r="F125" s="94"/>
      <c r="G125" s="112" t="s">
        <v>503</v>
      </c>
      <c r="H125" s="96"/>
      <c r="I125" s="91"/>
      <c r="J125" s="91"/>
      <c r="K125" s="91"/>
      <c r="L125" s="91"/>
      <c r="M125" s="91"/>
      <c r="N125" s="91"/>
      <c r="O125" s="97">
        <f>T125*N125</f>
        <v>0</v>
      </c>
      <c r="P125" s="91" t="s">
        <v>796</v>
      </c>
      <c r="Q125" s="91"/>
      <c r="R125" s="98">
        <f>IF(OR(P125="c",P125="C"),+T125,"")</f>
        <v>0</v>
      </c>
      <c r="S125" s="98" t="str">
        <f>IF(OR(P125="$",N125=1),+T125,"")</f>
        <v/>
      </c>
      <c r="T125" s="99">
        <f>H125*[1]!FMainPool1Fee+I125*[1]!FMainPool2Fee+J125*[1]!FMainPool3Fee+K125*[1]!FMainPool4Fee+B125*[1]!FMainEntryFee</f>
        <v>0</v>
      </c>
      <c r="U125" s="100"/>
      <c r="V125" s="101"/>
      <c r="W125" s="102"/>
      <c r="X125" s="103"/>
      <c r="Y125" s="103"/>
      <c r="Z125" s="104"/>
    </row>
    <row r="126" spans="1:26" ht="15.75">
      <c r="A126" s="90">
        <f t="shared" si="4"/>
        <v>115</v>
      </c>
      <c r="B126" s="91"/>
      <c r="C126" s="107" t="s">
        <v>158</v>
      </c>
      <c r="D126" s="107" t="s">
        <v>159</v>
      </c>
      <c r="E126" s="108" t="s">
        <v>160</v>
      </c>
      <c r="F126" s="109" t="s">
        <v>504</v>
      </c>
      <c r="G126" s="112" t="s">
        <v>468</v>
      </c>
      <c r="H126" s="96"/>
      <c r="I126" s="91"/>
      <c r="J126" s="91"/>
      <c r="K126" s="91"/>
      <c r="L126" s="91"/>
      <c r="M126" s="91"/>
      <c r="N126" s="91"/>
      <c r="O126" s="97">
        <f>T126*N126</f>
        <v>0</v>
      </c>
      <c r="P126" s="91" t="s">
        <v>796</v>
      </c>
      <c r="Q126" s="91"/>
      <c r="R126" s="98">
        <f>IF(OR(P126="c",P126="C"),+T126,"")</f>
        <v>0</v>
      </c>
      <c r="S126" s="98" t="str">
        <f>IF(OR(P126="$",N126=1),+T126,"")</f>
        <v/>
      </c>
      <c r="T126" s="99">
        <f>H126*[1]!FMainPool1Fee+I126*[1]!FMainPool2Fee+J126*[1]!FMainPool3Fee+K126*[1]!FMainPool4Fee+B126*[1]!FMainEntryFee</f>
        <v>0</v>
      </c>
      <c r="U126" s="100"/>
      <c r="V126" s="101"/>
      <c r="W126" s="102"/>
      <c r="X126" s="103">
        <v>1</v>
      </c>
      <c r="Y126" s="103"/>
      <c r="Z126" s="104"/>
    </row>
    <row r="127" spans="1:26" ht="15.75">
      <c r="A127" s="90">
        <f t="shared" si="4"/>
        <v>116</v>
      </c>
      <c r="B127" s="91"/>
      <c r="C127" s="92" t="s">
        <v>163</v>
      </c>
      <c r="D127" s="92" t="s">
        <v>164</v>
      </c>
      <c r="E127" s="93" t="s">
        <v>165</v>
      </c>
      <c r="F127" s="94"/>
      <c r="G127" s="112" t="s">
        <v>506</v>
      </c>
      <c r="H127" s="96"/>
      <c r="I127" s="91"/>
      <c r="J127" s="91"/>
      <c r="K127" s="91"/>
      <c r="L127" s="91"/>
      <c r="M127" s="91"/>
      <c r="N127" s="91"/>
      <c r="O127" s="97">
        <f>T127*N127</f>
        <v>0</v>
      </c>
      <c r="P127" s="91" t="s">
        <v>796</v>
      </c>
      <c r="Q127" s="91"/>
      <c r="R127" s="98">
        <f>IF(OR(P127="c",P127="C"),+T127,"")</f>
        <v>0</v>
      </c>
      <c r="S127" s="98" t="str">
        <f>IF(OR(P127="$",N127=1),+T127,"")</f>
        <v/>
      </c>
      <c r="T127" s="99">
        <f>H127*[1]!FMainPool1Fee+I127*[1]!FMainPool2Fee+J127*[1]!FMainPool3Fee+K127*[1]!FMainPool4Fee+B127*[1]!FMainEntryFee</f>
        <v>0</v>
      </c>
      <c r="U127" s="100"/>
      <c r="V127" s="101"/>
      <c r="W127" s="102"/>
      <c r="X127" s="103"/>
      <c r="Y127" s="103"/>
      <c r="Z127" s="104"/>
    </row>
    <row r="128" spans="1:26" ht="15.75">
      <c r="A128" s="90">
        <f t="shared" si="4"/>
        <v>117</v>
      </c>
      <c r="B128" s="91"/>
      <c r="C128" s="107" t="s">
        <v>169</v>
      </c>
      <c r="D128" s="107" t="s">
        <v>170</v>
      </c>
      <c r="E128" s="108" t="s">
        <v>171</v>
      </c>
      <c r="F128" s="94"/>
      <c r="G128" s="112" t="s">
        <v>508</v>
      </c>
      <c r="H128" s="96"/>
      <c r="I128" s="91"/>
      <c r="J128" s="91"/>
      <c r="K128" s="91"/>
      <c r="L128" s="91"/>
      <c r="M128" s="91"/>
      <c r="N128" s="91"/>
      <c r="O128" s="97">
        <f>T128*N128</f>
        <v>0</v>
      </c>
      <c r="P128" s="91" t="s">
        <v>796</v>
      </c>
      <c r="Q128" s="91"/>
      <c r="R128" s="98">
        <f>IF(OR(P128="c",P128="C"),+T128,"")</f>
        <v>0</v>
      </c>
      <c r="S128" s="98" t="str">
        <f>IF(OR(P128="$",N128=1),+T128,"")</f>
        <v/>
      </c>
      <c r="T128" s="99">
        <f>H128*[1]!FMainPool1Fee+I128*[1]!FMainPool2Fee+J128*[1]!FMainPool3Fee+K128*[1]!FMainPool4Fee+B128*[1]!FMainEntryFee</f>
        <v>0</v>
      </c>
      <c r="U128" s="100"/>
      <c r="V128" s="101"/>
      <c r="W128" s="102"/>
      <c r="X128" s="103"/>
      <c r="Y128" s="103"/>
      <c r="Z128" s="104"/>
    </row>
    <row r="129" spans="1:26" ht="15.75">
      <c r="A129" s="90">
        <f t="shared" si="4"/>
        <v>118</v>
      </c>
      <c r="B129" s="91"/>
      <c r="C129" s="92" t="s">
        <v>177</v>
      </c>
      <c r="D129" s="92" t="s">
        <v>156</v>
      </c>
      <c r="E129" s="93" t="s">
        <v>178</v>
      </c>
      <c r="F129" s="94"/>
      <c r="G129" s="112" t="s">
        <v>510</v>
      </c>
      <c r="H129" s="96"/>
      <c r="I129" s="91"/>
      <c r="J129" s="91"/>
      <c r="K129" s="91"/>
      <c r="L129" s="91"/>
      <c r="M129" s="91"/>
      <c r="N129" s="91"/>
      <c r="O129" s="97">
        <f>T129*N129</f>
        <v>0</v>
      </c>
      <c r="P129" s="91" t="s">
        <v>796</v>
      </c>
      <c r="Q129" s="91"/>
      <c r="R129" s="98">
        <f>IF(OR(P129="c",P129="C"),+T129,"")</f>
        <v>0</v>
      </c>
      <c r="S129" s="98" t="str">
        <f>IF(OR(P129="$",N129=1),+T129,"")</f>
        <v/>
      </c>
      <c r="T129" s="99">
        <f>H129*[1]!FMainPool1Fee+I129*[1]!FMainPool2Fee+J129*[1]!FMainPool3Fee+K129*[1]!FMainPool4Fee+B129*[1]!FMainEntryFee</f>
        <v>0</v>
      </c>
      <c r="U129" s="100"/>
      <c r="V129" s="101"/>
      <c r="W129" s="102"/>
      <c r="X129" s="103"/>
      <c r="Y129" s="103"/>
      <c r="Z129" s="104"/>
    </row>
    <row r="130" spans="1:26" ht="15.75">
      <c r="A130" s="90">
        <f t="shared" si="4"/>
        <v>119</v>
      </c>
      <c r="B130" s="91"/>
      <c r="C130" s="92" t="s">
        <v>182</v>
      </c>
      <c r="D130" s="92" t="s">
        <v>20</v>
      </c>
      <c r="E130" s="93" t="s">
        <v>183</v>
      </c>
      <c r="F130" s="94"/>
      <c r="G130" s="112" t="s">
        <v>512</v>
      </c>
      <c r="H130" s="96"/>
      <c r="I130" s="91"/>
      <c r="J130" s="91"/>
      <c r="K130" s="91"/>
      <c r="L130" s="91"/>
      <c r="M130" s="91"/>
      <c r="N130" s="91"/>
      <c r="O130" s="97">
        <f>T130*N130</f>
        <v>0</v>
      </c>
      <c r="P130" s="91" t="s">
        <v>796</v>
      </c>
      <c r="Q130" s="91"/>
      <c r="R130" s="98">
        <f>IF(OR(P130="c",P130="C"),+T130,"")</f>
        <v>0</v>
      </c>
      <c r="S130" s="98" t="str">
        <f>IF(OR(P130="$",N130=1),+T130,"")</f>
        <v/>
      </c>
      <c r="T130" s="99">
        <f>H130*[1]!FMainPool1Fee+I130*[1]!FMainPool2Fee+J130*[1]!FMainPool3Fee+K130*[1]!FMainPool4Fee+B130*[1]!FMainEntryFee</f>
        <v>0</v>
      </c>
      <c r="U130" s="100"/>
      <c r="V130" s="101"/>
      <c r="W130" s="102"/>
      <c r="X130" s="103"/>
      <c r="Y130" s="103"/>
      <c r="Z130" s="104"/>
    </row>
    <row r="131" spans="1:26" ht="15.75">
      <c r="A131" s="90">
        <f t="shared" si="4"/>
        <v>120</v>
      </c>
      <c r="B131" s="91"/>
      <c r="C131" s="92" t="s">
        <v>184</v>
      </c>
      <c r="D131" s="92" t="s">
        <v>185</v>
      </c>
      <c r="E131" s="93" t="s">
        <v>186</v>
      </c>
      <c r="F131" s="109" t="s">
        <v>513</v>
      </c>
      <c r="G131" s="112" t="s">
        <v>468</v>
      </c>
      <c r="H131" s="96"/>
      <c r="I131" s="91"/>
      <c r="J131" s="91"/>
      <c r="K131" s="91"/>
      <c r="L131" s="91"/>
      <c r="M131" s="91"/>
      <c r="N131" s="91"/>
      <c r="O131" s="97">
        <f>T131*N131</f>
        <v>0</v>
      </c>
      <c r="P131" s="91" t="s">
        <v>796</v>
      </c>
      <c r="Q131" s="91"/>
      <c r="R131" s="98">
        <f>IF(OR(P131="c",P131="C"),+T131,"")</f>
        <v>0</v>
      </c>
      <c r="S131" s="98" t="str">
        <f>IF(OR(P131="$",N131=1),+T131,"")</f>
        <v/>
      </c>
      <c r="T131" s="99">
        <f>H131*[1]!FMainPool1Fee+I131*[1]!FMainPool2Fee+J131*[1]!FMainPool3Fee+K131*[1]!FMainPool4Fee+B131*[1]!FMainEntryFee</f>
        <v>0</v>
      </c>
      <c r="U131" s="100"/>
      <c r="V131" s="101"/>
      <c r="W131" s="102"/>
      <c r="X131" s="103"/>
      <c r="Y131" s="103"/>
      <c r="Z131" s="104"/>
    </row>
    <row r="132" spans="1:26" ht="15.75">
      <c r="A132" s="90">
        <f t="shared" si="4"/>
        <v>121</v>
      </c>
      <c r="B132" s="91"/>
      <c r="C132" s="92" t="s">
        <v>187</v>
      </c>
      <c r="D132" s="92" t="s">
        <v>188</v>
      </c>
      <c r="E132" s="93" t="s">
        <v>189</v>
      </c>
      <c r="F132" s="169"/>
      <c r="G132" s="112" t="s">
        <v>514</v>
      </c>
      <c r="H132" s="96"/>
      <c r="I132" s="91"/>
      <c r="J132" s="91"/>
      <c r="K132" s="91"/>
      <c r="L132" s="91"/>
      <c r="M132" s="91"/>
      <c r="N132" s="91"/>
      <c r="O132" s="97">
        <f>T132*N132</f>
        <v>0</v>
      </c>
      <c r="P132" s="91" t="s">
        <v>796</v>
      </c>
      <c r="Q132" s="91"/>
      <c r="R132" s="98">
        <f>IF(OR(P132="c",P132="C"),+T132,"")</f>
        <v>0</v>
      </c>
      <c r="S132" s="98" t="str">
        <f>IF(OR(P132="$",N132=1),+T132,"")</f>
        <v/>
      </c>
      <c r="T132" s="99">
        <f>H132*[1]!FMainPool1Fee+I132*[1]!FMainPool2Fee+J132*[1]!FMainPool3Fee+K132*[1]!FMainPool4Fee+B132*[1]!FMainEntryFee</f>
        <v>0</v>
      </c>
      <c r="U132" s="100"/>
      <c r="V132" s="101"/>
      <c r="W132" s="102"/>
      <c r="X132" s="103"/>
      <c r="Y132" s="103"/>
      <c r="Z132" s="104"/>
    </row>
    <row r="133" spans="1:26" ht="15.75">
      <c r="A133" s="90">
        <f t="shared" si="4"/>
        <v>122</v>
      </c>
      <c r="B133" s="91"/>
      <c r="C133" s="92" t="s">
        <v>190</v>
      </c>
      <c r="D133" s="166" t="s">
        <v>191</v>
      </c>
      <c r="E133" s="93" t="s">
        <v>192</v>
      </c>
      <c r="F133" s="94"/>
      <c r="G133" s="112" t="s">
        <v>515</v>
      </c>
      <c r="H133" s="96"/>
      <c r="I133" s="91"/>
      <c r="J133" s="91"/>
      <c r="K133" s="91"/>
      <c r="L133" s="91"/>
      <c r="M133" s="91"/>
      <c r="N133" s="91"/>
      <c r="O133" s="97">
        <f>T133*N133</f>
        <v>0</v>
      </c>
      <c r="P133" s="91" t="s">
        <v>796</v>
      </c>
      <c r="Q133" s="91"/>
      <c r="R133" s="98">
        <f>IF(OR(P133="c",P133="C"),+T133,"")</f>
        <v>0</v>
      </c>
      <c r="S133" s="98" t="str">
        <f>IF(OR(P133="$",N133=1),+T133,"")</f>
        <v/>
      </c>
      <c r="T133" s="99">
        <f>H133*[1]!FMainPool1Fee+I133*[1]!FMainPool2Fee+J133*[1]!FMainPool3Fee+K133*[1]!FMainPool4Fee+B133*[1]!FMainEntryFee</f>
        <v>0</v>
      </c>
      <c r="U133" s="100"/>
      <c r="V133" s="101"/>
      <c r="W133" s="102"/>
      <c r="X133" s="103"/>
      <c r="Y133" s="103"/>
      <c r="Z133" s="104"/>
    </row>
    <row r="134" spans="1:26" ht="15.75">
      <c r="A134" s="90">
        <f t="shared" ref="A134:A162" si="5">ROW() - ROW(FRegentiresEneteredHdr)</f>
        <v>123</v>
      </c>
      <c r="B134" s="91"/>
      <c r="C134" s="92" t="s">
        <v>193</v>
      </c>
      <c r="D134" s="166" t="s">
        <v>194</v>
      </c>
      <c r="E134" s="93" t="s">
        <v>195</v>
      </c>
      <c r="F134" s="109" t="s">
        <v>719</v>
      </c>
      <c r="G134" s="95" t="s">
        <v>517</v>
      </c>
      <c r="H134" s="96"/>
      <c r="I134" s="91"/>
      <c r="J134" s="91"/>
      <c r="K134" s="91"/>
      <c r="L134" s="91"/>
      <c r="M134" s="91"/>
      <c r="N134" s="91"/>
      <c r="O134" s="97">
        <f>T134*N134</f>
        <v>0</v>
      </c>
      <c r="P134" s="91" t="s">
        <v>796</v>
      </c>
      <c r="Q134" s="91"/>
      <c r="R134" s="98">
        <f>IF(OR(P134="c",P134="C"),+T134,"")</f>
        <v>0</v>
      </c>
      <c r="S134" s="98" t="str">
        <f>IF(OR(P134="$",N134=1),+T134,"")</f>
        <v/>
      </c>
      <c r="T134" s="99">
        <f>H134*[1]!FMainPool1Fee+I134*[1]!FMainPool2Fee+J134*[1]!FMainPool3Fee+K134*[1]!FMainPool4Fee+B134*[1]!FMainEntryFee</f>
        <v>0</v>
      </c>
      <c r="U134" s="100"/>
      <c r="V134" s="101"/>
      <c r="W134" s="102"/>
      <c r="X134" s="103"/>
      <c r="Y134" s="103"/>
      <c r="Z134" s="104"/>
    </row>
    <row r="135" spans="1:26" ht="15.75">
      <c r="A135" s="90">
        <f t="shared" si="5"/>
        <v>124</v>
      </c>
      <c r="B135" s="91"/>
      <c r="C135" s="92" t="s">
        <v>201</v>
      </c>
      <c r="D135" s="92" t="s">
        <v>202</v>
      </c>
      <c r="E135" s="93" t="s">
        <v>203</v>
      </c>
      <c r="F135" s="94"/>
      <c r="G135" s="112" t="s">
        <v>519</v>
      </c>
      <c r="H135" s="96"/>
      <c r="I135" s="91"/>
      <c r="J135" s="91"/>
      <c r="K135" s="91"/>
      <c r="L135" s="91"/>
      <c r="M135" s="91"/>
      <c r="N135" s="91"/>
      <c r="O135" s="97">
        <f>T135*N135</f>
        <v>0</v>
      </c>
      <c r="P135" s="91" t="s">
        <v>796</v>
      </c>
      <c r="Q135" s="91"/>
      <c r="R135" s="98">
        <f>IF(OR(P135="c",P135="C"),+T135,"")</f>
        <v>0</v>
      </c>
      <c r="S135" s="98" t="str">
        <f>IF(OR(P135="$",N135=1),+T135,"")</f>
        <v/>
      </c>
      <c r="T135" s="99">
        <f>H135*[1]!FMainPool1Fee+I135*[1]!FMainPool2Fee+J135*[1]!FMainPool3Fee+K135*[1]!FMainPool4Fee+B135*[1]!FMainEntryFee</f>
        <v>0</v>
      </c>
      <c r="U135" s="100"/>
      <c r="V135" s="101"/>
      <c r="W135" s="102"/>
      <c r="X135" s="103"/>
      <c r="Y135" s="103"/>
      <c r="Z135" s="104"/>
    </row>
    <row r="136" spans="1:26" ht="15.75">
      <c r="A136" s="90">
        <f t="shared" si="5"/>
        <v>125</v>
      </c>
      <c r="B136" s="91"/>
      <c r="C136" s="107" t="s">
        <v>204</v>
      </c>
      <c r="D136" s="107" t="s">
        <v>205</v>
      </c>
      <c r="E136" s="108" t="s">
        <v>206</v>
      </c>
      <c r="F136" s="113"/>
      <c r="G136" s="112" t="s">
        <v>520</v>
      </c>
      <c r="H136" s="96"/>
      <c r="I136" s="91"/>
      <c r="J136" s="91"/>
      <c r="K136" s="91"/>
      <c r="L136" s="91"/>
      <c r="M136" s="91"/>
      <c r="N136" s="91"/>
      <c r="O136" s="97">
        <f>T136*N136</f>
        <v>0</v>
      </c>
      <c r="P136" s="91" t="s">
        <v>796</v>
      </c>
      <c r="Q136" s="91"/>
      <c r="R136" s="98">
        <f>IF(OR(P136="c",P136="C"),+T136,"")</f>
        <v>0</v>
      </c>
      <c r="S136" s="98" t="str">
        <f>IF(OR(P136="$",N136=1),+T136,"")</f>
        <v/>
      </c>
      <c r="T136" s="99">
        <f>H136*[1]!FMainPool1Fee+I136*[1]!FMainPool2Fee+J136*[1]!FMainPool3Fee+K136*[1]!FMainPool4Fee+B136*[1]!FMainEntryFee</f>
        <v>0</v>
      </c>
      <c r="U136" s="100"/>
      <c r="V136" s="101"/>
      <c r="W136" s="102"/>
      <c r="X136" s="103"/>
      <c r="Y136" s="103"/>
      <c r="Z136" s="104"/>
    </row>
    <row r="137" spans="1:26" ht="15.75">
      <c r="A137" s="90">
        <f t="shared" si="5"/>
        <v>126</v>
      </c>
      <c r="B137" s="91"/>
      <c r="C137" s="107" t="s">
        <v>210</v>
      </c>
      <c r="D137" s="107" t="s">
        <v>211</v>
      </c>
      <c r="E137" s="108" t="s">
        <v>212</v>
      </c>
      <c r="F137" s="113"/>
      <c r="G137" s="112"/>
      <c r="H137" s="96"/>
      <c r="I137" s="91"/>
      <c r="J137" s="91"/>
      <c r="K137" s="91"/>
      <c r="L137" s="91"/>
      <c r="M137" s="91"/>
      <c r="N137" s="91"/>
      <c r="O137" s="97">
        <f>T137*N137</f>
        <v>0</v>
      </c>
      <c r="P137" s="91" t="s">
        <v>796</v>
      </c>
      <c r="Q137" s="91"/>
      <c r="R137" s="98">
        <f>IF(OR(P137="c",P137="C"),+T137,"")</f>
        <v>0</v>
      </c>
      <c r="S137" s="98" t="str">
        <f>IF(OR(P137="$",N137=1),+T137,"")</f>
        <v/>
      </c>
      <c r="T137" s="99">
        <f>H137*[1]!FMainPool1Fee+I137*[1]!FMainPool2Fee+J137*[1]!FMainPool3Fee+K137*[1]!FMainPool4Fee+B137*[1]!FMainEntryFee</f>
        <v>0</v>
      </c>
      <c r="U137" s="100"/>
      <c r="V137" s="101"/>
      <c r="W137" s="102"/>
      <c r="X137" s="103"/>
      <c r="Y137" s="103"/>
      <c r="Z137" s="104"/>
    </row>
    <row r="138" spans="1:26" ht="15.75">
      <c r="A138" s="90">
        <f t="shared" si="5"/>
        <v>127</v>
      </c>
      <c r="B138" s="91"/>
      <c r="C138" s="107" t="s">
        <v>763</v>
      </c>
      <c r="D138" s="107" t="s">
        <v>764</v>
      </c>
      <c r="E138" s="102" t="s">
        <v>765</v>
      </c>
      <c r="F138" s="102" t="s">
        <v>766</v>
      </c>
      <c r="G138" s="105" t="s">
        <v>767</v>
      </c>
      <c r="H138" s="96"/>
      <c r="I138" s="91"/>
      <c r="J138" s="91"/>
      <c r="K138" s="91"/>
      <c r="L138" s="91"/>
      <c r="M138" s="91"/>
      <c r="N138" s="91"/>
      <c r="O138" s="97">
        <f>T138*N138</f>
        <v>0</v>
      </c>
      <c r="P138" s="91" t="s">
        <v>796</v>
      </c>
      <c r="Q138" s="91"/>
      <c r="R138" s="98">
        <f>IF(OR(P138="c",P138="C"),+T138,"")</f>
        <v>0</v>
      </c>
      <c r="S138" s="98" t="str">
        <f>IF(OR(P138="$",N138=1),+T138,"")</f>
        <v/>
      </c>
      <c r="T138" s="99">
        <f>H138*[1]!FMainPool1Fee+I138*[1]!FMainPool2Fee+J138*[1]!FMainPool3Fee+K138*[1]!FMainPool4Fee+B138*[1]!FMainEntryFee</f>
        <v>0</v>
      </c>
      <c r="U138" s="100"/>
      <c r="V138" s="101"/>
      <c r="W138" s="102"/>
      <c r="X138" s="103"/>
      <c r="Y138" s="103"/>
      <c r="Z138" s="104" t="s">
        <v>841</v>
      </c>
    </row>
    <row r="139" spans="1:26" ht="15.75">
      <c r="A139" s="90">
        <f t="shared" si="5"/>
        <v>128</v>
      </c>
      <c r="B139" s="91"/>
      <c r="C139" s="92" t="s">
        <v>213</v>
      </c>
      <c r="D139" s="92" t="s">
        <v>214</v>
      </c>
      <c r="E139" s="93" t="s">
        <v>215</v>
      </c>
      <c r="F139" s="94"/>
      <c r="G139" s="112" t="s">
        <v>522</v>
      </c>
      <c r="H139" s="96"/>
      <c r="I139" s="91"/>
      <c r="J139" s="91"/>
      <c r="K139" s="91"/>
      <c r="L139" s="91"/>
      <c r="M139" s="91"/>
      <c r="N139" s="91"/>
      <c r="O139" s="97">
        <f>T139*N139</f>
        <v>0</v>
      </c>
      <c r="P139" s="91" t="s">
        <v>796</v>
      </c>
      <c r="Q139" s="91"/>
      <c r="R139" s="98">
        <f>IF(OR(P139="c",P139="C"),+T139,"")</f>
        <v>0</v>
      </c>
      <c r="S139" s="98" t="str">
        <f>IF(OR(P139="$",N139=1),+T139,"")</f>
        <v/>
      </c>
      <c r="T139" s="99">
        <f>H139*[1]!FMainPool1Fee+I139*[1]!FMainPool2Fee+J139*[1]!FMainPool3Fee+K139*[1]!FMainPool4Fee+B139*[1]!FMainEntryFee</f>
        <v>0</v>
      </c>
      <c r="U139" s="100"/>
      <c r="V139" s="101"/>
      <c r="W139" s="102">
        <v>1</v>
      </c>
      <c r="X139" s="103"/>
      <c r="Y139" s="103"/>
      <c r="Z139" s="104" t="s">
        <v>842</v>
      </c>
    </row>
    <row r="140" spans="1:26" ht="15.75">
      <c r="A140" s="90">
        <f t="shared" si="5"/>
        <v>129</v>
      </c>
      <c r="B140" s="91"/>
      <c r="C140" s="105" t="s">
        <v>664</v>
      </c>
      <c r="D140" s="105" t="s">
        <v>39</v>
      </c>
      <c r="E140" s="102" t="s">
        <v>665</v>
      </c>
      <c r="F140" s="109"/>
      <c r="G140" s="112" t="s">
        <v>523</v>
      </c>
      <c r="H140" s="96"/>
      <c r="I140" s="91"/>
      <c r="J140" s="91"/>
      <c r="K140" s="91"/>
      <c r="L140" s="91"/>
      <c r="M140" s="91"/>
      <c r="N140" s="91"/>
      <c r="O140" s="97">
        <f>T140*N140</f>
        <v>0</v>
      </c>
      <c r="P140" s="91" t="s">
        <v>796</v>
      </c>
      <c r="Q140" s="91"/>
      <c r="R140" s="98">
        <f>IF(OR(P140="c",P140="C"),+T140,"")</f>
        <v>0</v>
      </c>
      <c r="S140" s="98" t="str">
        <f>IF(OR(P140="$",N140=1),+T140,"")</f>
        <v/>
      </c>
      <c r="T140" s="99">
        <f>H140*[1]!FMainPool1Fee+I140*[1]!FMainPool2Fee+J140*[1]!FMainPool3Fee+K140*[1]!FMainPool4Fee+B140*[1]!FMainEntryFee</f>
        <v>0</v>
      </c>
      <c r="U140" s="100"/>
      <c r="V140" s="101"/>
      <c r="W140" s="102"/>
      <c r="X140" s="103"/>
      <c r="Y140" s="103"/>
      <c r="Z140" s="104"/>
    </row>
    <row r="141" spans="1:26" ht="15.75">
      <c r="A141" s="90">
        <f t="shared" si="5"/>
        <v>130</v>
      </c>
      <c r="B141" s="91"/>
      <c r="C141" s="92" t="s">
        <v>216</v>
      </c>
      <c r="D141" s="92" t="s">
        <v>217</v>
      </c>
      <c r="E141" s="93" t="s">
        <v>218</v>
      </c>
      <c r="F141" s="94"/>
      <c r="G141" s="112" t="s">
        <v>523</v>
      </c>
      <c r="H141" s="96"/>
      <c r="I141" s="91"/>
      <c r="J141" s="91"/>
      <c r="K141" s="91"/>
      <c r="L141" s="91"/>
      <c r="M141" s="91"/>
      <c r="N141" s="91"/>
      <c r="O141" s="97">
        <f>T141*N141</f>
        <v>0</v>
      </c>
      <c r="P141" s="91" t="s">
        <v>796</v>
      </c>
      <c r="Q141" s="91"/>
      <c r="R141" s="98">
        <f>IF(OR(P141="c",P141="C"),+T141,"")</f>
        <v>0</v>
      </c>
      <c r="S141" s="98" t="str">
        <f>IF(OR(P141="$",N141=1),+T141,"")</f>
        <v/>
      </c>
      <c r="T141" s="99">
        <f>H141*[1]!FMainPool1Fee+I141*[1]!FMainPool2Fee+J141*[1]!FMainPool3Fee+K141*[1]!FMainPool4Fee+B141*[1]!FMainEntryFee</f>
        <v>0</v>
      </c>
      <c r="U141" s="100"/>
      <c r="V141" s="101"/>
      <c r="W141" s="102"/>
      <c r="X141" s="103"/>
      <c r="Y141" s="103"/>
      <c r="Z141" s="104" t="s">
        <v>843</v>
      </c>
    </row>
    <row r="142" spans="1:26" ht="15.75">
      <c r="A142" s="90">
        <f t="shared" si="5"/>
        <v>131</v>
      </c>
      <c r="B142" s="91"/>
      <c r="C142" s="107" t="s">
        <v>219</v>
      </c>
      <c r="D142" s="107" t="s">
        <v>220</v>
      </c>
      <c r="E142" s="108" t="s">
        <v>221</v>
      </c>
      <c r="F142" s="113"/>
      <c r="G142" s="112" t="s">
        <v>524</v>
      </c>
      <c r="H142" s="96"/>
      <c r="I142" s="91"/>
      <c r="J142" s="91"/>
      <c r="K142" s="91"/>
      <c r="L142" s="91"/>
      <c r="M142" s="91"/>
      <c r="N142" s="91"/>
      <c r="O142" s="97">
        <f>T142*N142</f>
        <v>0</v>
      </c>
      <c r="P142" s="91" t="s">
        <v>796</v>
      </c>
      <c r="Q142" s="91"/>
      <c r="R142" s="98">
        <f>IF(OR(P142="c",P142="C"),+T142,"")</f>
        <v>0</v>
      </c>
      <c r="S142" s="98" t="str">
        <f>IF(OR(P142="$",N142=1),+T142,"")</f>
        <v/>
      </c>
      <c r="T142" s="99">
        <f>H142*[1]!FMainPool1Fee+I142*[1]!FMainPool2Fee+J142*[1]!FMainPool3Fee+K142*[1]!FMainPool4Fee+B142*[1]!FMainEntryFee</f>
        <v>0</v>
      </c>
      <c r="U142" s="100"/>
      <c r="V142" s="101"/>
      <c r="W142" s="102"/>
      <c r="X142" s="103"/>
      <c r="Y142" s="103">
        <v>1</v>
      </c>
      <c r="Z142" s="104" t="s">
        <v>844</v>
      </c>
    </row>
    <row r="143" spans="1:26" ht="15.75">
      <c r="A143" s="90">
        <f t="shared" si="5"/>
        <v>132</v>
      </c>
      <c r="B143" s="91"/>
      <c r="C143" s="92" t="s">
        <v>222</v>
      </c>
      <c r="D143" s="92" t="s">
        <v>223</v>
      </c>
      <c r="E143" s="93" t="s">
        <v>224</v>
      </c>
      <c r="F143" s="94"/>
      <c r="G143" s="112"/>
      <c r="H143" s="96"/>
      <c r="I143" s="91"/>
      <c r="J143" s="91"/>
      <c r="K143" s="91"/>
      <c r="L143" s="91"/>
      <c r="M143" s="91"/>
      <c r="N143" s="91"/>
      <c r="O143" s="97">
        <f>T143*N143</f>
        <v>0</v>
      </c>
      <c r="P143" s="91" t="s">
        <v>796</v>
      </c>
      <c r="Q143" s="91"/>
      <c r="R143" s="98">
        <f>IF(OR(P143="c",P143="C"),+T143,"")</f>
        <v>0</v>
      </c>
      <c r="S143" s="98" t="str">
        <f>IF(OR(P143="$",N143=1),+T143,"")</f>
        <v/>
      </c>
      <c r="T143" s="99">
        <f>H143*[1]!FMainPool1Fee+I143*[1]!FMainPool2Fee+J143*[1]!FMainPool3Fee+K143*[1]!FMainPool4Fee+B143*[1]!FMainEntryFee</f>
        <v>0</v>
      </c>
      <c r="U143" s="100"/>
      <c r="V143" s="101"/>
      <c r="W143" s="102"/>
      <c r="X143" s="103"/>
      <c r="Y143" s="103"/>
      <c r="Z143" s="104"/>
    </row>
    <row r="144" spans="1:26" ht="15.75">
      <c r="A144" s="90">
        <f t="shared" si="5"/>
        <v>133</v>
      </c>
      <c r="B144" s="91"/>
      <c r="C144" s="107" t="s">
        <v>231</v>
      </c>
      <c r="D144" s="112" t="s">
        <v>232</v>
      </c>
      <c r="E144" s="108" t="s">
        <v>233</v>
      </c>
      <c r="F144" s="94"/>
      <c r="G144" s="112" t="s">
        <v>527</v>
      </c>
      <c r="H144" s="96"/>
      <c r="I144" s="91"/>
      <c r="J144" s="91"/>
      <c r="K144" s="91"/>
      <c r="L144" s="91"/>
      <c r="M144" s="91"/>
      <c r="N144" s="91"/>
      <c r="O144" s="97">
        <f>T144*N144</f>
        <v>0</v>
      </c>
      <c r="P144" s="91" t="s">
        <v>796</v>
      </c>
      <c r="Q144" s="91"/>
      <c r="R144" s="98">
        <f>IF(OR(P144="c",P144="C"),+T144,"")</f>
        <v>0</v>
      </c>
      <c r="S144" s="98" t="str">
        <f>IF(OR(P144="$",N144=1),+T144,"")</f>
        <v/>
      </c>
      <c r="T144" s="99">
        <f>H144*[1]!FMainPool1Fee+I144*[1]!FMainPool2Fee+J144*[1]!FMainPool3Fee+K144*[1]!FMainPool4Fee+B144*[1]!FMainEntryFee</f>
        <v>0</v>
      </c>
      <c r="U144" s="100"/>
      <c r="V144" s="101"/>
      <c r="W144" s="102"/>
      <c r="X144" s="103"/>
      <c r="Y144" s="103"/>
      <c r="Z144" s="104"/>
    </row>
    <row r="145" spans="1:26" ht="15.75">
      <c r="A145" s="90">
        <f t="shared" si="5"/>
        <v>134</v>
      </c>
      <c r="B145" s="91"/>
      <c r="C145" s="107" t="s">
        <v>237</v>
      </c>
      <c r="D145" s="107" t="s">
        <v>194</v>
      </c>
      <c r="E145" s="108" t="s">
        <v>238</v>
      </c>
      <c r="F145" s="170"/>
      <c r="G145" s="112" t="s">
        <v>529</v>
      </c>
      <c r="H145" s="96"/>
      <c r="I145" s="91"/>
      <c r="J145" s="91"/>
      <c r="K145" s="91"/>
      <c r="L145" s="91"/>
      <c r="M145" s="91"/>
      <c r="N145" s="91"/>
      <c r="O145" s="97">
        <f>T145*N145</f>
        <v>0</v>
      </c>
      <c r="P145" s="91" t="s">
        <v>796</v>
      </c>
      <c r="Q145" s="91"/>
      <c r="R145" s="98">
        <f>IF(OR(P145="c",P145="C"),+T145,"")</f>
        <v>0</v>
      </c>
      <c r="S145" s="98" t="str">
        <f>IF(OR(P145="$",N145=1),+T145,"")</f>
        <v/>
      </c>
      <c r="T145" s="99">
        <f>H145*[1]!FMainPool1Fee+I145*[1]!FMainPool2Fee+J145*[1]!FMainPool3Fee+K145*[1]!FMainPool4Fee+B145*[1]!FMainEntryFee</f>
        <v>0</v>
      </c>
      <c r="U145" s="100"/>
      <c r="V145" s="101"/>
      <c r="W145" s="102"/>
      <c r="X145" s="103"/>
      <c r="Y145" s="103"/>
      <c r="Z145" s="104"/>
    </row>
    <row r="146" spans="1:26" ht="15.75">
      <c r="A146" s="90">
        <f t="shared" si="5"/>
        <v>135</v>
      </c>
      <c r="B146" s="91"/>
      <c r="C146" s="92" t="s">
        <v>242</v>
      </c>
      <c r="D146" s="92" t="s">
        <v>130</v>
      </c>
      <c r="E146" s="93" t="s">
        <v>243</v>
      </c>
      <c r="F146" s="94"/>
      <c r="G146" s="112"/>
      <c r="H146" s="96"/>
      <c r="I146" s="91"/>
      <c r="J146" s="91"/>
      <c r="K146" s="91"/>
      <c r="L146" s="91"/>
      <c r="M146" s="91"/>
      <c r="N146" s="91"/>
      <c r="O146" s="97">
        <f>T146*N146</f>
        <v>0</v>
      </c>
      <c r="P146" s="91" t="s">
        <v>796</v>
      </c>
      <c r="Q146" s="91"/>
      <c r="R146" s="98">
        <f>IF(OR(P146="c",P146="C"),+T146,"")</f>
        <v>0</v>
      </c>
      <c r="S146" s="98" t="str">
        <f>IF(OR(P146="$",N146=1),+T146,"")</f>
        <v/>
      </c>
      <c r="T146" s="99">
        <f>H146*[1]!FMainPool1Fee+I146*[1]!FMainPool2Fee+J146*[1]!FMainPool3Fee+K146*[1]!FMainPool4Fee+B146*[1]!FMainEntryFee</f>
        <v>0</v>
      </c>
      <c r="U146" s="100"/>
      <c r="V146" s="101"/>
      <c r="W146" s="102">
        <v>1</v>
      </c>
      <c r="X146" s="103"/>
      <c r="Y146" s="103"/>
      <c r="Z146" s="104"/>
    </row>
    <row r="147" spans="1:26" ht="15.75">
      <c r="A147" s="90">
        <f t="shared" si="5"/>
        <v>136</v>
      </c>
      <c r="B147" s="91"/>
      <c r="C147" s="105" t="s">
        <v>669</v>
      </c>
      <c r="D147" s="105" t="s">
        <v>159</v>
      </c>
      <c r="E147" s="102" t="s">
        <v>670</v>
      </c>
      <c r="F147" s="109">
        <v>5104930824</v>
      </c>
      <c r="G147" s="118" t="s">
        <v>671</v>
      </c>
      <c r="H147" s="96"/>
      <c r="I147" s="91"/>
      <c r="J147" s="91"/>
      <c r="K147" s="91"/>
      <c r="L147" s="91"/>
      <c r="M147" s="91"/>
      <c r="N147" s="91"/>
      <c r="O147" s="97">
        <f>T147*N147</f>
        <v>0</v>
      </c>
      <c r="P147" s="91" t="s">
        <v>796</v>
      </c>
      <c r="Q147" s="91"/>
      <c r="R147" s="98">
        <f>IF(OR(P147="c",P147="C"),+T147,"")</f>
        <v>0</v>
      </c>
      <c r="S147" s="98" t="str">
        <f>IF(OR(P147="$",N147=1),+T147,"")</f>
        <v/>
      </c>
      <c r="T147" s="99">
        <f>H147*[1]!FMainPool1Fee+I147*[1]!FMainPool2Fee+J147*[1]!FMainPool3Fee+K147*[1]!FMainPool4Fee+B147*[1]!FMainEntryFee</f>
        <v>0</v>
      </c>
      <c r="U147" s="100"/>
      <c r="V147" s="101"/>
      <c r="W147" s="102"/>
      <c r="X147" s="103"/>
      <c r="Y147" s="103"/>
      <c r="Z147" s="104"/>
    </row>
    <row r="148" spans="1:26" ht="15.75">
      <c r="A148" s="90">
        <f t="shared" si="5"/>
        <v>137</v>
      </c>
      <c r="B148" s="91"/>
      <c r="C148" s="92" t="s">
        <v>244</v>
      </c>
      <c r="D148" s="92" t="s">
        <v>245</v>
      </c>
      <c r="E148" s="93" t="s">
        <v>246</v>
      </c>
      <c r="F148" s="94"/>
      <c r="G148" s="112" t="s">
        <v>531</v>
      </c>
      <c r="H148" s="96"/>
      <c r="I148" s="91"/>
      <c r="J148" s="91"/>
      <c r="K148" s="91"/>
      <c r="L148" s="91"/>
      <c r="M148" s="91"/>
      <c r="N148" s="91"/>
      <c r="O148" s="97">
        <f>T148*N148</f>
        <v>0</v>
      </c>
      <c r="P148" s="91" t="s">
        <v>796</v>
      </c>
      <c r="Q148" s="91"/>
      <c r="R148" s="98">
        <f>IF(OR(P148="c",P148="C"),+T148,"")</f>
        <v>0</v>
      </c>
      <c r="S148" s="98" t="str">
        <f>IF(OR(P148="$",N148=1),+T148,"")</f>
        <v/>
      </c>
      <c r="T148" s="99">
        <f>H148*[1]!FMainPool1Fee+I148*[1]!FMainPool2Fee+J148*[1]!FMainPool3Fee+K148*[1]!FMainPool4Fee+B148*[1]!FMainEntryFee</f>
        <v>0</v>
      </c>
      <c r="U148" s="100"/>
      <c r="V148" s="101"/>
      <c r="W148" s="102"/>
      <c r="X148" s="103"/>
      <c r="Y148" s="103"/>
      <c r="Z148" s="104"/>
    </row>
    <row r="149" spans="1:26" ht="15.75">
      <c r="A149" s="90">
        <f t="shared" si="5"/>
        <v>138</v>
      </c>
      <c r="B149" s="91"/>
      <c r="C149" s="107" t="s">
        <v>247</v>
      </c>
      <c r="D149" s="107" t="s">
        <v>185</v>
      </c>
      <c r="E149" s="108" t="s">
        <v>248</v>
      </c>
      <c r="F149" s="113"/>
      <c r="G149" s="112" t="s">
        <v>532</v>
      </c>
      <c r="H149" s="96"/>
      <c r="I149" s="91"/>
      <c r="J149" s="91"/>
      <c r="K149" s="91"/>
      <c r="L149" s="91"/>
      <c r="M149" s="91"/>
      <c r="N149" s="91"/>
      <c r="O149" s="97">
        <f>T149*N149</f>
        <v>0</v>
      </c>
      <c r="P149" s="91" t="s">
        <v>796</v>
      </c>
      <c r="Q149" s="91"/>
      <c r="R149" s="98">
        <f>IF(OR(P149="c",P149="C"),+T149,"")</f>
        <v>0</v>
      </c>
      <c r="S149" s="98" t="str">
        <f>IF(OR(P149="$",N149=1),+T149,"")</f>
        <v/>
      </c>
      <c r="T149" s="99">
        <f>H149*[1]!FMainPool1Fee+I149*[1]!FMainPool2Fee+J149*[1]!FMainPool3Fee+K149*[1]!FMainPool4Fee+B149*[1]!FMainEntryFee</f>
        <v>0</v>
      </c>
      <c r="U149" s="100"/>
      <c r="V149" s="101"/>
      <c r="W149" s="102"/>
      <c r="X149" s="103"/>
      <c r="Y149" s="103"/>
      <c r="Z149" s="104"/>
    </row>
    <row r="150" spans="1:26" ht="15.75">
      <c r="A150" s="90">
        <f t="shared" si="5"/>
        <v>139</v>
      </c>
      <c r="B150" s="91"/>
      <c r="C150" s="107" t="s">
        <v>249</v>
      </c>
      <c r="D150" s="107" t="s">
        <v>250</v>
      </c>
      <c r="E150" s="108" t="s">
        <v>251</v>
      </c>
      <c r="F150" s="94">
        <v>8054556079</v>
      </c>
      <c r="G150" s="112" t="s">
        <v>533</v>
      </c>
      <c r="H150" s="96"/>
      <c r="I150" s="91"/>
      <c r="J150" s="91"/>
      <c r="K150" s="91"/>
      <c r="L150" s="91"/>
      <c r="M150" s="91"/>
      <c r="N150" s="91"/>
      <c r="O150" s="97">
        <f>T150*N150</f>
        <v>0</v>
      </c>
      <c r="P150" s="91" t="s">
        <v>796</v>
      </c>
      <c r="Q150" s="91"/>
      <c r="R150" s="98">
        <f>IF(OR(P150="c",P150="C"),+T150,"")</f>
        <v>0</v>
      </c>
      <c r="S150" s="98" t="str">
        <f>IF(OR(P150="$",N150=1),+T150,"")</f>
        <v/>
      </c>
      <c r="T150" s="99">
        <f>H150*[1]!FMainPool1Fee+I150*[1]!FMainPool2Fee+J150*[1]!FMainPool3Fee+K150*[1]!FMainPool4Fee+B150*[1]!FMainEntryFee</f>
        <v>0</v>
      </c>
      <c r="U150" s="100"/>
      <c r="V150" s="101"/>
      <c r="W150" s="102"/>
      <c r="X150" s="103"/>
      <c r="Y150" s="103"/>
      <c r="Z150" s="104"/>
    </row>
    <row r="151" spans="1:26" ht="15.75">
      <c r="A151" s="90">
        <f t="shared" si="5"/>
        <v>140</v>
      </c>
      <c r="B151" s="91"/>
      <c r="C151" s="92" t="s">
        <v>252</v>
      </c>
      <c r="D151" s="92" t="s">
        <v>42</v>
      </c>
      <c r="E151" s="93" t="s">
        <v>253</v>
      </c>
      <c r="F151" s="94"/>
      <c r="G151" s="112" t="s">
        <v>534</v>
      </c>
      <c r="H151" s="96"/>
      <c r="I151" s="91"/>
      <c r="J151" s="91"/>
      <c r="K151" s="91"/>
      <c r="L151" s="91"/>
      <c r="M151" s="91"/>
      <c r="N151" s="91"/>
      <c r="O151" s="97">
        <f>T151*N151</f>
        <v>0</v>
      </c>
      <c r="P151" s="91" t="s">
        <v>796</v>
      </c>
      <c r="Q151" s="91"/>
      <c r="R151" s="98">
        <f>IF(OR(P151="c",P151="C"),+T151,"")</f>
        <v>0</v>
      </c>
      <c r="S151" s="98" t="str">
        <f>IF(OR(P151="$",N151=1),+T151,"")</f>
        <v/>
      </c>
      <c r="T151" s="99">
        <f>H151*[1]!FMainPool1Fee+I151*[1]!FMainPool2Fee+J151*[1]!FMainPool3Fee+K151*[1]!FMainPool4Fee+B151*[1]!FMainEntryFee</f>
        <v>0</v>
      </c>
      <c r="U151" s="100"/>
      <c r="V151" s="101"/>
      <c r="W151" s="102"/>
      <c r="X151" s="103"/>
      <c r="Y151" s="103"/>
      <c r="Z151" s="104"/>
    </row>
    <row r="152" spans="1:26" ht="15.75">
      <c r="A152" s="90">
        <f t="shared" si="5"/>
        <v>141</v>
      </c>
      <c r="B152" s="91"/>
      <c r="C152" s="92" t="s">
        <v>254</v>
      </c>
      <c r="D152" s="92" t="s">
        <v>255</v>
      </c>
      <c r="E152" s="93" t="s">
        <v>256</v>
      </c>
      <c r="F152" s="109" t="s">
        <v>535</v>
      </c>
      <c r="G152" s="95" t="s">
        <v>536</v>
      </c>
      <c r="H152" s="96"/>
      <c r="I152" s="91"/>
      <c r="J152" s="91"/>
      <c r="K152" s="91"/>
      <c r="L152" s="91"/>
      <c r="M152" s="91"/>
      <c r="N152" s="91"/>
      <c r="O152" s="97">
        <f>T152*N152</f>
        <v>0</v>
      </c>
      <c r="P152" s="91" t="s">
        <v>796</v>
      </c>
      <c r="Q152" s="91"/>
      <c r="R152" s="98">
        <f>IF(OR(P152="c",P152="C"),+T152,"")</f>
        <v>0</v>
      </c>
      <c r="S152" s="98" t="str">
        <f>IF(OR(P152="$",N152=1),+T152,"")</f>
        <v/>
      </c>
      <c r="T152" s="99">
        <f>H152*[1]!FMainPool1Fee+I152*[1]!FMainPool2Fee+J152*[1]!FMainPool3Fee+K152*[1]!FMainPool4Fee+B152*[1]!FMainEntryFee</f>
        <v>0</v>
      </c>
      <c r="U152" s="100"/>
      <c r="V152" s="101"/>
      <c r="W152" s="102"/>
      <c r="X152" s="103"/>
      <c r="Y152" s="103"/>
      <c r="Z152" s="104"/>
    </row>
    <row r="153" spans="1:26" ht="15.75">
      <c r="A153" s="90">
        <f t="shared" si="5"/>
        <v>142</v>
      </c>
      <c r="B153" s="91"/>
      <c r="C153" s="92" t="s">
        <v>257</v>
      </c>
      <c r="D153" s="92" t="s">
        <v>255</v>
      </c>
      <c r="E153" s="93" t="s">
        <v>258</v>
      </c>
      <c r="F153" s="109" t="s">
        <v>535</v>
      </c>
      <c r="G153" s="95" t="s">
        <v>537</v>
      </c>
      <c r="H153" s="96"/>
      <c r="I153" s="91"/>
      <c r="J153" s="91"/>
      <c r="K153" s="91"/>
      <c r="L153" s="91"/>
      <c r="M153" s="91"/>
      <c r="N153" s="91"/>
      <c r="O153" s="97">
        <f>T153*N153</f>
        <v>0</v>
      </c>
      <c r="P153" s="91" t="s">
        <v>796</v>
      </c>
      <c r="Q153" s="91"/>
      <c r="R153" s="98">
        <f>IF(OR(P153="c",P153="C"),+T153,"")</f>
        <v>0</v>
      </c>
      <c r="S153" s="98" t="str">
        <f>IF(OR(P153="$",N153=1),+T153,"")</f>
        <v/>
      </c>
      <c r="T153" s="99">
        <f>H153*[1]!FMainPool1Fee+I153*[1]!FMainPool2Fee+J153*[1]!FMainPool3Fee+K153*[1]!FMainPool4Fee+B153*[1]!FMainEntryFee</f>
        <v>0</v>
      </c>
      <c r="U153" s="100"/>
      <c r="V153" s="101"/>
      <c r="W153" s="102"/>
      <c r="X153" s="103"/>
      <c r="Y153" s="103"/>
      <c r="Z153" s="104"/>
    </row>
    <row r="154" spans="1:26" ht="15.75">
      <c r="A154" s="90">
        <f t="shared" si="5"/>
        <v>143</v>
      </c>
      <c r="B154" s="91"/>
      <c r="C154" s="92" t="s">
        <v>721</v>
      </c>
      <c r="D154" s="92" t="s">
        <v>45</v>
      </c>
      <c r="E154" s="93" t="s">
        <v>722</v>
      </c>
      <c r="F154" s="109">
        <v>7072279891</v>
      </c>
      <c r="G154" s="95" t="s">
        <v>723</v>
      </c>
      <c r="H154" s="96"/>
      <c r="I154" s="91"/>
      <c r="J154" s="91"/>
      <c r="K154" s="91"/>
      <c r="L154" s="91"/>
      <c r="M154" s="91"/>
      <c r="N154" s="91"/>
      <c r="O154" s="97">
        <f>T154*N154</f>
        <v>0</v>
      </c>
      <c r="P154" s="91" t="s">
        <v>796</v>
      </c>
      <c r="Q154" s="91"/>
      <c r="R154" s="98">
        <f>IF(OR(P154="c",P154="C"),+T154,"")</f>
        <v>0</v>
      </c>
      <c r="S154" s="98" t="str">
        <f>IF(OR(P154="$",N154=1),+T154,"")</f>
        <v/>
      </c>
      <c r="T154" s="99">
        <f>H154*[1]!FMainPool1Fee+I154*[1]!FMainPool2Fee+J154*[1]!FMainPool3Fee+K154*[1]!FMainPool4Fee+B154*[1]!FMainEntryFee</f>
        <v>0</v>
      </c>
      <c r="U154" s="100"/>
      <c r="V154" s="101"/>
      <c r="W154" s="102"/>
      <c r="X154" s="103"/>
      <c r="Y154" s="103"/>
      <c r="Z154" s="104"/>
    </row>
    <row r="155" spans="1:26" ht="15.75">
      <c r="A155" s="90">
        <f t="shared" si="5"/>
        <v>144</v>
      </c>
      <c r="B155" s="91"/>
      <c r="C155" s="92" t="s">
        <v>264</v>
      </c>
      <c r="D155" s="92" t="s">
        <v>45</v>
      </c>
      <c r="E155" s="93" t="s">
        <v>265</v>
      </c>
      <c r="F155" s="94" t="s">
        <v>541</v>
      </c>
      <c r="G155" s="105" t="s">
        <v>542</v>
      </c>
      <c r="H155" s="96"/>
      <c r="I155" s="91"/>
      <c r="J155" s="91"/>
      <c r="K155" s="91"/>
      <c r="L155" s="91"/>
      <c r="M155" s="91"/>
      <c r="N155" s="91"/>
      <c r="O155" s="97">
        <f>T155*N155</f>
        <v>0</v>
      </c>
      <c r="P155" s="91" t="s">
        <v>796</v>
      </c>
      <c r="Q155" s="91"/>
      <c r="R155" s="98">
        <f>IF(OR(P155="c",P155="C"),+T155,"")</f>
        <v>0</v>
      </c>
      <c r="S155" s="98" t="str">
        <f>IF(OR(P155="$",N155=1),+T155,"")</f>
        <v/>
      </c>
      <c r="T155" s="99">
        <f>H155*[1]!FMainPool1Fee+I155*[1]!FMainPool2Fee+J155*[1]!FMainPool3Fee+K155*[1]!FMainPool4Fee+B155*[1]!FMainEntryFee</f>
        <v>0</v>
      </c>
      <c r="U155" s="100"/>
      <c r="V155" s="101"/>
      <c r="W155" s="102"/>
      <c r="X155" s="103"/>
      <c r="Y155" s="103"/>
      <c r="Z155" s="104"/>
    </row>
    <row r="156" spans="1:26" ht="15.75">
      <c r="A156" s="90">
        <f t="shared" si="5"/>
        <v>145</v>
      </c>
      <c r="B156" s="91"/>
      <c r="C156" s="92" t="s">
        <v>269</v>
      </c>
      <c r="D156" s="92" t="s">
        <v>270</v>
      </c>
      <c r="E156" s="93" t="s">
        <v>271</v>
      </c>
      <c r="F156" s="94"/>
      <c r="G156" s="112" t="s">
        <v>543</v>
      </c>
      <c r="H156" s="96"/>
      <c r="I156" s="91"/>
      <c r="J156" s="91"/>
      <c r="K156" s="91"/>
      <c r="L156" s="91"/>
      <c r="M156" s="91"/>
      <c r="N156" s="91"/>
      <c r="O156" s="97">
        <f>T156*N156</f>
        <v>0</v>
      </c>
      <c r="P156" s="91" t="s">
        <v>796</v>
      </c>
      <c r="Q156" s="91"/>
      <c r="R156" s="98">
        <f>IF(OR(P156="c",P156="C"),+T156,"")</f>
        <v>0</v>
      </c>
      <c r="S156" s="98" t="str">
        <f>IF(OR(P156="$",N156=1),+T156,"")</f>
        <v/>
      </c>
      <c r="T156" s="99">
        <f>H156*[1]!FMainPool1Fee+I156*[1]!FMainPool2Fee+J156*[1]!FMainPool3Fee+K156*[1]!FMainPool4Fee+B156*[1]!FMainEntryFee</f>
        <v>0</v>
      </c>
      <c r="U156" s="100"/>
      <c r="V156" s="101"/>
      <c r="W156" s="102"/>
      <c r="X156" s="103"/>
      <c r="Y156" s="103"/>
      <c r="Z156" s="104"/>
    </row>
    <row r="157" spans="1:26" ht="15.75">
      <c r="A157" s="90">
        <f t="shared" si="5"/>
        <v>146</v>
      </c>
      <c r="B157" s="91"/>
      <c r="C157" s="92" t="s">
        <v>274</v>
      </c>
      <c r="D157" s="92" t="s">
        <v>275</v>
      </c>
      <c r="E157" s="93" t="s">
        <v>276</v>
      </c>
      <c r="F157" s="94"/>
      <c r="G157" s="112" t="s">
        <v>545</v>
      </c>
      <c r="H157" s="96"/>
      <c r="I157" s="91"/>
      <c r="J157" s="91"/>
      <c r="K157" s="91"/>
      <c r="L157" s="91"/>
      <c r="M157" s="91"/>
      <c r="N157" s="91"/>
      <c r="O157" s="97">
        <f>T157*N157</f>
        <v>0</v>
      </c>
      <c r="P157" s="91" t="s">
        <v>796</v>
      </c>
      <c r="Q157" s="91"/>
      <c r="R157" s="98">
        <f>IF(OR(P157="c",P157="C"),+T157,"")</f>
        <v>0</v>
      </c>
      <c r="S157" s="98" t="str">
        <f>IF(OR(P157="$",N157=1),+T157,"")</f>
        <v/>
      </c>
      <c r="T157" s="99">
        <f>H157*[1]!FMainPool1Fee+I157*[1]!FMainPool2Fee+J157*[1]!FMainPool3Fee+K157*[1]!FMainPool4Fee+B157*[1]!FMainEntryFee</f>
        <v>0</v>
      </c>
      <c r="U157" s="100"/>
      <c r="V157" s="101"/>
      <c r="W157" s="102"/>
      <c r="X157" s="103"/>
      <c r="Y157" s="103"/>
      <c r="Z157" s="104"/>
    </row>
    <row r="158" spans="1:26" ht="15.75">
      <c r="A158" s="90">
        <f t="shared" si="5"/>
        <v>147</v>
      </c>
      <c r="B158" s="91"/>
      <c r="C158" s="107" t="s">
        <v>724</v>
      </c>
      <c r="D158" s="107" t="s">
        <v>148</v>
      </c>
      <c r="E158" s="108" t="s">
        <v>725</v>
      </c>
      <c r="F158" s="170">
        <v>9168330331</v>
      </c>
      <c r="G158" s="95" t="s">
        <v>726</v>
      </c>
      <c r="H158" s="96"/>
      <c r="I158" s="91"/>
      <c r="J158" s="91"/>
      <c r="K158" s="91"/>
      <c r="L158" s="91"/>
      <c r="M158" s="91"/>
      <c r="N158" s="91"/>
      <c r="O158" s="97">
        <f>T158*N158</f>
        <v>0</v>
      </c>
      <c r="P158" s="91" t="s">
        <v>796</v>
      </c>
      <c r="Q158" s="91"/>
      <c r="R158" s="98">
        <f>IF(OR(P158="c",P158="C"),+T158,"")</f>
        <v>0</v>
      </c>
      <c r="S158" s="98" t="str">
        <f>IF(OR(P158="$",N158=1),+T158,"")</f>
        <v/>
      </c>
      <c r="T158" s="99">
        <f>H158*[1]!FMainPool1Fee+I158*[1]!FMainPool2Fee+J158*[1]!FMainPool3Fee+K158*[1]!FMainPool4Fee+B158*[1]!FMainEntryFee</f>
        <v>0</v>
      </c>
      <c r="U158" s="100"/>
      <c r="V158" s="101"/>
      <c r="W158" s="102"/>
      <c r="X158" s="103"/>
      <c r="Y158" s="103"/>
      <c r="Z158" s="104"/>
    </row>
    <row r="159" spans="1:26" ht="15.75">
      <c r="A159" s="90">
        <f t="shared" si="5"/>
        <v>148</v>
      </c>
      <c r="B159" s="91"/>
      <c r="C159" s="105" t="s">
        <v>727</v>
      </c>
      <c r="D159" s="105" t="s">
        <v>232</v>
      </c>
      <c r="E159" s="102" t="s">
        <v>728</v>
      </c>
      <c r="F159" s="109">
        <v>9254081849</v>
      </c>
      <c r="G159" s="118" t="s">
        <v>729</v>
      </c>
      <c r="H159" s="96"/>
      <c r="I159" s="91"/>
      <c r="J159" s="91"/>
      <c r="K159" s="91"/>
      <c r="L159" s="91"/>
      <c r="M159" s="91"/>
      <c r="N159" s="91"/>
      <c r="O159" s="97">
        <f>T159*N159</f>
        <v>0</v>
      </c>
      <c r="P159" s="91" t="s">
        <v>796</v>
      </c>
      <c r="Q159" s="91"/>
      <c r="R159" s="98">
        <f>IF(OR(P159="c",P159="C"),+T159,"")</f>
        <v>0</v>
      </c>
      <c r="S159" s="98" t="str">
        <f>IF(OR(P159="$",N159=1),+T159,"")</f>
        <v/>
      </c>
      <c r="T159" s="99">
        <f>H159*[1]!FMainPool1Fee+I159*[1]!FMainPool2Fee+J159*[1]!FMainPool3Fee+K159*[1]!FMainPool4Fee+B159*[1]!FMainEntryFee</f>
        <v>0</v>
      </c>
      <c r="U159" s="100"/>
      <c r="V159" s="101"/>
      <c r="W159" s="102"/>
      <c r="X159" s="103"/>
      <c r="Y159" s="103"/>
      <c r="Z159" s="104"/>
    </row>
    <row r="160" spans="1:26" ht="15.75">
      <c r="A160" s="90">
        <f t="shared" si="5"/>
        <v>149</v>
      </c>
      <c r="B160" s="91"/>
      <c r="C160" s="92" t="s">
        <v>279</v>
      </c>
      <c r="D160" s="92" t="s">
        <v>8</v>
      </c>
      <c r="E160" s="93" t="s">
        <v>280</v>
      </c>
      <c r="F160" s="94"/>
      <c r="G160" s="112" t="s">
        <v>547</v>
      </c>
      <c r="H160" s="96"/>
      <c r="I160" s="91"/>
      <c r="J160" s="91"/>
      <c r="K160" s="91"/>
      <c r="L160" s="91"/>
      <c r="M160" s="91"/>
      <c r="N160" s="91"/>
      <c r="O160" s="97">
        <f>T160*N160</f>
        <v>0</v>
      </c>
      <c r="P160" s="91" t="s">
        <v>796</v>
      </c>
      <c r="Q160" s="91"/>
      <c r="R160" s="98">
        <f>IF(OR(P160="c",P160="C"),+T160,"")</f>
        <v>0</v>
      </c>
      <c r="S160" s="98" t="str">
        <f>IF(OR(P160="$",N160=1),+T160,"")</f>
        <v/>
      </c>
      <c r="T160" s="99">
        <f>H160*[1]!FMainPool1Fee+I160*[1]!FMainPool2Fee+J160*[1]!FMainPool3Fee+K160*[1]!FMainPool4Fee+B160*[1]!FMainEntryFee</f>
        <v>0</v>
      </c>
      <c r="U160" s="100"/>
      <c r="V160" s="101"/>
      <c r="W160" s="102"/>
      <c r="X160" s="103"/>
      <c r="Y160" s="103"/>
      <c r="Z160" s="104"/>
    </row>
    <row r="161" spans="1:26" ht="15.75">
      <c r="A161" s="90">
        <f t="shared" si="5"/>
        <v>150</v>
      </c>
      <c r="B161" s="91"/>
      <c r="C161" s="92" t="s">
        <v>281</v>
      </c>
      <c r="D161" s="92" t="s">
        <v>282</v>
      </c>
      <c r="E161" s="93"/>
      <c r="F161" s="94"/>
      <c r="G161" s="112" t="s">
        <v>548</v>
      </c>
      <c r="H161" s="96"/>
      <c r="I161" s="91"/>
      <c r="J161" s="91"/>
      <c r="K161" s="91"/>
      <c r="L161" s="91"/>
      <c r="M161" s="91"/>
      <c r="N161" s="91"/>
      <c r="O161" s="97">
        <f>T161*N161</f>
        <v>0</v>
      </c>
      <c r="P161" s="91" t="s">
        <v>796</v>
      </c>
      <c r="Q161" s="91"/>
      <c r="R161" s="98">
        <f>IF(OR(P161="c",P161="C"),+T161,"")</f>
        <v>0</v>
      </c>
      <c r="S161" s="98" t="str">
        <f>IF(OR(P161="$",N161=1),+T161,"")</f>
        <v/>
      </c>
      <c r="T161" s="99">
        <f>H161*[1]!FMainPool1Fee+I161*[1]!FMainPool2Fee+J161*[1]!FMainPool3Fee+K161*[1]!FMainPool4Fee+B161*[1]!FMainEntryFee</f>
        <v>0</v>
      </c>
      <c r="U161" s="100"/>
      <c r="V161" s="101"/>
      <c r="W161" s="102">
        <v>1</v>
      </c>
      <c r="X161" s="103"/>
      <c r="Y161" s="103"/>
      <c r="Z161" s="104" t="s">
        <v>845</v>
      </c>
    </row>
    <row r="162" spans="1:26" ht="15.75">
      <c r="A162" s="90">
        <f t="shared" si="5"/>
        <v>151</v>
      </c>
      <c r="B162" s="91"/>
      <c r="C162" s="92" t="s">
        <v>287</v>
      </c>
      <c r="D162" s="92" t="s">
        <v>156</v>
      </c>
      <c r="E162" s="93" t="s">
        <v>288</v>
      </c>
      <c r="F162" s="94"/>
      <c r="G162" s="171" t="s">
        <v>551</v>
      </c>
      <c r="H162" s="96"/>
      <c r="I162" s="91"/>
      <c r="J162" s="91"/>
      <c r="K162" s="91"/>
      <c r="L162" s="91"/>
      <c r="M162" s="91"/>
      <c r="N162" s="91"/>
      <c r="O162" s="97">
        <f>T162*N162</f>
        <v>0</v>
      </c>
      <c r="P162" s="91" t="s">
        <v>796</v>
      </c>
      <c r="Q162" s="91"/>
      <c r="R162" s="98">
        <f>IF(OR(P162="c",P162="C"),+T162,"")</f>
        <v>0</v>
      </c>
      <c r="S162" s="98" t="str">
        <f>IF(OR(P162="$",N162=1),+T162,"")</f>
        <v/>
      </c>
      <c r="T162" s="99">
        <f>H162*[1]!FMainPool1Fee+I162*[1]!FMainPool2Fee+J162*[1]!FMainPool3Fee+K162*[1]!FMainPool4Fee+B162*[1]!FMainEntryFee</f>
        <v>0</v>
      </c>
      <c r="U162" s="100"/>
      <c r="V162" s="101"/>
      <c r="W162" s="102"/>
      <c r="X162" s="103"/>
      <c r="Y162" s="103"/>
      <c r="Z162" s="104"/>
    </row>
    <row r="163" spans="1:26" ht="15.75">
      <c r="A163" s="90">
        <f t="shared" ref="A163:A197" si="6">ROW() - ROW(FRegentiresEneteredHdr)</f>
        <v>152</v>
      </c>
      <c r="B163" s="91"/>
      <c r="C163" s="105" t="s">
        <v>677</v>
      </c>
      <c r="D163" s="105" t="s">
        <v>678</v>
      </c>
      <c r="E163" s="102" t="s">
        <v>662</v>
      </c>
      <c r="F163" s="109"/>
      <c r="G163" s="106" t="s">
        <v>679</v>
      </c>
      <c r="H163" s="96"/>
      <c r="I163" s="91"/>
      <c r="J163" s="91"/>
      <c r="K163" s="91"/>
      <c r="L163" s="91"/>
      <c r="M163" s="91"/>
      <c r="N163" s="91"/>
      <c r="O163" s="97">
        <f>T163*N163</f>
        <v>0</v>
      </c>
      <c r="P163" s="91" t="s">
        <v>796</v>
      </c>
      <c r="Q163" s="91"/>
      <c r="R163" s="98">
        <f>IF(OR(P163="c",P163="C"),+T163,"")</f>
        <v>0</v>
      </c>
      <c r="S163" s="98" t="str">
        <f>IF(OR(P163="$",N163=1),+T163,"")</f>
        <v/>
      </c>
      <c r="T163" s="99">
        <f>H163*[1]!FMainPool1Fee+I163*[1]!FMainPool2Fee+J163*[1]!FMainPool3Fee+K163*[1]!FMainPool4Fee+B163*[1]!FMainEntryFee</f>
        <v>0</v>
      </c>
      <c r="U163" s="100"/>
      <c r="V163" s="101"/>
      <c r="W163" s="102"/>
      <c r="X163" s="103"/>
      <c r="Y163" s="103"/>
      <c r="Z163" s="104"/>
    </row>
    <row r="164" spans="1:26" ht="15.75">
      <c r="A164" s="90">
        <f t="shared" si="6"/>
        <v>153</v>
      </c>
      <c r="B164" s="91"/>
      <c r="C164" s="92" t="s">
        <v>291</v>
      </c>
      <c r="D164" s="92" t="s">
        <v>255</v>
      </c>
      <c r="E164" s="93"/>
      <c r="F164" s="94"/>
      <c r="G164" s="112" t="s">
        <v>554</v>
      </c>
      <c r="H164" s="96"/>
      <c r="I164" s="91"/>
      <c r="J164" s="91"/>
      <c r="K164" s="91"/>
      <c r="L164" s="91"/>
      <c r="M164" s="91"/>
      <c r="N164" s="91"/>
      <c r="O164" s="97">
        <f>T164*N164</f>
        <v>0</v>
      </c>
      <c r="P164" s="91" t="s">
        <v>796</v>
      </c>
      <c r="Q164" s="91"/>
      <c r="R164" s="98">
        <f>IF(OR(P164="c",P164="C"),+T164,"")</f>
        <v>0</v>
      </c>
      <c r="S164" s="98" t="str">
        <f>IF(OR(P164="$",N164=1),+T164,"")</f>
        <v/>
      </c>
      <c r="T164" s="99">
        <f>H164*[1]!FMainPool1Fee+I164*[1]!FMainPool2Fee+J164*[1]!FMainPool3Fee+K164*[1]!FMainPool4Fee+B164*[1]!FMainEntryFee</f>
        <v>0</v>
      </c>
      <c r="U164" s="100"/>
      <c r="V164" s="101"/>
      <c r="W164" s="102"/>
      <c r="X164" s="103"/>
      <c r="Y164" s="103"/>
      <c r="Z164" s="104"/>
    </row>
    <row r="165" spans="1:26" ht="15.75">
      <c r="A165" s="90">
        <f t="shared" si="6"/>
        <v>154</v>
      </c>
      <c r="B165" s="91"/>
      <c r="C165" s="107" t="s">
        <v>770</v>
      </c>
      <c r="D165" s="107" t="s">
        <v>771</v>
      </c>
      <c r="E165" s="108" t="s">
        <v>772</v>
      </c>
      <c r="F165" s="113">
        <v>6507733006</v>
      </c>
      <c r="G165" s="116" t="s">
        <v>773</v>
      </c>
      <c r="H165" s="96"/>
      <c r="I165" s="91"/>
      <c r="J165" s="91"/>
      <c r="K165" s="91"/>
      <c r="L165" s="91"/>
      <c r="M165" s="91"/>
      <c r="N165" s="91"/>
      <c r="O165" s="97">
        <f>T165*N165</f>
        <v>0</v>
      </c>
      <c r="P165" s="91" t="s">
        <v>796</v>
      </c>
      <c r="Q165" s="91"/>
      <c r="R165" s="98">
        <f>IF(OR(P165="c",P165="C"),+T165,"")</f>
        <v>0</v>
      </c>
      <c r="S165" s="98" t="str">
        <f>IF(OR(P165="$",N165=1),+T165,"")</f>
        <v/>
      </c>
      <c r="T165" s="99">
        <f>H165*[1]!FMainPool1Fee+I165*[1]!FMainPool2Fee+J165*[1]!FMainPool3Fee+K165*[1]!FMainPool4Fee+B165*[1]!FMainEntryFee</f>
        <v>0</v>
      </c>
      <c r="U165" s="100"/>
      <c r="V165" s="101"/>
      <c r="W165" s="102"/>
      <c r="X165" s="103"/>
      <c r="Y165" s="103"/>
      <c r="Z165" s="104"/>
    </row>
    <row r="166" spans="1:26" ht="15.75">
      <c r="A166" s="90">
        <f t="shared" si="6"/>
        <v>155</v>
      </c>
      <c r="B166" s="91"/>
      <c r="C166" s="92" t="s">
        <v>295</v>
      </c>
      <c r="D166" s="92" t="s">
        <v>127</v>
      </c>
      <c r="E166" s="93" t="s">
        <v>296</v>
      </c>
      <c r="F166" s="94">
        <v>8057047967</v>
      </c>
      <c r="G166" s="112"/>
      <c r="H166" s="96"/>
      <c r="I166" s="91"/>
      <c r="J166" s="91"/>
      <c r="K166" s="91"/>
      <c r="L166" s="91"/>
      <c r="M166" s="91"/>
      <c r="N166" s="91"/>
      <c r="O166" s="97">
        <f>T166*N166</f>
        <v>0</v>
      </c>
      <c r="P166" s="91" t="s">
        <v>796</v>
      </c>
      <c r="Q166" s="91"/>
      <c r="R166" s="98">
        <f>IF(OR(P166="c",P166="C"),+T166,"")</f>
        <v>0</v>
      </c>
      <c r="S166" s="98" t="str">
        <f>IF(OR(P166="$",N166=1),+T166,"")</f>
        <v/>
      </c>
      <c r="T166" s="99">
        <f>H166*[1]!FMainPool1Fee+I166*[1]!FMainPool2Fee+J166*[1]!FMainPool3Fee+K166*[1]!FMainPool4Fee+B166*[1]!FMainEntryFee</f>
        <v>0</v>
      </c>
      <c r="U166" s="100"/>
      <c r="V166" s="101"/>
      <c r="W166" s="102"/>
      <c r="X166" s="103">
        <v>1</v>
      </c>
      <c r="Y166" s="103"/>
      <c r="Z166" s="104"/>
    </row>
    <row r="167" spans="1:26" ht="15.75">
      <c r="A167" s="90">
        <f t="shared" si="6"/>
        <v>156</v>
      </c>
      <c r="B167" s="91"/>
      <c r="C167" s="107" t="s">
        <v>297</v>
      </c>
      <c r="D167" s="107" t="s">
        <v>61</v>
      </c>
      <c r="E167" s="108" t="s">
        <v>298</v>
      </c>
      <c r="F167" s="113"/>
      <c r="G167" s="171" t="s">
        <v>556</v>
      </c>
      <c r="H167" s="96"/>
      <c r="I167" s="91"/>
      <c r="J167" s="91"/>
      <c r="K167" s="91"/>
      <c r="L167" s="91"/>
      <c r="M167" s="91"/>
      <c r="N167" s="91"/>
      <c r="O167" s="97">
        <f>T167*N167</f>
        <v>0</v>
      </c>
      <c r="P167" s="91" t="s">
        <v>796</v>
      </c>
      <c r="Q167" s="91"/>
      <c r="R167" s="98">
        <f>IF(OR(P167="c",P167="C"),+T167,"")</f>
        <v>0</v>
      </c>
      <c r="S167" s="98" t="str">
        <f>IF(OR(P167="$",N167=1),+T167,"")</f>
        <v/>
      </c>
      <c r="T167" s="99">
        <f>H167*[1]!FMainPool1Fee+I167*[1]!FMainPool2Fee+J167*[1]!FMainPool3Fee+K167*[1]!FMainPool4Fee+B167*[1]!FMainEntryFee</f>
        <v>0</v>
      </c>
      <c r="U167" s="100"/>
      <c r="V167" s="101"/>
      <c r="W167" s="102"/>
      <c r="X167" s="103"/>
      <c r="Y167" s="103"/>
      <c r="Z167" s="104"/>
    </row>
    <row r="168" spans="1:26" ht="15.75">
      <c r="A168" s="90">
        <f t="shared" si="6"/>
        <v>157</v>
      </c>
      <c r="B168" s="91"/>
      <c r="C168" s="92" t="s">
        <v>299</v>
      </c>
      <c r="D168" s="92" t="s">
        <v>300</v>
      </c>
      <c r="E168" s="93" t="s">
        <v>301</v>
      </c>
      <c r="F168" s="94"/>
      <c r="G168" s="112"/>
      <c r="H168" s="96"/>
      <c r="I168" s="91"/>
      <c r="J168" s="91"/>
      <c r="K168" s="91"/>
      <c r="L168" s="91"/>
      <c r="M168" s="91"/>
      <c r="N168" s="91"/>
      <c r="O168" s="97">
        <f>T168*N168</f>
        <v>0</v>
      </c>
      <c r="P168" s="91" t="s">
        <v>796</v>
      </c>
      <c r="Q168" s="91"/>
      <c r="R168" s="98">
        <f>IF(OR(P168="c",P168="C"),+T168,"")</f>
        <v>0</v>
      </c>
      <c r="S168" s="98" t="str">
        <f>IF(OR(P168="$",N168=1),+T168,"")</f>
        <v/>
      </c>
      <c r="T168" s="99">
        <f>H168*[1]!FMainPool1Fee+I168*[1]!FMainPool2Fee+J168*[1]!FMainPool3Fee+K168*[1]!FMainPool4Fee+B168*[1]!FMainEntryFee</f>
        <v>0</v>
      </c>
      <c r="U168" s="100"/>
      <c r="V168" s="101"/>
      <c r="W168" s="102"/>
      <c r="X168" s="103"/>
      <c r="Y168" s="103"/>
      <c r="Z168" s="104"/>
    </row>
    <row r="169" spans="1:26" ht="15.75">
      <c r="A169" s="90">
        <f t="shared" si="6"/>
        <v>158</v>
      </c>
      <c r="B169" s="91"/>
      <c r="C169" s="107" t="s">
        <v>302</v>
      </c>
      <c r="D169" s="107" t="s">
        <v>72</v>
      </c>
      <c r="E169" s="108" t="s">
        <v>303</v>
      </c>
      <c r="F169" s="113"/>
      <c r="G169" s="112" t="s">
        <v>557</v>
      </c>
      <c r="H169" s="96"/>
      <c r="I169" s="91"/>
      <c r="J169" s="91"/>
      <c r="K169" s="91"/>
      <c r="L169" s="91"/>
      <c r="M169" s="91"/>
      <c r="N169" s="91"/>
      <c r="O169" s="97">
        <f>T169*N169</f>
        <v>0</v>
      </c>
      <c r="P169" s="91" t="s">
        <v>796</v>
      </c>
      <c r="Q169" s="91"/>
      <c r="R169" s="98">
        <f>IF(OR(P169="c",P169="C"),+T169,"")</f>
        <v>0</v>
      </c>
      <c r="S169" s="98" t="str">
        <f>IF(OR(P169="$",N169=1),+T169,"")</f>
        <v/>
      </c>
      <c r="T169" s="99">
        <f>H169*[1]!FMainPool1Fee+I169*[1]!FMainPool2Fee+J169*[1]!FMainPool3Fee+K169*[1]!FMainPool4Fee+B169*[1]!FMainEntryFee</f>
        <v>0</v>
      </c>
      <c r="U169" s="100"/>
      <c r="V169" s="101"/>
      <c r="W169" s="102"/>
      <c r="X169" s="103"/>
      <c r="Y169" s="103"/>
      <c r="Z169" s="104"/>
    </row>
    <row r="170" spans="1:26" ht="15.75">
      <c r="A170" s="90">
        <f t="shared" si="6"/>
        <v>159</v>
      </c>
      <c r="B170" s="91"/>
      <c r="C170" s="92" t="s">
        <v>304</v>
      </c>
      <c r="D170" s="92" t="s">
        <v>305</v>
      </c>
      <c r="E170" s="93" t="s">
        <v>306</v>
      </c>
      <c r="F170" s="94"/>
      <c r="G170" s="112" t="s">
        <v>558</v>
      </c>
      <c r="H170" s="96"/>
      <c r="I170" s="91"/>
      <c r="J170" s="91"/>
      <c r="K170" s="91"/>
      <c r="L170" s="91"/>
      <c r="M170" s="91"/>
      <c r="N170" s="91"/>
      <c r="O170" s="97">
        <f>T170*N170</f>
        <v>0</v>
      </c>
      <c r="P170" s="91" t="s">
        <v>796</v>
      </c>
      <c r="Q170" s="91"/>
      <c r="R170" s="98">
        <f>IF(OR(P170="c",P170="C"),+T170,"")</f>
        <v>0</v>
      </c>
      <c r="S170" s="98" t="str">
        <f>IF(OR(P170="$",N170=1),+T170,"")</f>
        <v/>
      </c>
      <c r="T170" s="99">
        <f>H170*[1]!FMainPool1Fee+I170*[1]!FMainPool2Fee+J170*[1]!FMainPool3Fee+K170*[1]!FMainPool4Fee+B170*[1]!FMainEntryFee</f>
        <v>0</v>
      </c>
      <c r="U170" s="100"/>
      <c r="V170" s="101"/>
      <c r="W170" s="102"/>
      <c r="X170" s="103"/>
      <c r="Y170" s="103"/>
      <c r="Z170" s="104"/>
    </row>
    <row r="171" spans="1:26" ht="15.75">
      <c r="A171" s="90">
        <f t="shared" si="6"/>
        <v>160</v>
      </c>
      <c r="B171" s="91"/>
      <c r="C171" s="92" t="s">
        <v>307</v>
      </c>
      <c r="D171" s="92" t="s">
        <v>39</v>
      </c>
      <c r="E171" s="93" t="s">
        <v>308</v>
      </c>
      <c r="F171" s="94"/>
      <c r="G171" s="112" t="s">
        <v>559</v>
      </c>
      <c r="H171" s="96"/>
      <c r="I171" s="91"/>
      <c r="J171" s="91"/>
      <c r="K171" s="91"/>
      <c r="L171" s="91"/>
      <c r="M171" s="91"/>
      <c r="N171" s="91"/>
      <c r="O171" s="97">
        <f>T171*N171</f>
        <v>0</v>
      </c>
      <c r="P171" s="91" t="s">
        <v>796</v>
      </c>
      <c r="Q171" s="91"/>
      <c r="R171" s="98">
        <f>IF(OR(P171="c",P171="C"),+T171,"")</f>
        <v>0</v>
      </c>
      <c r="S171" s="98" t="str">
        <f>IF(OR(P171="$",N171=1),+T171,"")</f>
        <v/>
      </c>
      <c r="T171" s="99">
        <f>H171*[1]!FMainPool1Fee+I171*[1]!FMainPool2Fee+J171*[1]!FMainPool3Fee+K171*[1]!FMainPool4Fee+B171*[1]!FMainEntryFee</f>
        <v>0</v>
      </c>
      <c r="U171" s="100"/>
      <c r="V171" s="101"/>
      <c r="W171" s="102"/>
      <c r="X171" s="103"/>
      <c r="Y171" s="103"/>
      <c r="Z171" s="104"/>
    </row>
    <row r="172" spans="1:26" ht="15.75">
      <c r="A172" s="90">
        <f t="shared" si="6"/>
        <v>161</v>
      </c>
      <c r="B172" s="91"/>
      <c r="C172" s="92" t="s">
        <v>309</v>
      </c>
      <c r="D172" s="92" t="s">
        <v>72</v>
      </c>
      <c r="E172" s="93" t="s">
        <v>310</v>
      </c>
      <c r="F172" s="94">
        <v>7074845031</v>
      </c>
      <c r="G172" s="112" t="s">
        <v>560</v>
      </c>
      <c r="H172" s="96"/>
      <c r="I172" s="91"/>
      <c r="J172" s="91"/>
      <c r="K172" s="91"/>
      <c r="L172" s="91"/>
      <c r="M172" s="91"/>
      <c r="N172" s="91"/>
      <c r="O172" s="97">
        <f>T172*N172</f>
        <v>0</v>
      </c>
      <c r="P172" s="91" t="s">
        <v>796</v>
      </c>
      <c r="Q172" s="91"/>
      <c r="R172" s="98">
        <f>IF(OR(P172="c",P172="C"),+T172,"")</f>
        <v>0</v>
      </c>
      <c r="S172" s="98" t="str">
        <f>IF(OR(P172="$",N172=1),+T172,"")</f>
        <v/>
      </c>
      <c r="T172" s="99">
        <f>H172*[1]!FMainPool1Fee+I172*[1]!FMainPool2Fee+J172*[1]!FMainPool3Fee+K172*[1]!FMainPool4Fee+B172*[1]!FMainEntryFee</f>
        <v>0</v>
      </c>
      <c r="U172" s="100"/>
      <c r="V172" s="101"/>
      <c r="W172" s="102"/>
      <c r="X172" s="103">
        <v>1</v>
      </c>
      <c r="Y172" s="103"/>
      <c r="Z172" s="104" t="s">
        <v>847</v>
      </c>
    </row>
    <row r="173" spans="1:26" ht="15.75">
      <c r="A173" s="90">
        <f t="shared" si="6"/>
        <v>162</v>
      </c>
      <c r="B173" s="91"/>
      <c r="C173" s="92" t="s">
        <v>311</v>
      </c>
      <c r="D173" s="92" t="s">
        <v>84</v>
      </c>
      <c r="E173" s="93" t="s">
        <v>312</v>
      </c>
      <c r="F173" s="94"/>
      <c r="G173" s="112" t="s">
        <v>561</v>
      </c>
      <c r="H173" s="96"/>
      <c r="I173" s="91"/>
      <c r="J173" s="91"/>
      <c r="K173" s="91"/>
      <c r="L173" s="91"/>
      <c r="M173" s="91"/>
      <c r="N173" s="91"/>
      <c r="O173" s="97">
        <f>T173*N173</f>
        <v>0</v>
      </c>
      <c r="P173" s="91" t="s">
        <v>796</v>
      </c>
      <c r="Q173" s="91"/>
      <c r="R173" s="98">
        <f>IF(OR(P173="c",P173="C"),+T173,"")</f>
        <v>0</v>
      </c>
      <c r="S173" s="98" t="str">
        <f>IF(OR(P173="$",N173=1),+T173,"")</f>
        <v/>
      </c>
      <c r="T173" s="99">
        <f>H173*[1]!FMainPool1Fee+I173*[1]!FMainPool2Fee+J173*[1]!FMainPool3Fee+K173*[1]!FMainPool4Fee+B173*[1]!FMainEntryFee</f>
        <v>0</v>
      </c>
      <c r="U173" s="100"/>
      <c r="V173" s="101"/>
      <c r="W173" s="102"/>
      <c r="X173" s="103"/>
      <c r="Y173" s="103">
        <v>1</v>
      </c>
      <c r="Z173" s="104" t="s">
        <v>848</v>
      </c>
    </row>
    <row r="174" spans="1:26" ht="15.75">
      <c r="A174" s="90">
        <f t="shared" si="6"/>
        <v>163</v>
      </c>
      <c r="B174" s="91"/>
      <c r="C174" s="92" t="s">
        <v>730</v>
      </c>
      <c r="D174" s="92" t="s">
        <v>211</v>
      </c>
      <c r="E174" s="93" t="s">
        <v>731</v>
      </c>
      <c r="F174" s="109">
        <v>4086670073</v>
      </c>
      <c r="G174" s="118" t="s">
        <v>732</v>
      </c>
      <c r="H174" s="96"/>
      <c r="I174" s="91"/>
      <c r="J174" s="91"/>
      <c r="K174" s="91"/>
      <c r="L174" s="91"/>
      <c r="M174" s="91"/>
      <c r="N174" s="91"/>
      <c r="O174" s="97">
        <f>T174*N174</f>
        <v>0</v>
      </c>
      <c r="P174" s="91" t="s">
        <v>796</v>
      </c>
      <c r="Q174" s="91"/>
      <c r="R174" s="98">
        <f>IF(OR(P174="c",P174="C"),+T174,"")</f>
        <v>0</v>
      </c>
      <c r="S174" s="98" t="str">
        <f>IF(OR(P174="$",N174=1),+T174,"")</f>
        <v/>
      </c>
      <c r="T174" s="99">
        <f>H174*[1]!FMainPool1Fee+I174*[1]!FMainPool2Fee+J174*[1]!FMainPool3Fee+K174*[1]!FMainPool4Fee+B174*[1]!FMainEntryFee</f>
        <v>0</v>
      </c>
      <c r="U174" s="100"/>
      <c r="V174" s="101"/>
      <c r="W174" s="102"/>
      <c r="X174" s="103"/>
      <c r="Y174" s="103"/>
      <c r="Z174" s="104"/>
    </row>
    <row r="175" spans="1:26" ht="15.75">
      <c r="A175" s="90">
        <f t="shared" si="6"/>
        <v>164</v>
      </c>
      <c r="B175" s="91"/>
      <c r="C175" s="92" t="s">
        <v>846</v>
      </c>
      <c r="D175" s="92" t="s">
        <v>159</v>
      </c>
      <c r="E175" s="93" t="s">
        <v>774</v>
      </c>
      <c r="F175" s="109">
        <v>4086660276</v>
      </c>
      <c r="G175" s="118" t="s">
        <v>775</v>
      </c>
      <c r="H175" s="96"/>
      <c r="I175" s="91"/>
      <c r="J175" s="91"/>
      <c r="K175" s="91"/>
      <c r="L175" s="91"/>
      <c r="M175" s="91"/>
      <c r="N175" s="91"/>
      <c r="O175" s="97">
        <f>T175*N175</f>
        <v>0</v>
      </c>
      <c r="P175" s="91" t="s">
        <v>796</v>
      </c>
      <c r="Q175" s="91"/>
      <c r="R175" s="98">
        <f>IF(OR(P175="c",P175="C"),+T175,"")</f>
        <v>0</v>
      </c>
      <c r="S175" s="98" t="str">
        <f>IF(OR(P175="$",N175=1),+T175,"")</f>
        <v/>
      </c>
      <c r="T175" s="99">
        <f>H175*[1]!FMainPool1Fee+I175*[1]!FMainPool2Fee+J175*[1]!FMainPool3Fee+K175*[1]!FMainPool4Fee+B175*[1]!FMainEntryFee</f>
        <v>0</v>
      </c>
      <c r="U175" s="100"/>
      <c r="V175" s="101"/>
      <c r="W175" s="102"/>
      <c r="X175" s="103"/>
      <c r="Y175" s="103"/>
      <c r="Z175" s="104"/>
    </row>
    <row r="176" spans="1:26" ht="15.75">
      <c r="A176" s="90">
        <f t="shared" si="6"/>
        <v>165</v>
      </c>
      <c r="B176" s="91"/>
      <c r="C176" s="107" t="s">
        <v>320</v>
      </c>
      <c r="D176" s="107" t="s">
        <v>321</v>
      </c>
      <c r="E176" s="108" t="s">
        <v>322</v>
      </c>
      <c r="F176" s="113">
        <v>9167697400</v>
      </c>
      <c r="G176" s="112" t="s">
        <v>565</v>
      </c>
      <c r="H176" s="96"/>
      <c r="I176" s="91"/>
      <c r="J176" s="91"/>
      <c r="K176" s="91"/>
      <c r="L176" s="91"/>
      <c r="M176" s="91"/>
      <c r="N176" s="91"/>
      <c r="O176" s="97">
        <f>T176*N176</f>
        <v>0</v>
      </c>
      <c r="P176" s="91" t="s">
        <v>796</v>
      </c>
      <c r="Q176" s="91"/>
      <c r="R176" s="98">
        <f>IF(OR(P176="c",P176="C"),+T176,"")</f>
        <v>0</v>
      </c>
      <c r="S176" s="98" t="str">
        <f>IF(OR(P176="$",N176=1),+T176,"")</f>
        <v/>
      </c>
      <c r="T176" s="99">
        <f>H176*[1]!FMainPool1Fee+I176*[1]!FMainPool2Fee+J176*[1]!FMainPool3Fee+K176*[1]!FMainPool4Fee+B176*[1]!FMainEntryFee</f>
        <v>0</v>
      </c>
      <c r="U176" s="100"/>
      <c r="V176" s="101"/>
      <c r="W176" s="102"/>
      <c r="X176" s="103"/>
      <c r="Y176" s="103"/>
      <c r="Z176" s="104"/>
    </row>
    <row r="177" spans="1:26" ht="15.75">
      <c r="A177" s="90">
        <f t="shared" si="6"/>
        <v>166</v>
      </c>
      <c r="B177" s="91"/>
      <c r="C177" s="107" t="s">
        <v>323</v>
      </c>
      <c r="D177" s="107" t="s">
        <v>235</v>
      </c>
      <c r="E177" s="108" t="s">
        <v>324</v>
      </c>
      <c r="F177" s="113"/>
      <c r="G177" s="112" t="s">
        <v>566</v>
      </c>
      <c r="H177" s="96"/>
      <c r="I177" s="91"/>
      <c r="J177" s="91"/>
      <c r="K177" s="91"/>
      <c r="L177" s="91"/>
      <c r="M177" s="91"/>
      <c r="N177" s="91"/>
      <c r="O177" s="97">
        <f>T177*N177</f>
        <v>0</v>
      </c>
      <c r="P177" s="91" t="s">
        <v>796</v>
      </c>
      <c r="Q177" s="91"/>
      <c r="R177" s="98">
        <f>IF(OR(P177="c",P177="C"),+T177,"")</f>
        <v>0</v>
      </c>
      <c r="S177" s="98" t="str">
        <f>IF(OR(P177="$",N177=1),+T177,"")</f>
        <v/>
      </c>
      <c r="T177" s="99">
        <f>H177*[1]!FMainPool1Fee+I177*[1]!FMainPool2Fee+J177*[1]!FMainPool3Fee+K177*[1]!FMainPool4Fee+B177*[1]!FMainEntryFee</f>
        <v>0</v>
      </c>
      <c r="U177" s="100"/>
      <c r="V177" s="101"/>
      <c r="W177" s="102"/>
      <c r="X177" s="103"/>
      <c r="Y177" s="103"/>
      <c r="Z177" s="104"/>
    </row>
    <row r="178" spans="1:26" ht="15.75">
      <c r="A178" s="90">
        <f t="shared" si="6"/>
        <v>167</v>
      </c>
      <c r="B178" s="91"/>
      <c r="C178" s="107" t="s">
        <v>776</v>
      </c>
      <c r="D178" s="107" t="s">
        <v>777</v>
      </c>
      <c r="E178" s="108" t="s">
        <v>778</v>
      </c>
      <c r="F178" s="113">
        <v>4073616554</v>
      </c>
      <c r="G178" s="105" t="s">
        <v>779</v>
      </c>
      <c r="H178" s="96"/>
      <c r="I178" s="91"/>
      <c r="J178" s="91"/>
      <c r="K178" s="91"/>
      <c r="L178" s="91"/>
      <c r="M178" s="91"/>
      <c r="N178" s="91"/>
      <c r="O178" s="97">
        <f>T178*N178</f>
        <v>0</v>
      </c>
      <c r="P178" s="91" t="s">
        <v>796</v>
      </c>
      <c r="Q178" s="91"/>
      <c r="R178" s="98">
        <f>IF(OR(P178="c",P178="C"),+T178,"")</f>
        <v>0</v>
      </c>
      <c r="S178" s="98" t="str">
        <f>IF(OR(P178="$",N178=1),+T178,"")</f>
        <v/>
      </c>
      <c r="T178" s="99">
        <f>H178*[1]!FMainPool1Fee+I178*[1]!FMainPool2Fee+J178*[1]!FMainPool3Fee+K178*[1]!FMainPool4Fee+B178*[1]!FMainEntryFee</f>
        <v>0</v>
      </c>
      <c r="U178" s="100"/>
      <c r="V178" s="101"/>
      <c r="W178" s="102"/>
      <c r="X178" s="103"/>
      <c r="Y178" s="103"/>
      <c r="Z178" s="104"/>
    </row>
    <row r="179" spans="1:26" ht="15.75">
      <c r="A179" s="90">
        <f t="shared" si="6"/>
        <v>168</v>
      </c>
      <c r="B179" s="91"/>
      <c r="C179" s="107" t="s">
        <v>325</v>
      </c>
      <c r="D179" s="107" t="s">
        <v>326</v>
      </c>
      <c r="E179" s="108" t="s">
        <v>327</v>
      </c>
      <c r="F179" s="113"/>
      <c r="G179" s="112" t="s">
        <v>567</v>
      </c>
      <c r="H179" s="96"/>
      <c r="I179" s="91"/>
      <c r="J179" s="91"/>
      <c r="K179" s="91"/>
      <c r="L179" s="91"/>
      <c r="M179" s="91"/>
      <c r="N179" s="91"/>
      <c r="O179" s="97">
        <f>T179*N179</f>
        <v>0</v>
      </c>
      <c r="P179" s="91" t="s">
        <v>796</v>
      </c>
      <c r="Q179" s="91"/>
      <c r="R179" s="98">
        <f>IF(OR(P179="c",P179="C"),+T179,"")</f>
        <v>0</v>
      </c>
      <c r="S179" s="98" t="str">
        <f>IF(OR(P179="$",N179=1),+T179,"")</f>
        <v/>
      </c>
      <c r="T179" s="99">
        <f>H179*[1]!FMainPool1Fee+I179*[1]!FMainPool2Fee+J179*[1]!FMainPool3Fee+K179*[1]!FMainPool4Fee+B179*[1]!FMainEntryFee</f>
        <v>0</v>
      </c>
      <c r="U179" s="100"/>
      <c r="V179" s="101"/>
      <c r="W179" s="102"/>
      <c r="X179" s="103"/>
      <c r="Y179" s="103"/>
      <c r="Z179" s="104"/>
    </row>
    <row r="180" spans="1:26" ht="15.75">
      <c r="A180" s="90">
        <f t="shared" si="6"/>
        <v>169</v>
      </c>
      <c r="B180" s="91"/>
      <c r="C180" s="92" t="s">
        <v>328</v>
      </c>
      <c r="D180" s="92" t="s">
        <v>329</v>
      </c>
      <c r="E180" s="93" t="s">
        <v>330</v>
      </c>
      <c r="F180" s="94">
        <v>5302194729</v>
      </c>
      <c r="G180" s="95" t="s">
        <v>568</v>
      </c>
      <c r="H180" s="96"/>
      <c r="I180" s="91"/>
      <c r="J180" s="91"/>
      <c r="K180" s="91"/>
      <c r="L180" s="91"/>
      <c r="M180" s="91"/>
      <c r="N180" s="91"/>
      <c r="O180" s="97">
        <f>T180*N180</f>
        <v>0</v>
      </c>
      <c r="P180" s="91" t="s">
        <v>796</v>
      </c>
      <c r="Q180" s="91"/>
      <c r="R180" s="98">
        <f>IF(OR(P180="c",P180="C"),+T180,"")</f>
        <v>0</v>
      </c>
      <c r="S180" s="98" t="str">
        <f>IF(OR(P180="$",N180=1),+T180,"")</f>
        <v/>
      </c>
      <c r="T180" s="99">
        <f>H180*[1]!FMainPool1Fee+I180*[1]!FMainPool2Fee+J180*[1]!FMainPool3Fee+K180*[1]!FMainPool4Fee+B180*[1]!FMainEntryFee</f>
        <v>0</v>
      </c>
      <c r="U180" s="100"/>
      <c r="V180" s="101"/>
      <c r="W180" s="102"/>
      <c r="X180" s="103">
        <v>1</v>
      </c>
      <c r="Y180" s="103"/>
      <c r="Z180" s="104" t="s">
        <v>751</v>
      </c>
    </row>
    <row r="181" spans="1:26" ht="15.75">
      <c r="A181" s="90">
        <f t="shared" si="6"/>
        <v>170</v>
      </c>
      <c r="B181" s="91"/>
      <c r="C181" s="92" t="s">
        <v>331</v>
      </c>
      <c r="D181" s="92" t="s">
        <v>332</v>
      </c>
      <c r="E181" s="93" t="s">
        <v>333</v>
      </c>
      <c r="F181" s="94"/>
      <c r="G181" s="112" t="s">
        <v>569</v>
      </c>
      <c r="H181" s="96"/>
      <c r="I181" s="91"/>
      <c r="J181" s="91"/>
      <c r="K181" s="91"/>
      <c r="L181" s="91"/>
      <c r="M181" s="91"/>
      <c r="N181" s="91"/>
      <c r="O181" s="97">
        <f>T181*N181</f>
        <v>0</v>
      </c>
      <c r="P181" s="91" t="s">
        <v>796</v>
      </c>
      <c r="Q181" s="91"/>
      <c r="R181" s="98">
        <f>IF(OR(P181="c",P181="C"),+T181,"")</f>
        <v>0</v>
      </c>
      <c r="S181" s="98" t="str">
        <f>IF(OR(P181="$",N181=1),+T181,"")</f>
        <v/>
      </c>
      <c r="T181" s="99">
        <f>H181*[1]!FMainPool1Fee+I181*[1]!FMainPool2Fee+J181*[1]!FMainPool3Fee+K181*[1]!FMainPool4Fee+B181*[1]!FMainEntryFee</f>
        <v>0</v>
      </c>
      <c r="U181" s="100"/>
      <c r="V181" s="101">
        <v>1</v>
      </c>
      <c r="W181" s="102"/>
      <c r="X181" s="103"/>
      <c r="Y181" s="103"/>
      <c r="Z181" s="104" t="s">
        <v>856</v>
      </c>
    </row>
    <row r="182" spans="1:26" ht="15.75">
      <c r="A182" s="90">
        <f t="shared" si="6"/>
        <v>171</v>
      </c>
      <c r="B182" s="91"/>
      <c r="C182" s="105" t="s">
        <v>680</v>
      </c>
      <c r="D182" s="105" t="s">
        <v>81</v>
      </c>
      <c r="E182" s="102" t="s">
        <v>681</v>
      </c>
      <c r="F182" s="109"/>
      <c r="G182" s="95" t="s">
        <v>682</v>
      </c>
      <c r="H182" s="96"/>
      <c r="I182" s="91"/>
      <c r="J182" s="91"/>
      <c r="K182" s="91"/>
      <c r="L182" s="91"/>
      <c r="M182" s="91"/>
      <c r="N182" s="91"/>
      <c r="O182" s="97">
        <f>T182*N182</f>
        <v>0</v>
      </c>
      <c r="P182" s="91" t="s">
        <v>796</v>
      </c>
      <c r="Q182" s="91"/>
      <c r="R182" s="98">
        <f>IF(OR(P182="c",P182="C"),+T182,"")</f>
        <v>0</v>
      </c>
      <c r="S182" s="98" t="str">
        <f>IF(OR(P182="$",N182=1),+T182,"")</f>
        <v/>
      </c>
      <c r="T182" s="99">
        <f>H182*[1]!FMainPool1Fee+I182*[1]!FMainPool2Fee+J182*[1]!FMainPool3Fee+K182*[1]!FMainPool4Fee+B182*[1]!FMainEntryFee</f>
        <v>0</v>
      </c>
      <c r="U182" s="100"/>
      <c r="V182" s="101"/>
      <c r="W182" s="102"/>
      <c r="X182" s="103"/>
      <c r="Y182" s="103"/>
      <c r="Z182" s="104"/>
    </row>
    <row r="183" spans="1:26" ht="15.75">
      <c r="A183" s="90">
        <f t="shared" si="6"/>
        <v>172</v>
      </c>
      <c r="B183" s="91"/>
      <c r="C183" s="92" t="s">
        <v>340</v>
      </c>
      <c r="D183" s="92" t="s">
        <v>255</v>
      </c>
      <c r="E183" s="93"/>
      <c r="F183" s="94"/>
      <c r="G183" s="112" t="s">
        <v>572</v>
      </c>
      <c r="H183" s="96"/>
      <c r="I183" s="91"/>
      <c r="J183" s="91"/>
      <c r="K183" s="91"/>
      <c r="L183" s="91"/>
      <c r="M183" s="91"/>
      <c r="N183" s="91"/>
      <c r="O183" s="97">
        <f>T183*N183</f>
        <v>0</v>
      </c>
      <c r="P183" s="91" t="s">
        <v>796</v>
      </c>
      <c r="Q183" s="91"/>
      <c r="R183" s="98">
        <f>IF(OR(P183="c",P183="C"),+T183,"")</f>
        <v>0</v>
      </c>
      <c r="S183" s="98" t="str">
        <f>IF(OR(P183="$",N183=1),+T183,"")</f>
        <v/>
      </c>
      <c r="T183" s="99">
        <f>H183*[1]!FMainPool1Fee+I183*[1]!FMainPool2Fee+J183*[1]!FMainPool3Fee+K183*[1]!FMainPool4Fee+B183*[1]!FMainEntryFee</f>
        <v>0</v>
      </c>
      <c r="U183" s="100"/>
      <c r="V183" s="101"/>
      <c r="W183" s="102"/>
      <c r="X183" s="103">
        <v>1</v>
      </c>
      <c r="Y183" s="103"/>
      <c r="Z183" s="104" t="s">
        <v>857</v>
      </c>
    </row>
    <row r="184" spans="1:26" ht="15.75">
      <c r="A184" s="90">
        <f t="shared" si="6"/>
        <v>173</v>
      </c>
      <c r="B184" s="91"/>
      <c r="C184" s="92" t="s">
        <v>736</v>
      </c>
      <c r="D184" s="92" t="s">
        <v>737</v>
      </c>
      <c r="E184" s="93" t="s">
        <v>738</v>
      </c>
      <c r="F184" s="94">
        <v>7752876408</v>
      </c>
      <c r="G184" s="95" t="s">
        <v>739</v>
      </c>
      <c r="H184" s="96"/>
      <c r="I184" s="91"/>
      <c r="J184" s="91"/>
      <c r="K184" s="91"/>
      <c r="L184" s="91"/>
      <c r="M184" s="91"/>
      <c r="N184" s="91"/>
      <c r="O184" s="97">
        <f>T184*N184</f>
        <v>0</v>
      </c>
      <c r="P184" s="91" t="s">
        <v>796</v>
      </c>
      <c r="Q184" s="91"/>
      <c r="R184" s="98">
        <f>IF(OR(P184="c",P184="C"),+T184,"")</f>
        <v>0</v>
      </c>
      <c r="S184" s="98" t="str">
        <f>IF(OR(P184="$",N184=1),+T184,"")</f>
        <v/>
      </c>
      <c r="T184" s="99">
        <f>H184*[1]!FMainPool1Fee+I184*[1]!FMainPool2Fee+J184*[1]!FMainPool3Fee+K184*[1]!FMainPool4Fee+B184*[1]!FMainEntryFee</f>
        <v>0</v>
      </c>
      <c r="U184" s="100"/>
      <c r="V184" s="101"/>
      <c r="W184" s="102"/>
      <c r="X184" s="103"/>
      <c r="Y184" s="103">
        <v>1</v>
      </c>
      <c r="Z184" s="104"/>
    </row>
    <row r="185" spans="1:26" ht="15.75">
      <c r="A185" s="90">
        <f t="shared" si="6"/>
        <v>174</v>
      </c>
      <c r="B185" s="91"/>
      <c r="C185" s="92" t="s">
        <v>341</v>
      </c>
      <c r="D185" s="92" t="s">
        <v>342</v>
      </c>
      <c r="E185" s="93" t="s">
        <v>343</v>
      </c>
      <c r="F185" s="94">
        <v>7073490481</v>
      </c>
      <c r="G185" s="95" t="s">
        <v>573</v>
      </c>
      <c r="H185" s="96"/>
      <c r="I185" s="91"/>
      <c r="J185" s="91"/>
      <c r="K185" s="91"/>
      <c r="L185" s="91"/>
      <c r="M185" s="91"/>
      <c r="N185" s="91"/>
      <c r="O185" s="97">
        <f>T185*N185</f>
        <v>0</v>
      </c>
      <c r="P185" s="91" t="s">
        <v>796</v>
      </c>
      <c r="Q185" s="91"/>
      <c r="R185" s="98">
        <f>IF(OR(P185="c",P185="C"),+T185,"")</f>
        <v>0</v>
      </c>
      <c r="S185" s="98" t="str">
        <f>IF(OR(P185="$",N185=1),+T185,"")</f>
        <v/>
      </c>
      <c r="T185" s="99">
        <f>H185*[1]!FMainPool1Fee+I185*[1]!FMainPool2Fee+J185*[1]!FMainPool3Fee+K185*[1]!FMainPool4Fee+B185*[1]!FMainEntryFee</f>
        <v>0</v>
      </c>
      <c r="U185" s="100"/>
      <c r="V185" s="101"/>
      <c r="W185" s="102"/>
      <c r="X185" s="103"/>
      <c r="Y185" s="103"/>
      <c r="Z185" s="104"/>
    </row>
    <row r="186" spans="1:26" ht="15.75">
      <c r="A186" s="90">
        <f t="shared" si="6"/>
        <v>175</v>
      </c>
      <c r="B186" s="91"/>
      <c r="C186" s="105" t="s">
        <v>683</v>
      </c>
      <c r="D186" s="105" t="s">
        <v>45</v>
      </c>
      <c r="E186" s="102" t="s">
        <v>684</v>
      </c>
      <c r="F186" s="109">
        <v>7752876408</v>
      </c>
      <c r="G186" s="105"/>
      <c r="H186" s="96"/>
      <c r="I186" s="91"/>
      <c r="J186" s="91"/>
      <c r="K186" s="91"/>
      <c r="L186" s="91"/>
      <c r="M186" s="91"/>
      <c r="N186" s="91"/>
      <c r="O186" s="97">
        <f>T186*N186</f>
        <v>0</v>
      </c>
      <c r="P186" s="91" t="s">
        <v>796</v>
      </c>
      <c r="Q186" s="91"/>
      <c r="R186" s="98">
        <f>IF(OR(P186="c",P186="C"),+T186,"")</f>
        <v>0</v>
      </c>
      <c r="S186" s="98" t="str">
        <f>IF(OR(P186="$",N186=1),+T186,"")</f>
        <v/>
      </c>
      <c r="T186" s="99">
        <f>H186*[1]!FMainPool1Fee+I186*[1]!FMainPool2Fee+J186*[1]!FMainPool3Fee+K186*[1]!FMainPool4Fee+B186*[1]!FMainEntryFee</f>
        <v>0</v>
      </c>
      <c r="U186" s="100"/>
      <c r="V186" s="101"/>
      <c r="W186" s="102"/>
      <c r="X186" s="103"/>
      <c r="Y186" s="103"/>
      <c r="Z186" s="104"/>
    </row>
    <row r="187" spans="1:26" ht="15.75">
      <c r="A187" s="90">
        <f t="shared" si="6"/>
        <v>176</v>
      </c>
      <c r="B187" s="91"/>
      <c r="C187" s="92" t="s">
        <v>344</v>
      </c>
      <c r="D187" s="92" t="s">
        <v>33</v>
      </c>
      <c r="E187" s="93" t="s">
        <v>345</v>
      </c>
      <c r="F187" s="94"/>
      <c r="G187" s="112" t="s">
        <v>574</v>
      </c>
      <c r="H187" s="96"/>
      <c r="I187" s="91"/>
      <c r="J187" s="91"/>
      <c r="K187" s="91"/>
      <c r="L187" s="91"/>
      <c r="M187" s="91"/>
      <c r="N187" s="91"/>
      <c r="O187" s="97">
        <f>T187*N187</f>
        <v>0</v>
      </c>
      <c r="P187" s="91" t="s">
        <v>796</v>
      </c>
      <c r="Q187" s="91"/>
      <c r="R187" s="98">
        <f>IF(OR(P187="c",P187="C"),+T187,"")</f>
        <v>0</v>
      </c>
      <c r="S187" s="98" t="str">
        <f>IF(OR(P187="$",N187=1),+T187,"")</f>
        <v/>
      </c>
      <c r="T187" s="99">
        <f>H187*[1]!FMainPool1Fee+I187*[1]!FMainPool2Fee+J187*[1]!FMainPool3Fee+K187*[1]!FMainPool4Fee+B187*[1]!FMainEntryFee</f>
        <v>0</v>
      </c>
      <c r="U187" s="100"/>
      <c r="V187" s="101"/>
      <c r="W187" s="102"/>
      <c r="X187" s="103"/>
      <c r="Y187" s="103"/>
      <c r="Z187" s="104"/>
    </row>
    <row r="188" spans="1:26" ht="15.75">
      <c r="A188" s="90">
        <f t="shared" si="6"/>
        <v>177</v>
      </c>
      <c r="B188" s="91"/>
      <c r="C188" s="92" t="s">
        <v>780</v>
      </c>
      <c r="D188" s="92" t="s">
        <v>45</v>
      </c>
      <c r="E188" s="93" t="s">
        <v>781</v>
      </c>
      <c r="F188" s="94" t="s">
        <v>782</v>
      </c>
      <c r="G188" s="112" t="s">
        <v>783</v>
      </c>
      <c r="H188" s="96"/>
      <c r="I188" s="91"/>
      <c r="J188" s="91"/>
      <c r="K188" s="91"/>
      <c r="L188" s="91"/>
      <c r="M188" s="91"/>
      <c r="N188" s="91"/>
      <c r="O188" s="97">
        <f>T188*N188</f>
        <v>0</v>
      </c>
      <c r="P188" s="91" t="s">
        <v>796</v>
      </c>
      <c r="Q188" s="91"/>
      <c r="R188" s="98">
        <f>IF(OR(P188="c",P188="C"),+T188,"")</f>
        <v>0</v>
      </c>
      <c r="S188" s="98" t="str">
        <f>IF(OR(P188="$",N188=1),+T188,"")</f>
        <v/>
      </c>
      <c r="T188" s="99">
        <f>H188*[1]!FMainPool1Fee+I188*[1]!FMainPool2Fee+J188*[1]!FMainPool3Fee+K188*[1]!FMainPool4Fee+B188*[1]!FMainEntryFee</f>
        <v>0</v>
      </c>
      <c r="U188" s="100"/>
      <c r="V188" s="101"/>
      <c r="W188" s="102"/>
      <c r="X188" s="103"/>
      <c r="Y188" s="103"/>
      <c r="Z188" s="104"/>
    </row>
    <row r="189" spans="1:26" ht="15.75">
      <c r="A189" s="90">
        <f t="shared" si="6"/>
        <v>178</v>
      </c>
      <c r="B189" s="91"/>
      <c r="C189" s="92" t="s">
        <v>346</v>
      </c>
      <c r="D189" s="92" t="s">
        <v>347</v>
      </c>
      <c r="E189" s="93" t="s">
        <v>348</v>
      </c>
      <c r="F189" s="94">
        <v>2093653232</v>
      </c>
      <c r="G189" s="95" t="s">
        <v>575</v>
      </c>
      <c r="H189" s="96"/>
      <c r="I189" s="91"/>
      <c r="J189" s="91"/>
      <c r="K189" s="91"/>
      <c r="L189" s="91"/>
      <c r="M189" s="91"/>
      <c r="N189" s="91"/>
      <c r="O189" s="97">
        <f>T189*N189</f>
        <v>0</v>
      </c>
      <c r="P189" s="91" t="s">
        <v>796</v>
      </c>
      <c r="Q189" s="91"/>
      <c r="R189" s="98">
        <f>IF(OR(P189="c",P189="C"),+T189,"")</f>
        <v>0</v>
      </c>
      <c r="S189" s="98" t="str">
        <f>IF(OR(P189="$",N189=1),+T189,"")</f>
        <v/>
      </c>
      <c r="T189" s="99">
        <f>H189*[1]!FMainPool1Fee+I189*[1]!FMainPool2Fee+J189*[1]!FMainPool3Fee+K189*[1]!FMainPool4Fee+B189*[1]!FMainEntryFee</f>
        <v>0</v>
      </c>
      <c r="U189" s="100"/>
      <c r="V189" s="101"/>
      <c r="W189" s="102"/>
      <c r="X189" s="103">
        <v>1</v>
      </c>
      <c r="Y189" s="103"/>
      <c r="Z189" s="104" t="s">
        <v>858</v>
      </c>
    </row>
    <row r="190" spans="1:26" ht="15.75">
      <c r="A190" s="90">
        <f t="shared" si="6"/>
        <v>179</v>
      </c>
      <c r="B190" s="91"/>
      <c r="C190" s="92" t="s">
        <v>740</v>
      </c>
      <c r="D190" s="92" t="s">
        <v>45</v>
      </c>
      <c r="E190" s="93"/>
      <c r="F190" s="109">
        <v>7074804517</v>
      </c>
      <c r="G190" s="95" t="s">
        <v>741</v>
      </c>
      <c r="H190" s="96"/>
      <c r="I190" s="91"/>
      <c r="J190" s="91"/>
      <c r="K190" s="91"/>
      <c r="L190" s="91"/>
      <c r="M190" s="91"/>
      <c r="N190" s="91"/>
      <c r="O190" s="97">
        <f>T190*N190</f>
        <v>0</v>
      </c>
      <c r="P190" s="91" t="s">
        <v>796</v>
      </c>
      <c r="Q190" s="91"/>
      <c r="R190" s="98">
        <f>IF(OR(P190="c",P190="C"),+T190,"")</f>
        <v>0</v>
      </c>
      <c r="S190" s="98" t="str">
        <f>IF(OR(P190="$",N190=1),+T190,"")</f>
        <v/>
      </c>
      <c r="T190" s="99">
        <f>H190*[1]!FMainPool1Fee+I190*[1]!FMainPool2Fee+J190*[1]!FMainPool3Fee+K190*[1]!FMainPool4Fee+B190*[1]!FMainEntryFee</f>
        <v>0</v>
      </c>
      <c r="U190" s="100"/>
      <c r="V190" s="101"/>
      <c r="W190" s="102"/>
      <c r="X190" s="103"/>
      <c r="Y190" s="103"/>
      <c r="Z190" s="104"/>
    </row>
    <row r="191" spans="1:26" ht="15.75">
      <c r="A191" s="90">
        <f t="shared" si="6"/>
        <v>180</v>
      </c>
      <c r="B191" s="91"/>
      <c r="C191" s="107" t="s">
        <v>354</v>
      </c>
      <c r="D191" s="107" t="s">
        <v>355</v>
      </c>
      <c r="E191" s="108" t="s">
        <v>356</v>
      </c>
      <c r="F191" s="113"/>
      <c r="G191" s="112" t="s">
        <v>579</v>
      </c>
      <c r="H191" s="96"/>
      <c r="I191" s="91"/>
      <c r="J191" s="91"/>
      <c r="K191" s="91"/>
      <c r="L191" s="91"/>
      <c r="M191" s="91"/>
      <c r="N191" s="91"/>
      <c r="O191" s="97">
        <f>T191*N191</f>
        <v>0</v>
      </c>
      <c r="P191" s="91" t="s">
        <v>796</v>
      </c>
      <c r="Q191" s="91"/>
      <c r="R191" s="98">
        <f>IF(OR(P191="c",P191="C"),+T191,"")</f>
        <v>0</v>
      </c>
      <c r="S191" s="98" t="str">
        <f>IF(OR(P191="$",N191=1),+T191,"")</f>
        <v/>
      </c>
      <c r="T191" s="99">
        <f>H191*[1]!FMainPool1Fee+I191*[1]!FMainPool2Fee+J191*[1]!FMainPool3Fee+K191*[1]!FMainPool4Fee+B191*[1]!FMainEntryFee</f>
        <v>0</v>
      </c>
      <c r="U191" s="100"/>
      <c r="V191" s="101"/>
      <c r="W191" s="102"/>
      <c r="X191" s="103"/>
      <c r="Y191" s="103"/>
      <c r="Z191" s="104" t="s">
        <v>859</v>
      </c>
    </row>
    <row r="192" spans="1:26" ht="15.75">
      <c r="A192" s="90">
        <f t="shared" si="6"/>
        <v>181</v>
      </c>
      <c r="B192" s="91"/>
      <c r="C192" s="92" t="s">
        <v>357</v>
      </c>
      <c r="D192" s="92" t="s">
        <v>358</v>
      </c>
      <c r="E192" s="93" t="s">
        <v>359</v>
      </c>
      <c r="F192" s="94"/>
      <c r="G192" s="112" t="s">
        <v>580</v>
      </c>
      <c r="H192" s="96"/>
      <c r="I192" s="91"/>
      <c r="J192" s="91"/>
      <c r="K192" s="91"/>
      <c r="L192" s="91"/>
      <c r="M192" s="91"/>
      <c r="N192" s="91"/>
      <c r="O192" s="97">
        <f>T192*N192</f>
        <v>0</v>
      </c>
      <c r="P192" s="91" t="s">
        <v>796</v>
      </c>
      <c r="Q192" s="91"/>
      <c r="R192" s="98">
        <f>IF(OR(P192="c",P192="C"),+T192,"")</f>
        <v>0</v>
      </c>
      <c r="S192" s="98" t="str">
        <f>IF(OR(P192="$",N192=1),+T192,"")</f>
        <v/>
      </c>
      <c r="T192" s="99">
        <f>H192*[1]!FMainPool1Fee+I192*[1]!FMainPool2Fee+J192*[1]!FMainPool3Fee+K192*[1]!FMainPool4Fee+B192*[1]!FMainEntryFee</f>
        <v>0</v>
      </c>
      <c r="U192" s="100"/>
      <c r="V192" s="101"/>
      <c r="W192" s="102"/>
      <c r="X192" s="103">
        <v>1</v>
      </c>
      <c r="Y192" s="103"/>
      <c r="Z192" s="104" t="s">
        <v>859</v>
      </c>
    </row>
    <row r="193" spans="1:26" ht="15.75">
      <c r="A193" s="90">
        <f t="shared" si="6"/>
        <v>182</v>
      </c>
      <c r="B193" s="91"/>
      <c r="C193" s="92" t="s">
        <v>360</v>
      </c>
      <c r="D193" s="92" t="s">
        <v>255</v>
      </c>
      <c r="E193" s="93"/>
      <c r="F193" s="94"/>
      <c r="G193" s="112" t="s">
        <v>581</v>
      </c>
      <c r="H193" s="96"/>
      <c r="I193" s="91"/>
      <c r="J193" s="91"/>
      <c r="K193" s="91"/>
      <c r="L193" s="91"/>
      <c r="M193" s="91"/>
      <c r="N193" s="91"/>
      <c r="O193" s="97">
        <f>T193*N193</f>
        <v>0</v>
      </c>
      <c r="P193" s="91" t="s">
        <v>796</v>
      </c>
      <c r="Q193" s="91"/>
      <c r="R193" s="98">
        <f>IF(OR(P193="c",P193="C"),+T193,"")</f>
        <v>0</v>
      </c>
      <c r="S193" s="98" t="str">
        <f>IF(OR(P193="$",N193=1),+T193,"")</f>
        <v/>
      </c>
      <c r="T193" s="99">
        <f>H193*[1]!FMainPool1Fee+I193*[1]!FMainPool2Fee+J193*[1]!FMainPool3Fee+K193*[1]!FMainPool4Fee+B193*[1]!FMainEntryFee</f>
        <v>0</v>
      </c>
      <c r="U193" s="100"/>
      <c r="V193" s="101"/>
      <c r="W193" s="102"/>
      <c r="X193" s="103">
        <v>1</v>
      </c>
      <c r="Y193" s="103"/>
      <c r="Z193" s="104"/>
    </row>
    <row r="194" spans="1:26" ht="15.75">
      <c r="A194" s="90">
        <f t="shared" si="6"/>
        <v>183</v>
      </c>
      <c r="B194" s="91"/>
      <c r="C194" s="105" t="s">
        <v>685</v>
      </c>
      <c r="D194" s="105" t="s">
        <v>199</v>
      </c>
      <c r="E194" s="102" t="s">
        <v>662</v>
      </c>
      <c r="F194" s="109"/>
      <c r="G194" s="95" t="s">
        <v>686</v>
      </c>
      <c r="H194" s="96"/>
      <c r="I194" s="91"/>
      <c r="J194" s="91"/>
      <c r="K194" s="91"/>
      <c r="L194" s="91"/>
      <c r="M194" s="91"/>
      <c r="N194" s="91"/>
      <c r="O194" s="97">
        <f>T194*N194</f>
        <v>0</v>
      </c>
      <c r="P194" s="91" t="s">
        <v>796</v>
      </c>
      <c r="Q194" s="91"/>
      <c r="R194" s="98">
        <f>IF(OR(P194="c",P194="C"),+T194,"")</f>
        <v>0</v>
      </c>
      <c r="S194" s="98" t="str">
        <f>IF(OR(P194="$",N194=1),+T194,"")</f>
        <v/>
      </c>
      <c r="T194" s="99">
        <f>H194*[1]!FMainPool1Fee+I194*[1]!FMainPool2Fee+J194*[1]!FMainPool3Fee+K194*[1]!FMainPool4Fee+B194*[1]!FMainEntryFee</f>
        <v>0</v>
      </c>
      <c r="U194" s="100"/>
      <c r="V194" s="101"/>
      <c r="W194" s="102"/>
      <c r="X194" s="103">
        <v>1</v>
      </c>
      <c r="Y194" s="103"/>
      <c r="Z194" s="104" t="s">
        <v>863</v>
      </c>
    </row>
    <row r="195" spans="1:26" ht="15.75">
      <c r="A195" s="90">
        <f t="shared" si="6"/>
        <v>184</v>
      </c>
      <c r="B195" s="91"/>
      <c r="C195" s="107" t="s">
        <v>365</v>
      </c>
      <c r="D195" s="107" t="s">
        <v>72</v>
      </c>
      <c r="E195" s="108" t="s">
        <v>366</v>
      </c>
      <c r="F195" s="113"/>
      <c r="G195" s="112" t="s">
        <v>584</v>
      </c>
      <c r="H195" s="96"/>
      <c r="I195" s="91"/>
      <c r="J195" s="91"/>
      <c r="K195" s="91"/>
      <c r="L195" s="91"/>
      <c r="M195" s="91"/>
      <c r="N195" s="91"/>
      <c r="O195" s="97">
        <f>T195*N195</f>
        <v>0</v>
      </c>
      <c r="P195" s="91" t="s">
        <v>796</v>
      </c>
      <c r="Q195" s="91"/>
      <c r="R195" s="98">
        <f>IF(OR(P195="c",P195="C"),+T195,"")</f>
        <v>0</v>
      </c>
      <c r="S195" s="98" t="str">
        <f>IF(OR(P195="$",N195=1),+T195,"")</f>
        <v/>
      </c>
      <c r="T195" s="99">
        <f>H195*[1]!FMainPool1Fee+I195*[1]!FMainPool2Fee+J195*[1]!FMainPool3Fee+K195*[1]!FMainPool4Fee+B195*[1]!FMainEntryFee</f>
        <v>0</v>
      </c>
      <c r="U195" s="100"/>
      <c r="V195" s="101"/>
      <c r="W195" s="102"/>
      <c r="X195" s="103"/>
      <c r="Y195" s="103"/>
      <c r="Z195" s="104"/>
    </row>
    <row r="196" spans="1:26" ht="15.75">
      <c r="A196" s="90">
        <f t="shared" si="6"/>
        <v>185</v>
      </c>
      <c r="B196" s="91"/>
      <c r="C196" s="107" t="s">
        <v>371</v>
      </c>
      <c r="D196" s="107" t="s">
        <v>372</v>
      </c>
      <c r="E196" s="108" t="s">
        <v>373</v>
      </c>
      <c r="F196" s="113"/>
      <c r="G196" s="112" t="s">
        <v>588</v>
      </c>
      <c r="H196" s="96"/>
      <c r="I196" s="91"/>
      <c r="J196" s="91"/>
      <c r="K196" s="91"/>
      <c r="L196" s="91"/>
      <c r="M196" s="91"/>
      <c r="N196" s="91"/>
      <c r="O196" s="97">
        <f>T196*N196</f>
        <v>0</v>
      </c>
      <c r="P196" s="91" t="s">
        <v>796</v>
      </c>
      <c r="Q196" s="91"/>
      <c r="R196" s="98">
        <f>IF(OR(P196="c",P196="C"),+T196,"")</f>
        <v>0</v>
      </c>
      <c r="S196" s="98" t="str">
        <f>IF(OR(P196="$",N196=1),+T196,"")</f>
        <v/>
      </c>
      <c r="T196" s="99">
        <f>H196*[1]!FMainPool1Fee+I196*[1]!FMainPool2Fee+J196*[1]!FMainPool3Fee+K196*[1]!FMainPool4Fee+B196*[1]!FMainEntryFee</f>
        <v>0</v>
      </c>
      <c r="U196" s="100"/>
      <c r="V196" s="101"/>
      <c r="W196" s="102"/>
      <c r="X196" s="103"/>
      <c r="Y196" s="103"/>
      <c r="Z196" s="104"/>
    </row>
    <row r="197" spans="1:26" ht="15.75">
      <c r="A197" s="90">
        <f t="shared" si="6"/>
        <v>186</v>
      </c>
      <c r="B197" s="91"/>
      <c r="C197" s="92" t="s">
        <v>374</v>
      </c>
      <c r="D197" s="92" t="s">
        <v>375</v>
      </c>
      <c r="E197" s="93" t="s">
        <v>376</v>
      </c>
      <c r="F197" s="94"/>
      <c r="G197" s="112" t="s">
        <v>589</v>
      </c>
      <c r="H197" s="96"/>
      <c r="I197" s="91"/>
      <c r="J197" s="91"/>
      <c r="K197" s="91"/>
      <c r="L197" s="91"/>
      <c r="M197" s="91"/>
      <c r="N197" s="91"/>
      <c r="O197" s="97">
        <f>T197*N197</f>
        <v>0</v>
      </c>
      <c r="P197" s="91" t="s">
        <v>796</v>
      </c>
      <c r="Q197" s="91"/>
      <c r="R197" s="98">
        <f>IF(OR(P197="c",P197="C"),+T197,"")</f>
        <v>0</v>
      </c>
      <c r="S197" s="98" t="str">
        <f>IF(OR(P197="$",N197=1),+T197,"")</f>
        <v/>
      </c>
      <c r="T197" s="99">
        <f>H197*[1]!FMainPool1Fee+I197*[1]!FMainPool2Fee+J197*[1]!FMainPool3Fee+K197*[1]!FMainPool4Fee+B197*[1]!FMainEntryFee</f>
        <v>0</v>
      </c>
      <c r="U197" s="100"/>
      <c r="V197" s="101"/>
      <c r="W197" s="102"/>
      <c r="X197" s="103"/>
      <c r="Y197" s="103"/>
      <c r="Z197" s="104"/>
    </row>
    <row r="198" spans="1:26" ht="15.75">
      <c r="A198" s="90">
        <f t="shared" ref="A198:A216" si="7">ROW() - ROW(FRegentiresEneteredHdr)</f>
        <v>187</v>
      </c>
      <c r="B198" s="91"/>
      <c r="C198" s="92" t="s">
        <v>379</v>
      </c>
      <c r="D198" s="92" t="s">
        <v>145</v>
      </c>
      <c r="E198" s="93" t="s">
        <v>380</v>
      </c>
      <c r="F198" s="94"/>
      <c r="G198" s="112" t="s">
        <v>591</v>
      </c>
      <c r="H198" s="96"/>
      <c r="I198" s="91"/>
      <c r="J198" s="91"/>
      <c r="K198" s="91"/>
      <c r="L198" s="91"/>
      <c r="M198" s="91"/>
      <c r="N198" s="91"/>
      <c r="O198" s="97">
        <f>T198*N198</f>
        <v>0</v>
      </c>
      <c r="P198" s="91" t="s">
        <v>796</v>
      </c>
      <c r="Q198" s="91"/>
      <c r="R198" s="98">
        <f>IF(OR(P198="c",P198="C"),+T198,"")</f>
        <v>0</v>
      </c>
      <c r="S198" s="98" t="str">
        <f>IF(OR(P198="$",N198=1),+T198,"")</f>
        <v/>
      </c>
      <c r="T198" s="99">
        <f>H198*[1]!FMainPool1Fee+I198*[1]!FMainPool2Fee+J198*[1]!FMainPool3Fee+K198*[1]!FMainPool4Fee+B198*[1]!FMainEntryFee</f>
        <v>0</v>
      </c>
      <c r="U198" s="100"/>
      <c r="V198" s="101"/>
      <c r="W198" s="102">
        <v>1</v>
      </c>
      <c r="X198" s="103"/>
      <c r="Y198" s="103"/>
      <c r="Z198" s="104"/>
    </row>
    <row r="199" spans="1:26" ht="15.75">
      <c r="A199" s="90">
        <f t="shared" si="7"/>
        <v>188</v>
      </c>
      <c r="B199" s="91"/>
      <c r="C199" s="92" t="s">
        <v>383</v>
      </c>
      <c r="D199" s="92" t="s">
        <v>185</v>
      </c>
      <c r="E199" s="93" t="s">
        <v>384</v>
      </c>
      <c r="F199" s="109" t="s">
        <v>593</v>
      </c>
      <c r="G199" s="105" t="s">
        <v>594</v>
      </c>
      <c r="H199" s="96"/>
      <c r="I199" s="91"/>
      <c r="J199" s="91"/>
      <c r="K199" s="91"/>
      <c r="L199" s="91"/>
      <c r="M199" s="91"/>
      <c r="N199" s="91"/>
      <c r="O199" s="97">
        <f>T199*N199</f>
        <v>0</v>
      </c>
      <c r="P199" s="91" t="s">
        <v>796</v>
      </c>
      <c r="Q199" s="91"/>
      <c r="R199" s="98">
        <f>IF(OR(P199="c",P199="C"),+T199,"")</f>
        <v>0</v>
      </c>
      <c r="S199" s="98" t="str">
        <f>IF(OR(P199="$",N199=1),+T199,"")</f>
        <v/>
      </c>
      <c r="T199" s="99">
        <f>H199*[1]!FMainPool1Fee+I199*[1]!FMainPool2Fee+J199*[1]!FMainPool3Fee+K199*[1]!FMainPool4Fee+B199*[1]!FMainEntryFee</f>
        <v>0</v>
      </c>
      <c r="U199" s="100"/>
      <c r="V199" s="101"/>
      <c r="W199" s="102"/>
      <c r="X199" s="103"/>
      <c r="Y199" s="103"/>
      <c r="Z199" s="104"/>
    </row>
    <row r="200" spans="1:26" ht="15.75">
      <c r="A200" s="90">
        <f t="shared" si="7"/>
        <v>189</v>
      </c>
      <c r="B200" s="91"/>
      <c r="C200" s="92" t="s">
        <v>385</v>
      </c>
      <c r="D200" s="92" t="s">
        <v>84</v>
      </c>
      <c r="E200" s="93" t="s">
        <v>386</v>
      </c>
      <c r="F200" s="94"/>
      <c r="G200" s="112"/>
      <c r="H200" s="96"/>
      <c r="I200" s="91"/>
      <c r="J200" s="91"/>
      <c r="K200" s="91"/>
      <c r="L200" s="91"/>
      <c r="M200" s="91"/>
      <c r="N200" s="91"/>
      <c r="O200" s="97">
        <f>T200*N200</f>
        <v>0</v>
      </c>
      <c r="P200" s="91" t="s">
        <v>796</v>
      </c>
      <c r="Q200" s="91"/>
      <c r="R200" s="98">
        <f>IF(OR(P200="c",P200="C"),+T200,"")</f>
        <v>0</v>
      </c>
      <c r="S200" s="98" t="str">
        <f>IF(OR(P200="$",N200=1),+T200,"")</f>
        <v/>
      </c>
      <c r="T200" s="99">
        <f>H200*[1]!FMainPool1Fee+I200*[1]!FMainPool2Fee+J200*[1]!FMainPool3Fee+K200*[1]!FMainPool4Fee+B200*[1]!FMainEntryFee</f>
        <v>0</v>
      </c>
      <c r="U200" s="100"/>
      <c r="V200" s="101"/>
      <c r="W200" s="102"/>
      <c r="X200" s="103"/>
      <c r="Y200" s="103"/>
      <c r="Z200" s="104"/>
    </row>
    <row r="201" spans="1:26" ht="15.75">
      <c r="A201" s="90">
        <f t="shared" si="7"/>
        <v>190</v>
      </c>
      <c r="B201" s="91"/>
      <c r="C201" s="92" t="s">
        <v>387</v>
      </c>
      <c r="D201" s="92" t="s">
        <v>388</v>
      </c>
      <c r="E201" s="93" t="s">
        <v>389</v>
      </c>
      <c r="F201" s="94"/>
      <c r="G201" s="112"/>
      <c r="H201" s="96"/>
      <c r="I201" s="91"/>
      <c r="J201" s="91"/>
      <c r="K201" s="91"/>
      <c r="L201" s="91"/>
      <c r="M201" s="91"/>
      <c r="N201" s="91"/>
      <c r="O201" s="97">
        <f>T201*N201</f>
        <v>0</v>
      </c>
      <c r="P201" s="91" t="s">
        <v>796</v>
      </c>
      <c r="Q201" s="91"/>
      <c r="R201" s="98">
        <f>IF(OR(P201="c",P201="C"),+T201,"")</f>
        <v>0</v>
      </c>
      <c r="S201" s="98" t="str">
        <f>IF(OR(P201="$",N201=1),+T201,"")</f>
        <v/>
      </c>
      <c r="T201" s="99">
        <f>H201*[1]!FMainPool1Fee+I201*[1]!FMainPool2Fee+J201*[1]!FMainPool3Fee+K201*[1]!FMainPool4Fee+B201*[1]!FMainEntryFee</f>
        <v>0</v>
      </c>
      <c r="U201" s="100"/>
      <c r="V201" s="101"/>
      <c r="W201" s="102"/>
      <c r="X201" s="103"/>
      <c r="Y201" s="103"/>
      <c r="Z201" s="104"/>
    </row>
    <row r="202" spans="1:26" ht="15.75">
      <c r="A202" s="90">
        <f t="shared" si="7"/>
        <v>191</v>
      </c>
      <c r="B202" s="91"/>
      <c r="C202" s="92" t="s">
        <v>390</v>
      </c>
      <c r="D202" s="92" t="s">
        <v>208</v>
      </c>
      <c r="E202" s="93" t="s">
        <v>391</v>
      </c>
      <c r="F202" s="94"/>
      <c r="G202" s="112" t="s">
        <v>595</v>
      </c>
      <c r="H202" s="96"/>
      <c r="I202" s="91"/>
      <c r="J202" s="91"/>
      <c r="K202" s="91"/>
      <c r="L202" s="91"/>
      <c r="M202" s="91"/>
      <c r="N202" s="91"/>
      <c r="O202" s="97">
        <f>T202*N202</f>
        <v>0</v>
      </c>
      <c r="P202" s="91" t="s">
        <v>796</v>
      </c>
      <c r="Q202" s="91"/>
      <c r="R202" s="98">
        <f>IF(OR(P202="c",P202="C"),+T202,"")</f>
        <v>0</v>
      </c>
      <c r="S202" s="98" t="str">
        <f>IF(OR(P202="$",N202=1),+T202,"")</f>
        <v/>
      </c>
      <c r="T202" s="99">
        <f>H202*[1]!FMainPool1Fee+I202*[1]!FMainPool2Fee+J202*[1]!FMainPool3Fee+K202*[1]!FMainPool4Fee+B202*[1]!FMainEntryFee</f>
        <v>0</v>
      </c>
      <c r="U202" s="100"/>
      <c r="V202" s="101"/>
      <c r="W202" s="102"/>
      <c r="X202" s="103"/>
      <c r="Y202" s="103"/>
      <c r="Z202" s="104"/>
    </row>
    <row r="203" spans="1:26" ht="15.75">
      <c r="A203" s="90">
        <f t="shared" si="7"/>
        <v>192</v>
      </c>
      <c r="B203" s="91"/>
      <c r="C203" s="92" t="s">
        <v>392</v>
      </c>
      <c r="D203" s="92" t="s">
        <v>342</v>
      </c>
      <c r="E203" s="93" t="s">
        <v>393</v>
      </c>
      <c r="F203" s="94">
        <v>7075087889</v>
      </c>
      <c r="G203" s="116" t="s">
        <v>784</v>
      </c>
      <c r="H203" s="96"/>
      <c r="I203" s="91"/>
      <c r="J203" s="91"/>
      <c r="K203" s="91"/>
      <c r="L203" s="91"/>
      <c r="M203" s="91"/>
      <c r="N203" s="91"/>
      <c r="O203" s="97">
        <f>T203*N203</f>
        <v>0</v>
      </c>
      <c r="P203" s="91" t="s">
        <v>796</v>
      </c>
      <c r="Q203" s="91"/>
      <c r="R203" s="98">
        <f>IF(OR(P203="c",P203="C"),+T203,"")</f>
        <v>0</v>
      </c>
      <c r="S203" s="98" t="str">
        <f>IF(OR(P203="$",N203=1),+T203,"")</f>
        <v/>
      </c>
      <c r="T203" s="99">
        <f>H203*[1]!FMainPool1Fee+I203*[1]!FMainPool2Fee+J203*[1]!FMainPool3Fee+K203*[1]!FMainPool4Fee+B203*[1]!FMainEntryFee</f>
        <v>0</v>
      </c>
      <c r="U203" s="100"/>
      <c r="V203" s="101"/>
      <c r="W203" s="102"/>
      <c r="X203" s="103"/>
      <c r="Y203" s="103"/>
      <c r="Z203" s="104"/>
    </row>
    <row r="204" spans="1:26" ht="15.75">
      <c r="A204" s="90">
        <f t="shared" si="7"/>
        <v>193</v>
      </c>
      <c r="B204" s="91"/>
      <c r="C204" s="92" t="s">
        <v>394</v>
      </c>
      <c r="D204" s="92" t="s">
        <v>50</v>
      </c>
      <c r="E204" s="93" t="s">
        <v>395</v>
      </c>
      <c r="F204" s="94"/>
      <c r="G204" s="112" t="s">
        <v>596</v>
      </c>
      <c r="H204" s="96"/>
      <c r="I204" s="91"/>
      <c r="J204" s="91"/>
      <c r="K204" s="91"/>
      <c r="L204" s="91"/>
      <c r="M204" s="91"/>
      <c r="N204" s="91"/>
      <c r="O204" s="97">
        <f>T204*N204</f>
        <v>0</v>
      </c>
      <c r="P204" s="91" t="s">
        <v>796</v>
      </c>
      <c r="Q204" s="91"/>
      <c r="R204" s="98">
        <f>IF(OR(P204="c",P204="C"),+T204,"")</f>
        <v>0</v>
      </c>
      <c r="S204" s="98" t="str">
        <f>IF(OR(P204="$",N204=1),+T204,"")</f>
        <v/>
      </c>
      <c r="T204" s="99">
        <f>H204*[1]!FMainPool1Fee+I204*[1]!FMainPool2Fee+J204*[1]!FMainPool3Fee+K204*[1]!FMainPool4Fee+B204*[1]!FMainEntryFee</f>
        <v>0</v>
      </c>
      <c r="U204" s="100"/>
      <c r="V204" s="101"/>
      <c r="W204" s="102"/>
      <c r="X204" s="103"/>
      <c r="Y204" s="103"/>
      <c r="Z204" s="104"/>
    </row>
    <row r="205" spans="1:26" ht="15.75">
      <c r="A205" s="90">
        <f t="shared" si="7"/>
        <v>194</v>
      </c>
      <c r="B205" s="91"/>
      <c r="C205" s="92" t="s">
        <v>396</v>
      </c>
      <c r="D205" s="92" t="s">
        <v>72</v>
      </c>
      <c r="E205" s="93" t="s">
        <v>397</v>
      </c>
      <c r="F205" s="94">
        <v>7075290228</v>
      </c>
      <c r="G205" s="95" t="s">
        <v>597</v>
      </c>
      <c r="H205" s="96"/>
      <c r="I205" s="91"/>
      <c r="J205" s="91"/>
      <c r="K205" s="91"/>
      <c r="L205" s="91"/>
      <c r="M205" s="91"/>
      <c r="N205" s="91"/>
      <c r="O205" s="97">
        <f>T205*N205</f>
        <v>0</v>
      </c>
      <c r="P205" s="91" t="s">
        <v>796</v>
      </c>
      <c r="Q205" s="91"/>
      <c r="R205" s="98">
        <f>IF(OR(P205="c",P205="C"),+T205,"")</f>
        <v>0</v>
      </c>
      <c r="S205" s="98" t="str">
        <f>IF(OR(P205="$",N205=1),+T205,"")</f>
        <v/>
      </c>
      <c r="T205" s="99">
        <f>H205*[1]!FMainPool1Fee+I205*[1]!FMainPool2Fee+J205*[1]!FMainPool3Fee+K205*[1]!FMainPool4Fee+B205*[1]!FMainEntryFee</f>
        <v>0</v>
      </c>
      <c r="U205" s="100"/>
      <c r="V205" s="101"/>
      <c r="W205" s="102"/>
      <c r="X205" s="103"/>
      <c r="Y205" s="103"/>
      <c r="Z205" s="104"/>
    </row>
    <row r="206" spans="1:26" ht="15.75">
      <c r="A206" s="90">
        <f t="shared" si="7"/>
        <v>195</v>
      </c>
      <c r="B206" s="91"/>
      <c r="C206" s="107" t="s">
        <v>398</v>
      </c>
      <c r="D206" s="107" t="s">
        <v>185</v>
      </c>
      <c r="E206" s="108" t="s">
        <v>399</v>
      </c>
      <c r="F206" s="113"/>
      <c r="G206" s="112"/>
      <c r="H206" s="96"/>
      <c r="I206" s="91"/>
      <c r="J206" s="91"/>
      <c r="K206" s="91"/>
      <c r="L206" s="91"/>
      <c r="M206" s="91"/>
      <c r="N206" s="91"/>
      <c r="O206" s="97">
        <f>T206*N206</f>
        <v>0</v>
      </c>
      <c r="P206" s="91" t="s">
        <v>796</v>
      </c>
      <c r="Q206" s="91"/>
      <c r="R206" s="98">
        <f>IF(OR(P206="c",P206="C"),+T206,"")</f>
        <v>0</v>
      </c>
      <c r="S206" s="98" t="str">
        <f>IF(OR(P206="$",N206=1),+T206,"")</f>
        <v/>
      </c>
      <c r="T206" s="99">
        <f>H206*[1]!FMainPool1Fee+I206*[1]!FMainPool2Fee+J206*[1]!FMainPool3Fee+K206*[1]!FMainPool4Fee+B206*[1]!FMainEntryFee</f>
        <v>0</v>
      </c>
      <c r="U206" s="100"/>
      <c r="V206" s="101"/>
      <c r="W206" s="102"/>
      <c r="X206" s="103"/>
      <c r="Y206" s="103"/>
      <c r="Z206" s="104"/>
    </row>
    <row r="207" spans="1:26" ht="15.75">
      <c r="A207" s="90">
        <f t="shared" si="7"/>
        <v>196</v>
      </c>
      <c r="B207" s="91"/>
      <c r="C207" s="107" t="s">
        <v>742</v>
      </c>
      <c r="D207" s="107" t="s">
        <v>409</v>
      </c>
      <c r="E207" s="108" t="s">
        <v>743</v>
      </c>
      <c r="F207" s="113"/>
      <c r="G207" s="112"/>
      <c r="H207" s="96"/>
      <c r="I207" s="91"/>
      <c r="J207" s="91"/>
      <c r="K207" s="91"/>
      <c r="L207" s="91"/>
      <c r="M207" s="91"/>
      <c r="N207" s="91"/>
      <c r="O207" s="97">
        <f>T207*N207</f>
        <v>0</v>
      </c>
      <c r="P207" s="91" t="s">
        <v>796</v>
      </c>
      <c r="Q207" s="91"/>
      <c r="R207" s="98">
        <f>IF(OR(P207="c",P207="C"),+T207,"")</f>
        <v>0</v>
      </c>
      <c r="S207" s="98" t="str">
        <f>IF(OR(P207="$",N207=1),+T207,"")</f>
        <v/>
      </c>
      <c r="T207" s="99">
        <f>H207*[1]!FMainPool1Fee+I207*[1]!FMainPool2Fee+J207*[1]!FMainPool3Fee+K207*[1]!FMainPool4Fee+B207*[1]!FMainEntryFee</f>
        <v>0</v>
      </c>
      <c r="U207" s="100"/>
      <c r="V207" s="101"/>
      <c r="W207" s="102"/>
      <c r="X207" s="103"/>
      <c r="Y207" s="103"/>
      <c r="Z207" s="104"/>
    </row>
    <row r="208" spans="1:26" ht="15.75">
      <c r="A208" s="90">
        <f t="shared" si="7"/>
        <v>197</v>
      </c>
      <c r="B208" s="91"/>
      <c r="C208" s="92" t="s">
        <v>400</v>
      </c>
      <c r="D208" s="92" t="s">
        <v>194</v>
      </c>
      <c r="E208" s="93" t="s">
        <v>401</v>
      </c>
      <c r="F208" s="94"/>
      <c r="G208" s="112" t="s">
        <v>598</v>
      </c>
      <c r="H208" s="96"/>
      <c r="I208" s="91"/>
      <c r="J208" s="91"/>
      <c r="K208" s="91"/>
      <c r="L208" s="91"/>
      <c r="M208" s="91"/>
      <c r="N208" s="91"/>
      <c r="O208" s="97">
        <f>T208*N208</f>
        <v>0</v>
      </c>
      <c r="P208" s="91" t="s">
        <v>796</v>
      </c>
      <c r="Q208" s="91"/>
      <c r="R208" s="98">
        <f>IF(OR(P208="c",P208="C"),+T208,"")</f>
        <v>0</v>
      </c>
      <c r="S208" s="98" t="str">
        <f>IF(OR(P208="$",N208=1),+T208,"")</f>
        <v/>
      </c>
      <c r="T208" s="99">
        <f>H208*[1]!FMainPool1Fee+I208*[1]!FMainPool2Fee+J208*[1]!FMainPool3Fee+K208*[1]!FMainPool4Fee+B208*[1]!FMainEntryFee</f>
        <v>0</v>
      </c>
      <c r="U208" s="100"/>
      <c r="V208" s="101"/>
      <c r="W208" s="102"/>
      <c r="X208" s="103"/>
      <c r="Y208" s="103"/>
      <c r="Z208" s="104"/>
    </row>
    <row r="209" spans="1:26" ht="15.75">
      <c r="A209" s="90">
        <f t="shared" si="7"/>
        <v>198</v>
      </c>
      <c r="B209" s="91"/>
      <c r="C209" s="92" t="s">
        <v>402</v>
      </c>
      <c r="D209" s="92" t="s">
        <v>329</v>
      </c>
      <c r="E209" s="93" t="s">
        <v>403</v>
      </c>
      <c r="F209" s="94"/>
      <c r="G209" s="112" t="s">
        <v>599</v>
      </c>
      <c r="H209" s="96"/>
      <c r="I209" s="91"/>
      <c r="J209" s="91"/>
      <c r="K209" s="91"/>
      <c r="L209" s="91"/>
      <c r="M209" s="91"/>
      <c r="N209" s="91"/>
      <c r="O209" s="97">
        <f>T209*N209</f>
        <v>0</v>
      </c>
      <c r="P209" s="91" t="s">
        <v>796</v>
      </c>
      <c r="Q209" s="91"/>
      <c r="R209" s="98">
        <f>IF(OR(P209="c",P209="C"),+T209,"")</f>
        <v>0</v>
      </c>
      <c r="S209" s="98" t="str">
        <f>IF(OR(P209="$",N209=1),+T209,"")</f>
        <v/>
      </c>
      <c r="T209" s="99">
        <f>H209*[1]!FMainPool1Fee+I209*[1]!FMainPool2Fee+J209*[1]!FMainPool3Fee+K209*[1]!FMainPool4Fee+B209*[1]!FMainEntryFee</f>
        <v>0</v>
      </c>
      <c r="U209" s="100"/>
      <c r="V209" s="101"/>
      <c r="W209" s="102"/>
      <c r="X209" s="103"/>
      <c r="Y209" s="103"/>
      <c r="Z209" s="104"/>
    </row>
    <row r="210" spans="1:26" ht="15.75">
      <c r="A210" s="90">
        <f t="shared" si="7"/>
        <v>199</v>
      </c>
      <c r="B210" s="91"/>
      <c r="C210" s="92" t="s">
        <v>785</v>
      </c>
      <c r="D210" s="92" t="s">
        <v>786</v>
      </c>
      <c r="E210" s="93" t="s">
        <v>787</v>
      </c>
      <c r="F210" s="94">
        <v>4178488838</v>
      </c>
      <c r="G210" s="116" t="s">
        <v>788</v>
      </c>
      <c r="H210" s="96"/>
      <c r="I210" s="91"/>
      <c r="J210" s="91"/>
      <c r="K210" s="91"/>
      <c r="L210" s="91"/>
      <c r="M210" s="91"/>
      <c r="N210" s="91"/>
      <c r="O210" s="97">
        <f>T210*N210</f>
        <v>0</v>
      </c>
      <c r="P210" s="91" t="s">
        <v>796</v>
      </c>
      <c r="Q210" s="91"/>
      <c r="R210" s="98">
        <f>IF(OR(P210="c",P210="C"),+T210,"")</f>
        <v>0</v>
      </c>
      <c r="S210" s="98" t="str">
        <f>IF(OR(P210="$",N210=1),+T210,"")</f>
        <v/>
      </c>
      <c r="T210" s="99">
        <f>H210*[1]!FMainPool1Fee+I210*[1]!FMainPool2Fee+J210*[1]!FMainPool3Fee+K210*[1]!FMainPool4Fee+B210*[1]!FMainEntryFee</f>
        <v>0</v>
      </c>
      <c r="U210" s="100"/>
      <c r="V210" s="101"/>
      <c r="W210" s="102"/>
      <c r="X210" s="103"/>
      <c r="Y210" s="103"/>
      <c r="Z210" s="104"/>
    </row>
    <row r="211" spans="1:26" ht="15.75">
      <c r="A211" s="90">
        <f t="shared" si="7"/>
        <v>200</v>
      </c>
      <c r="B211" s="91"/>
      <c r="C211" s="92" t="s">
        <v>406</v>
      </c>
      <c r="D211" s="92" t="s">
        <v>45</v>
      </c>
      <c r="E211" s="93" t="s">
        <v>407</v>
      </c>
      <c r="F211" s="94">
        <v>7078150886</v>
      </c>
      <c r="G211" s="95" t="s">
        <v>600</v>
      </c>
      <c r="H211" s="96"/>
      <c r="I211" s="91"/>
      <c r="J211" s="91"/>
      <c r="K211" s="91"/>
      <c r="L211" s="91"/>
      <c r="M211" s="91"/>
      <c r="N211" s="91"/>
      <c r="O211" s="97">
        <f>T211*N211</f>
        <v>0</v>
      </c>
      <c r="P211" s="91" t="s">
        <v>796</v>
      </c>
      <c r="Q211" s="91"/>
      <c r="R211" s="98">
        <f>IF(OR(P211="c",P211="C"),+T211,"")</f>
        <v>0</v>
      </c>
      <c r="S211" s="98" t="str">
        <f>IF(OR(P211="$",N211=1),+T211,"")</f>
        <v/>
      </c>
      <c r="T211" s="99">
        <f>H211*[1]!FMainPool1Fee+I211*[1]!FMainPool2Fee+J211*[1]!FMainPool3Fee+K211*[1]!FMainPool4Fee+B211*[1]!FMainEntryFee</f>
        <v>0</v>
      </c>
      <c r="U211" s="100"/>
      <c r="V211" s="101"/>
      <c r="W211" s="102"/>
      <c r="X211" s="103"/>
      <c r="Y211" s="103"/>
      <c r="Z211" s="104"/>
    </row>
    <row r="212" spans="1:26" ht="15.75">
      <c r="A212" s="90">
        <f t="shared" si="7"/>
        <v>201</v>
      </c>
      <c r="B212" s="91"/>
      <c r="C212" s="92" t="s">
        <v>408</v>
      </c>
      <c r="D212" s="92" t="s">
        <v>409</v>
      </c>
      <c r="E212" s="93" t="s">
        <v>410</v>
      </c>
      <c r="F212" s="94">
        <v>5106764872</v>
      </c>
      <c r="G212" s="95" t="s">
        <v>601</v>
      </c>
      <c r="H212" s="96"/>
      <c r="I212" s="91"/>
      <c r="J212" s="91"/>
      <c r="K212" s="91"/>
      <c r="L212" s="91"/>
      <c r="M212" s="91"/>
      <c r="N212" s="91"/>
      <c r="O212" s="97">
        <f>T212*N212</f>
        <v>0</v>
      </c>
      <c r="P212" s="91" t="s">
        <v>796</v>
      </c>
      <c r="Q212" s="91"/>
      <c r="R212" s="98">
        <f>IF(OR(P212="c",P212="C"),+T212,"")</f>
        <v>0</v>
      </c>
      <c r="S212" s="98" t="str">
        <f>IF(OR(P212="$",N212=1),+T212,"")</f>
        <v/>
      </c>
      <c r="T212" s="99">
        <f>H212*[1]!FMainPool1Fee+I212*[1]!FMainPool2Fee+J212*[1]!FMainPool3Fee+K212*[1]!FMainPool4Fee+B212*[1]!FMainEntryFee</f>
        <v>0</v>
      </c>
      <c r="U212" s="100"/>
      <c r="V212" s="101"/>
      <c r="W212" s="102"/>
      <c r="X212" s="103"/>
      <c r="Y212" s="103"/>
      <c r="Z212" s="104"/>
    </row>
    <row r="213" spans="1:26" ht="15.75">
      <c r="A213" s="90">
        <f t="shared" si="7"/>
        <v>202</v>
      </c>
      <c r="B213" s="91"/>
      <c r="C213" s="92" t="s">
        <v>411</v>
      </c>
      <c r="D213" s="92" t="s">
        <v>412</v>
      </c>
      <c r="E213" s="93" t="s">
        <v>413</v>
      </c>
      <c r="F213" s="94"/>
      <c r="G213" s="112"/>
      <c r="H213" s="96"/>
      <c r="I213" s="91"/>
      <c r="J213" s="91"/>
      <c r="K213" s="91"/>
      <c r="L213" s="91"/>
      <c r="M213" s="91"/>
      <c r="N213" s="91"/>
      <c r="O213" s="97">
        <f>T213*N213</f>
        <v>0</v>
      </c>
      <c r="P213" s="91" t="s">
        <v>796</v>
      </c>
      <c r="Q213" s="91"/>
      <c r="R213" s="98">
        <f>IF(OR(P213="c",P213="C"),+T213,"")</f>
        <v>0</v>
      </c>
      <c r="S213" s="98" t="str">
        <f>IF(OR(P213="$",N213=1),+T213,"")</f>
        <v/>
      </c>
      <c r="T213" s="99">
        <f>H213*[1]!FMainPool1Fee+I213*[1]!FMainPool2Fee+J213*[1]!FMainPool3Fee+K213*[1]!FMainPool4Fee+B213*[1]!FMainEntryFee</f>
        <v>0</v>
      </c>
      <c r="U213" s="100"/>
      <c r="V213" s="101"/>
      <c r="W213" s="102"/>
      <c r="X213" s="103"/>
      <c r="Y213" s="103"/>
      <c r="Z213" s="104"/>
    </row>
    <row r="214" spans="1:26" ht="15.75">
      <c r="A214" s="90">
        <f t="shared" si="7"/>
        <v>203</v>
      </c>
      <c r="B214" s="91"/>
      <c r="C214" s="92" t="s">
        <v>414</v>
      </c>
      <c r="D214" s="92" t="s">
        <v>412</v>
      </c>
      <c r="E214" s="93" t="s">
        <v>415</v>
      </c>
      <c r="F214" s="109" t="s">
        <v>602</v>
      </c>
      <c r="G214" s="112" t="s">
        <v>603</v>
      </c>
      <c r="H214" s="96"/>
      <c r="I214" s="91"/>
      <c r="J214" s="91"/>
      <c r="K214" s="91"/>
      <c r="L214" s="91"/>
      <c r="M214" s="91"/>
      <c r="N214" s="91"/>
      <c r="O214" s="97">
        <f>T214*N214</f>
        <v>0</v>
      </c>
      <c r="P214" s="91" t="s">
        <v>796</v>
      </c>
      <c r="Q214" s="91"/>
      <c r="R214" s="98">
        <f>IF(OR(P214="c",P214="C"),+T214,"")</f>
        <v>0</v>
      </c>
      <c r="S214" s="98" t="str">
        <f>IF(OR(P214="$",N214=1),+T214,"")</f>
        <v/>
      </c>
      <c r="T214" s="99">
        <f>H214*[1]!FMainPool1Fee+I214*[1]!FMainPool2Fee+J214*[1]!FMainPool3Fee+K214*[1]!FMainPool4Fee+B214*[1]!FMainEntryFee</f>
        <v>0</v>
      </c>
      <c r="U214" s="100"/>
      <c r="V214" s="101"/>
      <c r="W214" s="102"/>
      <c r="X214" s="103"/>
      <c r="Y214" s="103"/>
      <c r="Z214" s="104"/>
    </row>
    <row r="215" spans="1:26" ht="15.75">
      <c r="A215" s="90">
        <f t="shared" si="7"/>
        <v>204</v>
      </c>
      <c r="B215" s="91"/>
      <c r="C215" s="105" t="s">
        <v>687</v>
      </c>
      <c r="D215" s="105" t="s">
        <v>688</v>
      </c>
      <c r="E215" s="102" t="s">
        <v>689</v>
      </c>
      <c r="F215" s="109"/>
      <c r="G215" s="105"/>
      <c r="H215" s="96"/>
      <c r="I215" s="91"/>
      <c r="J215" s="91"/>
      <c r="K215" s="91"/>
      <c r="L215" s="91"/>
      <c r="M215" s="91"/>
      <c r="N215" s="91"/>
      <c r="O215" s="97">
        <f>T215*N215</f>
        <v>0</v>
      </c>
      <c r="P215" s="91" t="s">
        <v>796</v>
      </c>
      <c r="Q215" s="91"/>
      <c r="R215" s="98">
        <f>IF(OR(P215="c",P215="C"),+T215,"")</f>
        <v>0</v>
      </c>
      <c r="S215" s="98" t="str">
        <f>IF(OR(P215="$",N215=1),+T215,"")</f>
        <v/>
      </c>
      <c r="T215" s="99">
        <f>H215*[1]!FMainPool1Fee+I215*[1]!FMainPool2Fee+J215*[1]!FMainPool3Fee+K215*[1]!FMainPool4Fee+B215*[1]!FMainEntryFee</f>
        <v>0</v>
      </c>
      <c r="U215" s="100"/>
      <c r="V215" s="101"/>
      <c r="W215" s="102"/>
      <c r="X215" s="103"/>
      <c r="Y215" s="103"/>
      <c r="Z215" s="104"/>
    </row>
    <row r="216" spans="1:26" ht="15.75">
      <c r="A216" s="90">
        <f t="shared" si="7"/>
        <v>205</v>
      </c>
      <c r="B216" s="91"/>
      <c r="C216" s="105" t="s">
        <v>690</v>
      </c>
      <c r="D216" s="105" t="s">
        <v>159</v>
      </c>
      <c r="E216" s="102" t="s">
        <v>691</v>
      </c>
      <c r="F216" s="109">
        <v>5103661378</v>
      </c>
      <c r="G216" s="95" t="s">
        <v>692</v>
      </c>
      <c r="H216" s="96"/>
      <c r="I216" s="91"/>
      <c r="J216" s="91"/>
      <c r="K216" s="91"/>
      <c r="L216" s="91"/>
      <c r="M216" s="91"/>
      <c r="N216" s="91"/>
      <c r="O216" s="97">
        <f>T216*N216</f>
        <v>0</v>
      </c>
      <c r="P216" s="91" t="s">
        <v>796</v>
      </c>
      <c r="Q216" s="91"/>
      <c r="R216" s="98">
        <f>IF(OR(P216="c",P216="C"),+T216,"")</f>
        <v>0</v>
      </c>
      <c r="S216" s="98" t="str">
        <f>IF(OR(P216="$",N216=1),+T216,"")</f>
        <v/>
      </c>
      <c r="T216" s="99">
        <f>H216*[1]!FMainPool1Fee+I216*[1]!FMainPool2Fee+J216*[1]!FMainPool3Fee+K216*[1]!FMainPool4Fee+B216*[1]!FMainEntryFee</f>
        <v>0</v>
      </c>
      <c r="U216" s="100"/>
      <c r="V216" s="101"/>
      <c r="W216" s="102"/>
      <c r="X216" s="103"/>
      <c r="Y216" s="103"/>
      <c r="Z216" s="104" t="s">
        <v>864</v>
      </c>
    </row>
    <row r="217" spans="1:26">
      <c r="A217" s="34">
        <f t="shared" ref="A217:A267" si="8">ROW() - ROW(FRegEntriesEnteredHdr)</f>
        <v>206</v>
      </c>
      <c r="B217" s="35"/>
      <c r="C217" s="15"/>
      <c r="D217" s="15"/>
      <c r="E217" s="10"/>
      <c r="F217" s="10"/>
      <c r="G217" s="15"/>
      <c r="H217" s="37"/>
      <c r="I217" s="35"/>
      <c r="J217" s="35"/>
      <c r="K217" s="35"/>
      <c r="L217" s="35"/>
      <c r="M217" s="35"/>
      <c r="N217" s="35"/>
      <c r="O217" s="81">
        <f t="shared" ref="O217:O220" si="9">T217*N217</f>
        <v>0</v>
      </c>
      <c r="P217" s="35"/>
      <c r="Q217" s="35"/>
      <c r="R217" s="82" t="str">
        <f t="shared" ref="R217:R220" si="10">IF(OR(P217="c",P217="C"),+T217,"")</f>
        <v/>
      </c>
      <c r="S217" s="82" t="str">
        <f t="shared" ref="S217:S220" si="11">IF(OR(P217="$",N217=1),+T217,"")</f>
        <v/>
      </c>
      <c r="T217" s="83">
        <f>H217*[2]!FMainPool1Fee+I217*[2]!FMainPool2Fee+J217*[2]!FMainPool3Fee+K217*[2]!FMainPool4Fee+B217*[2]!FMainEntryFee</f>
        <v>0</v>
      </c>
      <c r="U217" s="39"/>
      <c r="V217" s="89"/>
    </row>
    <row r="218" spans="1:26">
      <c r="A218" s="34">
        <f t="shared" si="8"/>
        <v>207</v>
      </c>
      <c r="B218" s="35"/>
      <c r="C218" s="15"/>
      <c r="D218" s="15"/>
      <c r="E218" s="10"/>
      <c r="F218" s="10"/>
      <c r="G218" s="15"/>
      <c r="H218" s="37"/>
      <c r="I218" s="35"/>
      <c r="J218" s="35"/>
      <c r="K218" s="35"/>
      <c r="L218" s="35"/>
      <c r="M218" s="35"/>
      <c r="N218" s="35"/>
      <c r="O218" s="81">
        <f t="shared" si="9"/>
        <v>0</v>
      </c>
      <c r="P218" s="35"/>
      <c r="Q218" s="35"/>
      <c r="R218" s="82" t="str">
        <f t="shared" si="10"/>
        <v/>
      </c>
      <c r="S218" s="82" t="str">
        <f t="shared" si="11"/>
        <v/>
      </c>
      <c r="T218" s="83">
        <f>H218*[2]!FMainPool1Fee+I218*[2]!FMainPool2Fee+J218*[2]!FMainPool3Fee+K218*[2]!FMainPool4Fee+B218*[2]!FMainEntryFee</f>
        <v>0</v>
      </c>
      <c r="U218" s="39"/>
      <c r="V218" s="89"/>
    </row>
    <row r="219" spans="1:26">
      <c r="A219" s="34">
        <f t="shared" si="8"/>
        <v>208</v>
      </c>
      <c r="B219" s="35"/>
      <c r="C219" s="15"/>
      <c r="D219" s="15"/>
      <c r="E219" s="10"/>
      <c r="F219" s="10"/>
      <c r="G219" s="15"/>
      <c r="H219" s="37"/>
      <c r="I219" s="35"/>
      <c r="J219" s="35"/>
      <c r="K219" s="35"/>
      <c r="L219" s="35"/>
      <c r="M219" s="35"/>
      <c r="N219" s="35"/>
      <c r="O219" s="81">
        <f t="shared" si="9"/>
        <v>0</v>
      </c>
      <c r="P219" s="35"/>
      <c r="Q219" s="35"/>
      <c r="R219" s="82" t="str">
        <f t="shared" si="10"/>
        <v/>
      </c>
      <c r="S219" s="82" t="str">
        <f t="shared" si="11"/>
        <v/>
      </c>
      <c r="T219" s="83">
        <f>H219*[2]!FMainPool1Fee+I219*[2]!FMainPool2Fee+J219*[2]!FMainPool3Fee+K219*[2]!FMainPool4Fee+B219*[2]!FMainEntryFee</f>
        <v>0</v>
      </c>
      <c r="U219" s="39"/>
      <c r="V219" s="89"/>
    </row>
    <row r="220" spans="1:26">
      <c r="A220" s="34">
        <f t="shared" si="8"/>
        <v>209</v>
      </c>
      <c r="B220" s="35"/>
      <c r="C220" s="15"/>
      <c r="D220" s="15"/>
      <c r="E220" s="10"/>
      <c r="F220" s="10"/>
      <c r="G220" s="15"/>
      <c r="H220" s="37"/>
      <c r="I220" s="35"/>
      <c r="J220" s="35"/>
      <c r="K220" s="35"/>
      <c r="L220" s="35"/>
      <c r="M220" s="35"/>
      <c r="N220" s="35"/>
      <c r="O220" s="81">
        <f t="shared" si="9"/>
        <v>0</v>
      </c>
      <c r="P220" s="35"/>
      <c r="Q220" s="35"/>
      <c r="R220" s="82" t="str">
        <f t="shared" si="10"/>
        <v/>
      </c>
      <c r="S220" s="82" t="str">
        <f t="shared" si="11"/>
        <v/>
      </c>
      <c r="T220" s="83">
        <f>H220*[2]!FMainPool1Fee+I220*[2]!FMainPool2Fee+J220*[2]!FMainPool3Fee+K220*[2]!FMainPool4Fee+B220*[2]!FMainEntryFee</f>
        <v>0</v>
      </c>
      <c r="U220" s="39"/>
      <c r="V220" s="89"/>
    </row>
    <row r="221" spans="1:26">
      <c r="A221" s="34">
        <f t="shared" si="8"/>
        <v>210</v>
      </c>
      <c r="B221" s="35"/>
      <c r="C221" s="15"/>
      <c r="D221" s="15"/>
      <c r="E221" s="15"/>
      <c r="F221" s="15"/>
      <c r="G221" s="15"/>
      <c r="H221" s="37"/>
      <c r="I221" s="35"/>
      <c r="J221" s="35"/>
      <c r="K221" s="35"/>
      <c r="L221" s="35"/>
      <c r="M221" s="35"/>
      <c r="N221" s="35"/>
      <c r="O221" s="81">
        <f t="shared" ref="O221:O267" si="12">T221*N221</f>
        <v>0</v>
      </c>
      <c r="P221" s="38"/>
      <c r="Q221" s="38"/>
      <c r="R221" s="82" t="str">
        <f t="shared" ref="R221:R267" si="13">IF(OR(P221="c",P221="C"),+T221,"")</f>
        <v/>
      </c>
      <c r="S221" s="82" t="str">
        <f t="shared" ref="S221:S267" si="14">IF(OR(P221="$",N221=1),+T221,"")</f>
        <v/>
      </c>
      <c r="T221" s="83">
        <f t="shared" ref="T221:T267" si="15">B221*FRegMainSetUpEntryFee + H221*FRegMainSetUpPool1Fee + I221*FRegMainSetUpPool2Fee + J221*FRegMainSetUpPool3Fee + K221*FRegMainSetUpPool4Fee</f>
        <v>0</v>
      </c>
      <c r="U221" s="39"/>
    </row>
    <row r="222" spans="1:26">
      <c r="A222" s="34">
        <f t="shared" si="8"/>
        <v>211</v>
      </c>
      <c r="B222" s="35"/>
      <c r="C222" s="15"/>
      <c r="D222" s="15"/>
      <c r="E222" s="15"/>
      <c r="F222" s="15"/>
      <c r="G222" s="15"/>
      <c r="H222" s="37"/>
      <c r="I222" s="35"/>
      <c r="J222" s="35"/>
      <c r="K222" s="35"/>
      <c r="L222" s="35"/>
      <c r="M222" s="35"/>
      <c r="N222" s="35"/>
      <c r="O222" s="81">
        <f t="shared" si="12"/>
        <v>0</v>
      </c>
      <c r="P222" s="38"/>
      <c r="Q222" s="38"/>
      <c r="R222" s="82" t="str">
        <f t="shared" si="13"/>
        <v/>
      </c>
      <c r="S222" s="82" t="str">
        <f t="shared" si="14"/>
        <v/>
      </c>
      <c r="T222" s="83">
        <f t="shared" si="15"/>
        <v>0</v>
      </c>
      <c r="U222" s="39"/>
    </row>
    <row r="223" spans="1:26">
      <c r="A223" s="34">
        <f t="shared" si="8"/>
        <v>212</v>
      </c>
      <c r="B223" s="35"/>
      <c r="C223" s="15"/>
      <c r="D223" s="15"/>
      <c r="E223" s="15"/>
      <c r="F223" s="15"/>
      <c r="G223" s="15"/>
      <c r="H223" s="37"/>
      <c r="I223" s="35"/>
      <c r="J223" s="35"/>
      <c r="K223" s="35"/>
      <c r="L223" s="35"/>
      <c r="M223" s="35"/>
      <c r="N223" s="35"/>
      <c r="O223" s="81">
        <f t="shared" si="12"/>
        <v>0</v>
      </c>
      <c r="P223" s="38"/>
      <c r="Q223" s="38"/>
      <c r="R223" s="82" t="str">
        <f t="shared" si="13"/>
        <v/>
      </c>
      <c r="S223" s="82" t="str">
        <f t="shared" si="14"/>
        <v/>
      </c>
      <c r="T223" s="83">
        <f t="shared" si="15"/>
        <v>0</v>
      </c>
      <c r="U223" s="39"/>
    </row>
    <row r="224" spans="1:26">
      <c r="A224" s="34">
        <f t="shared" si="8"/>
        <v>213</v>
      </c>
      <c r="B224" s="35"/>
      <c r="C224" s="15"/>
      <c r="D224" s="15"/>
      <c r="E224" s="15"/>
      <c r="F224" s="15"/>
      <c r="G224" s="15"/>
      <c r="H224" s="37"/>
      <c r="I224" s="35"/>
      <c r="J224" s="35"/>
      <c r="K224" s="35"/>
      <c r="L224" s="35"/>
      <c r="M224" s="35"/>
      <c r="N224" s="35"/>
      <c r="O224" s="81">
        <f t="shared" si="12"/>
        <v>0</v>
      </c>
      <c r="P224" s="38"/>
      <c r="Q224" s="38"/>
      <c r="R224" s="82" t="str">
        <f t="shared" si="13"/>
        <v/>
      </c>
      <c r="S224" s="82" t="str">
        <f t="shared" si="14"/>
        <v/>
      </c>
      <c r="T224" s="83">
        <f t="shared" si="15"/>
        <v>0</v>
      </c>
      <c r="U224" s="39"/>
    </row>
    <row r="225" spans="1:21">
      <c r="A225" s="34">
        <f t="shared" si="8"/>
        <v>214</v>
      </c>
      <c r="B225" s="35"/>
      <c r="C225" s="15"/>
      <c r="D225" s="15"/>
      <c r="E225" s="15"/>
      <c r="F225" s="15"/>
      <c r="G225" s="15"/>
      <c r="H225" s="37"/>
      <c r="I225" s="35"/>
      <c r="J225" s="35"/>
      <c r="K225" s="35"/>
      <c r="L225" s="35"/>
      <c r="M225" s="35"/>
      <c r="N225" s="35"/>
      <c r="O225" s="81">
        <f t="shared" si="12"/>
        <v>0</v>
      </c>
      <c r="P225" s="38"/>
      <c r="Q225" s="38"/>
      <c r="R225" s="82" t="str">
        <f t="shared" si="13"/>
        <v/>
      </c>
      <c r="S225" s="82" t="str">
        <f t="shared" si="14"/>
        <v/>
      </c>
      <c r="T225" s="83">
        <f t="shared" si="15"/>
        <v>0</v>
      </c>
      <c r="U225" s="39"/>
    </row>
    <row r="226" spans="1:21">
      <c r="A226" s="34">
        <f t="shared" si="8"/>
        <v>215</v>
      </c>
      <c r="B226" s="35"/>
      <c r="C226" s="15"/>
      <c r="D226" s="15"/>
      <c r="E226" s="15"/>
      <c r="F226" s="15"/>
      <c r="G226" s="15"/>
      <c r="H226" s="37"/>
      <c r="I226" s="35"/>
      <c r="J226" s="35"/>
      <c r="K226" s="35"/>
      <c r="L226" s="35"/>
      <c r="M226" s="35"/>
      <c r="N226" s="35"/>
      <c r="O226" s="81">
        <f t="shared" si="12"/>
        <v>0</v>
      </c>
      <c r="P226" s="38"/>
      <c r="Q226" s="38"/>
      <c r="R226" s="82" t="str">
        <f t="shared" si="13"/>
        <v/>
      </c>
      <c r="S226" s="82" t="str">
        <f t="shared" si="14"/>
        <v/>
      </c>
      <c r="T226" s="83">
        <f t="shared" si="15"/>
        <v>0</v>
      </c>
      <c r="U226" s="39"/>
    </row>
    <row r="227" spans="1:21">
      <c r="A227" s="34">
        <f t="shared" si="8"/>
        <v>216</v>
      </c>
      <c r="B227" s="35"/>
      <c r="C227" s="15"/>
      <c r="D227" s="15"/>
      <c r="E227" s="15"/>
      <c r="F227" s="15"/>
      <c r="G227" s="15"/>
      <c r="H227" s="37"/>
      <c r="I227" s="35"/>
      <c r="J227" s="35"/>
      <c r="K227" s="35"/>
      <c r="L227" s="35"/>
      <c r="M227" s="35"/>
      <c r="N227" s="35"/>
      <c r="O227" s="81">
        <f t="shared" si="12"/>
        <v>0</v>
      </c>
      <c r="P227" s="38"/>
      <c r="Q227" s="38"/>
      <c r="R227" s="82" t="str">
        <f t="shared" si="13"/>
        <v/>
      </c>
      <c r="S227" s="82" t="str">
        <f t="shared" si="14"/>
        <v/>
      </c>
      <c r="T227" s="83">
        <f t="shared" si="15"/>
        <v>0</v>
      </c>
      <c r="U227" s="39"/>
    </row>
    <row r="228" spans="1:21">
      <c r="A228" s="34">
        <f t="shared" si="8"/>
        <v>217</v>
      </c>
      <c r="B228" s="35"/>
      <c r="C228" s="15"/>
      <c r="D228" s="15"/>
      <c r="E228" s="15"/>
      <c r="F228" s="15"/>
      <c r="G228" s="15"/>
      <c r="H228" s="37"/>
      <c r="I228" s="35"/>
      <c r="J228" s="35"/>
      <c r="K228" s="35"/>
      <c r="L228" s="35"/>
      <c r="M228" s="35"/>
      <c r="N228" s="35"/>
      <c r="O228" s="81">
        <f t="shared" si="12"/>
        <v>0</v>
      </c>
      <c r="P228" s="38"/>
      <c r="Q228" s="38"/>
      <c r="R228" s="82" t="str">
        <f t="shared" si="13"/>
        <v/>
      </c>
      <c r="S228" s="82" t="str">
        <f t="shared" si="14"/>
        <v/>
      </c>
      <c r="T228" s="83">
        <f t="shared" si="15"/>
        <v>0</v>
      </c>
      <c r="U228" s="39"/>
    </row>
    <row r="229" spans="1:21">
      <c r="A229" s="34">
        <f t="shared" si="8"/>
        <v>218</v>
      </c>
      <c r="B229" s="35"/>
      <c r="C229" s="15"/>
      <c r="D229" s="15"/>
      <c r="E229" s="15"/>
      <c r="F229" s="15"/>
      <c r="G229" s="15"/>
      <c r="H229" s="37"/>
      <c r="I229" s="35"/>
      <c r="J229" s="35"/>
      <c r="K229" s="35"/>
      <c r="L229" s="35"/>
      <c r="M229" s="35"/>
      <c r="N229" s="35"/>
      <c r="O229" s="81">
        <f t="shared" si="12"/>
        <v>0</v>
      </c>
      <c r="P229" s="38"/>
      <c r="Q229" s="38"/>
      <c r="R229" s="82" t="str">
        <f t="shared" si="13"/>
        <v/>
      </c>
      <c r="S229" s="82" t="str">
        <f t="shared" si="14"/>
        <v/>
      </c>
      <c r="T229" s="83">
        <f t="shared" si="15"/>
        <v>0</v>
      </c>
      <c r="U229" s="39"/>
    </row>
    <row r="230" spans="1:21">
      <c r="A230" s="34">
        <f t="shared" si="8"/>
        <v>219</v>
      </c>
      <c r="B230" s="35"/>
      <c r="C230" s="15"/>
      <c r="D230" s="15"/>
      <c r="E230" s="15"/>
      <c r="F230" s="15"/>
      <c r="G230" s="15"/>
      <c r="H230" s="37"/>
      <c r="I230" s="35"/>
      <c r="J230" s="35"/>
      <c r="K230" s="35"/>
      <c r="L230" s="35"/>
      <c r="M230" s="35"/>
      <c r="N230" s="35"/>
      <c r="O230" s="81">
        <f t="shared" si="12"/>
        <v>0</v>
      </c>
      <c r="P230" s="38"/>
      <c r="Q230" s="38"/>
      <c r="R230" s="82" t="str">
        <f t="shared" si="13"/>
        <v/>
      </c>
      <c r="S230" s="82" t="str">
        <f t="shared" si="14"/>
        <v/>
      </c>
      <c r="T230" s="83">
        <f t="shared" si="15"/>
        <v>0</v>
      </c>
      <c r="U230" s="39"/>
    </row>
    <row r="231" spans="1:21">
      <c r="A231" s="34">
        <f t="shared" si="8"/>
        <v>220</v>
      </c>
      <c r="B231" s="35"/>
      <c r="C231" s="15"/>
      <c r="D231" s="15"/>
      <c r="E231" s="15"/>
      <c r="F231" s="15"/>
      <c r="G231" s="15"/>
      <c r="H231" s="37"/>
      <c r="I231" s="35"/>
      <c r="J231" s="35"/>
      <c r="K231" s="35"/>
      <c r="L231" s="35"/>
      <c r="M231" s="35"/>
      <c r="N231" s="35"/>
      <c r="O231" s="81">
        <f t="shared" si="12"/>
        <v>0</v>
      </c>
      <c r="P231" s="38"/>
      <c r="Q231" s="38"/>
      <c r="R231" s="82" t="str">
        <f t="shared" si="13"/>
        <v/>
      </c>
      <c r="S231" s="82" t="str">
        <f t="shared" si="14"/>
        <v/>
      </c>
      <c r="T231" s="83">
        <f t="shared" si="15"/>
        <v>0</v>
      </c>
      <c r="U231" s="39"/>
    </row>
    <row r="232" spans="1:21">
      <c r="A232" s="34">
        <f t="shared" si="8"/>
        <v>221</v>
      </c>
      <c r="B232" s="35"/>
      <c r="C232" s="15"/>
      <c r="D232" s="15"/>
      <c r="E232" s="15"/>
      <c r="F232" s="15"/>
      <c r="G232" s="15"/>
      <c r="H232" s="37"/>
      <c r="I232" s="35"/>
      <c r="J232" s="35"/>
      <c r="K232" s="35"/>
      <c r="L232" s="35"/>
      <c r="M232" s="35"/>
      <c r="N232" s="35"/>
      <c r="O232" s="81">
        <f t="shared" si="12"/>
        <v>0</v>
      </c>
      <c r="P232" s="38"/>
      <c r="Q232" s="38"/>
      <c r="R232" s="82" t="str">
        <f t="shared" si="13"/>
        <v/>
      </c>
      <c r="S232" s="82" t="str">
        <f t="shared" si="14"/>
        <v/>
      </c>
      <c r="T232" s="83">
        <f t="shared" si="15"/>
        <v>0</v>
      </c>
      <c r="U232" s="39"/>
    </row>
    <row r="233" spans="1:21">
      <c r="A233" s="34">
        <f t="shared" si="8"/>
        <v>222</v>
      </c>
      <c r="B233" s="35"/>
      <c r="C233" s="15"/>
      <c r="D233" s="15"/>
      <c r="E233" s="15"/>
      <c r="F233" s="15"/>
      <c r="G233" s="15"/>
      <c r="H233" s="37"/>
      <c r="I233" s="35"/>
      <c r="J233" s="35"/>
      <c r="K233" s="35"/>
      <c r="L233" s="35"/>
      <c r="M233" s="35"/>
      <c r="N233" s="35"/>
      <c r="O233" s="81">
        <f t="shared" si="12"/>
        <v>0</v>
      </c>
      <c r="P233" s="38"/>
      <c r="Q233" s="38"/>
      <c r="R233" s="82" t="str">
        <f t="shared" si="13"/>
        <v/>
      </c>
      <c r="S233" s="82" t="str">
        <f t="shared" si="14"/>
        <v/>
      </c>
      <c r="T233" s="83">
        <f t="shared" si="15"/>
        <v>0</v>
      </c>
      <c r="U233" s="39"/>
    </row>
    <row r="234" spans="1:21">
      <c r="A234" s="34">
        <f t="shared" si="8"/>
        <v>223</v>
      </c>
      <c r="B234" s="35"/>
      <c r="C234" s="15"/>
      <c r="D234" s="15"/>
      <c r="E234" s="15"/>
      <c r="F234" s="15"/>
      <c r="G234" s="15"/>
      <c r="H234" s="37"/>
      <c r="I234" s="35"/>
      <c r="J234" s="35"/>
      <c r="K234" s="35"/>
      <c r="L234" s="35"/>
      <c r="M234" s="35"/>
      <c r="N234" s="35"/>
      <c r="O234" s="81">
        <f t="shared" si="12"/>
        <v>0</v>
      </c>
      <c r="P234" s="38"/>
      <c r="Q234" s="38"/>
      <c r="R234" s="82" t="str">
        <f t="shared" si="13"/>
        <v/>
      </c>
      <c r="S234" s="82" t="str">
        <f t="shared" si="14"/>
        <v/>
      </c>
      <c r="T234" s="83">
        <f t="shared" si="15"/>
        <v>0</v>
      </c>
      <c r="U234" s="39"/>
    </row>
    <row r="235" spans="1:21">
      <c r="A235" s="34">
        <f t="shared" si="8"/>
        <v>224</v>
      </c>
      <c r="B235" s="35"/>
      <c r="C235" s="15"/>
      <c r="D235" s="15"/>
      <c r="E235" s="15"/>
      <c r="F235" s="15"/>
      <c r="G235" s="15"/>
      <c r="H235" s="37"/>
      <c r="I235" s="35"/>
      <c r="J235" s="35"/>
      <c r="K235" s="35"/>
      <c r="L235" s="35"/>
      <c r="M235" s="35"/>
      <c r="N235" s="35"/>
      <c r="O235" s="81">
        <f t="shared" si="12"/>
        <v>0</v>
      </c>
      <c r="P235" s="38"/>
      <c r="Q235" s="38"/>
      <c r="R235" s="82" t="str">
        <f t="shared" si="13"/>
        <v/>
      </c>
      <c r="S235" s="82" t="str">
        <f t="shared" si="14"/>
        <v/>
      </c>
      <c r="T235" s="83">
        <f t="shared" si="15"/>
        <v>0</v>
      </c>
      <c r="U235" s="39"/>
    </row>
    <row r="236" spans="1:21">
      <c r="A236" s="34">
        <f t="shared" si="8"/>
        <v>225</v>
      </c>
      <c r="B236" s="35"/>
      <c r="C236" s="15"/>
      <c r="D236" s="15"/>
      <c r="E236" s="15"/>
      <c r="F236" s="15"/>
      <c r="G236" s="15"/>
      <c r="H236" s="37"/>
      <c r="I236" s="35"/>
      <c r="J236" s="35"/>
      <c r="K236" s="35"/>
      <c r="L236" s="35"/>
      <c r="M236" s="35"/>
      <c r="N236" s="35"/>
      <c r="O236" s="81">
        <f t="shared" si="12"/>
        <v>0</v>
      </c>
      <c r="P236" s="38"/>
      <c r="Q236" s="38"/>
      <c r="R236" s="82" t="str">
        <f t="shared" si="13"/>
        <v/>
      </c>
      <c r="S236" s="82" t="str">
        <f t="shared" si="14"/>
        <v/>
      </c>
      <c r="T236" s="83">
        <f t="shared" si="15"/>
        <v>0</v>
      </c>
      <c r="U236" s="39"/>
    </row>
    <row r="237" spans="1:21">
      <c r="A237" s="34">
        <f t="shared" si="8"/>
        <v>226</v>
      </c>
      <c r="B237" s="35"/>
      <c r="C237" s="15"/>
      <c r="D237" s="15"/>
      <c r="E237" s="15"/>
      <c r="F237" s="15"/>
      <c r="G237" s="15"/>
      <c r="H237" s="37"/>
      <c r="I237" s="35"/>
      <c r="J237" s="35"/>
      <c r="K237" s="35"/>
      <c r="L237" s="35"/>
      <c r="M237" s="35"/>
      <c r="N237" s="35"/>
      <c r="O237" s="81">
        <f t="shared" si="12"/>
        <v>0</v>
      </c>
      <c r="P237" s="38"/>
      <c r="Q237" s="38"/>
      <c r="R237" s="82" t="str">
        <f t="shared" si="13"/>
        <v/>
      </c>
      <c r="S237" s="82" t="str">
        <f t="shared" si="14"/>
        <v/>
      </c>
      <c r="T237" s="83">
        <f t="shared" si="15"/>
        <v>0</v>
      </c>
      <c r="U237" s="39"/>
    </row>
    <row r="238" spans="1:21">
      <c r="A238" s="34">
        <f t="shared" si="8"/>
        <v>227</v>
      </c>
      <c r="B238" s="35"/>
      <c r="C238" s="15"/>
      <c r="D238" s="15"/>
      <c r="E238" s="15"/>
      <c r="F238" s="15"/>
      <c r="G238" s="15"/>
      <c r="H238" s="37"/>
      <c r="I238" s="35"/>
      <c r="J238" s="35"/>
      <c r="K238" s="35"/>
      <c r="L238" s="35"/>
      <c r="M238" s="35"/>
      <c r="N238" s="35"/>
      <c r="O238" s="81">
        <f t="shared" si="12"/>
        <v>0</v>
      </c>
      <c r="P238" s="38"/>
      <c r="Q238" s="38"/>
      <c r="R238" s="82" t="str">
        <f t="shared" si="13"/>
        <v/>
      </c>
      <c r="S238" s="82" t="str">
        <f t="shared" si="14"/>
        <v/>
      </c>
      <c r="T238" s="83">
        <f t="shared" si="15"/>
        <v>0</v>
      </c>
      <c r="U238" s="39"/>
    </row>
    <row r="239" spans="1:21">
      <c r="A239" s="34">
        <f t="shared" si="8"/>
        <v>228</v>
      </c>
      <c r="B239" s="35"/>
      <c r="C239" s="15"/>
      <c r="D239" s="15"/>
      <c r="E239" s="15"/>
      <c r="F239" s="15"/>
      <c r="G239" s="15"/>
      <c r="H239" s="37"/>
      <c r="I239" s="35"/>
      <c r="J239" s="35"/>
      <c r="K239" s="35"/>
      <c r="L239" s="35"/>
      <c r="M239" s="35"/>
      <c r="N239" s="35"/>
      <c r="O239" s="81">
        <f t="shared" si="12"/>
        <v>0</v>
      </c>
      <c r="P239" s="38"/>
      <c r="Q239" s="38"/>
      <c r="R239" s="82" t="str">
        <f t="shared" si="13"/>
        <v/>
      </c>
      <c r="S239" s="82" t="str">
        <f t="shared" si="14"/>
        <v/>
      </c>
      <c r="T239" s="83">
        <f t="shared" si="15"/>
        <v>0</v>
      </c>
      <c r="U239" s="39"/>
    </row>
    <row r="240" spans="1:21">
      <c r="A240" s="34">
        <f t="shared" si="8"/>
        <v>229</v>
      </c>
      <c r="B240" s="35"/>
      <c r="C240" s="15"/>
      <c r="D240" s="15"/>
      <c r="E240" s="15"/>
      <c r="F240" s="15"/>
      <c r="G240" s="15"/>
      <c r="H240" s="37"/>
      <c r="I240" s="35"/>
      <c r="J240" s="35"/>
      <c r="K240" s="35"/>
      <c r="L240" s="35"/>
      <c r="M240" s="35"/>
      <c r="N240" s="35"/>
      <c r="O240" s="81">
        <f t="shared" si="12"/>
        <v>0</v>
      </c>
      <c r="P240" s="38"/>
      <c r="Q240" s="38"/>
      <c r="R240" s="82" t="str">
        <f t="shared" si="13"/>
        <v/>
      </c>
      <c r="S240" s="82" t="str">
        <f t="shared" si="14"/>
        <v/>
      </c>
      <c r="T240" s="83">
        <f t="shared" si="15"/>
        <v>0</v>
      </c>
      <c r="U240" s="39"/>
    </row>
    <row r="241" spans="1:21">
      <c r="A241" s="34">
        <f t="shared" si="8"/>
        <v>230</v>
      </c>
      <c r="B241" s="35"/>
      <c r="C241" s="15"/>
      <c r="D241" s="15"/>
      <c r="E241" s="15"/>
      <c r="F241" s="15"/>
      <c r="G241" s="15"/>
      <c r="H241" s="37"/>
      <c r="I241" s="35"/>
      <c r="J241" s="35"/>
      <c r="K241" s="35"/>
      <c r="L241" s="35"/>
      <c r="M241" s="35"/>
      <c r="N241" s="35"/>
      <c r="O241" s="81">
        <f t="shared" si="12"/>
        <v>0</v>
      </c>
      <c r="P241" s="38"/>
      <c r="Q241" s="38"/>
      <c r="R241" s="82" t="str">
        <f t="shared" si="13"/>
        <v/>
      </c>
      <c r="S241" s="82" t="str">
        <f t="shared" si="14"/>
        <v/>
      </c>
      <c r="T241" s="83">
        <f t="shared" si="15"/>
        <v>0</v>
      </c>
      <c r="U241" s="39"/>
    </row>
    <row r="242" spans="1:21">
      <c r="A242" s="34">
        <f t="shared" si="8"/>
        <v>231</v>
      </c>
      <c r="B242" s="35"/>
      <c r="C242" s="15"/>
      <c r="D242" s="15"/>
      <c r="E242" s="15"/>
      <c r="F242" s="15"/>
      <c r="G242" s="15"/>
      <c r="H242" s="37"/>
      <c r="I242" s="35"/>
      <c r="J242" s="35"/>
      <c r="K242" s="35"/>
      <c r="L242" s="35"/>
      <c r="M242" s="35"/>
      <c r="N242" s="35"/>
      <c r="O242" s="81">
        <f t="shared" si="12"/>
        <v>0</v>
      </c>
      <c r="P242" s="38"/>
      <c r="Q242" s="38"/>
      <c r="R242" s="82" t="str">
        <f t="shared" si="13"/>
        <v/>
      </c>
      <c r="S242" s="82" t="str">
        <f t="shared" si="14"/>
        <v/>
      </c>
      <c r="T242" s="83">
        <f t="shared" si="15"/>
        <v>0</v>
      </c>
      <c r="U242" s="39"/>
    </row>
    <row r="243" spans="1:21">
      <c r="A243" s="34">
        <f t="shared" si="8"/>
        <v>232</v>
      </c>
      <c r="B243" s="35"/>
      <c r="C243" s="15"/>
      <c r="D243" s="15"/>
      <c r="E243" s="15"/>
      <c r="F243" s="15"/>
      <c r="G243" s="15"/>
      <c r="H243" s="37"/>
      <c r="I243" s="35"/>
      <c r="J243" s="35"/>
      <c r="K243" s="35"/>
      <c r="L243" s="35"/>
      <c r="M243" s="35"/>
      <c r="N243" s="35"/>
      <c r="O243" s="81">
        <f t="shared" si="12"/>
        <v>0</v>
      </c>
      <c r="P243" s="38"/>
      <c r="Q243" s="38"/>
      <c r="R243" s="82" t="str">
        <f t="shared" si="13"/>
        <v/>
      </c>
      <c r="S243" s="82" t="str">
        <f t="shared" si="14"/>
        <v/>
      </c>
      <c r="T243" s="83">
        <f t="shared" si="15"/>
        <v>0</v>
      </c>
      <c r="U243" s="39"/>
    </row>
    <row r="244" spans="1:21">
      <c r="A244" s="34">
        <f t="shared" si="8"/>
        <v>233</v>
      </c>
      <c r="B244" s="35"/>
      <c r="C244" s="15"/>
      <c r="D244" s="15"/>
      <c r="E244" s="15"/>
      <c r="F244" s="15"/>
      <c r="G244" s="15"/>
      <c r="H244" s="37"/>
      <c r="I244" s="35"/>
      <c r="J244" s="35"/>
      <c r="K244" s="35"/>
      <c r="L244" s="35"/>
      <c r="M244" s="35"/>
      <c r="N244" s="35"/>
      <c r="O244" s="81">
        <f t="shared" si="12"/>
        <v>0</v>
      </c>
      <c r="P244" s="38"/>
      <c r="Q244" s="38"/>
      <c r="R244" s="82" t="str">
        <f t="shared" si="13"/>
        <v/>
      </c>
      <c r="S244" s="82" t="str">
        <f t="shared" si="14"/>
        <v/>
      </c>
      <c r="T244" s="83">
        <f t="shared" si="15"/>
        <v>0</v>
      </c>
      <c r="U244" s="39"/>
    </row>
    <row r="245" spans="1:21">
      <c r="A245" s="34">
        <f t="shared" si="8"/>
        <v>234</v>
      </c>
      <c r="B245" s="35"/>
      <c r="C245" s="15"/>
      <c r="D245" s="15"/>
      <c r="E245" s="15"/>
      <c r="F245" s="15"/>
      <c r="G245" s="15"/>
      <c r="H245" s="37"/>
      <c r="I245" s="35"/>
      <c r="J245" s="35"/>
      <c r="K245" s="35"/>
      <c r="L245" s="35"/>
      <c r="M245" s="35"/>
      <c r="N245" s="35"/>
      <c r="O245" s="81">
        <f t="shared" si="12"/>
        <v>0</v>
      </c>
      <c r="P245" s="38"/>
      <c r="Q245" s="38"/>
      <c r="R245" s="82" t="str">
        <f t="shared" si="13"/>
        <v/>
      </c>
      <c r="S245" s="82" t="str">
        <f t="shared" si="14"/>
        <v/>
      </c>
      <c r="T245" s="83">
        <f t="shared" si="15"/>
        <v>0</v>
      </c>
      <c r="U245" s="39"/>
    </row>
    <row r="246" spans="1:21">
      <c r="A246" s="34">
        <f t="shared" si="8"/>
        <v>235</v>
      </c>
      <c r="B246" s="35"/>
      <c r="C246" s="15"/>
      <c r="D246" s="15"/>
      <c r="E246" s="15"/>
      <c r="F246" s="15"/>
      <c r="G246" s="15"/>
      <c r="H246" s="37"/>
      <c r="I246" s="35"/>
      <c r="J246" s="35"/>
      <c r="K246" s="35"/>
      <c r="L246" s="35"/>
      <c r="M246" s="35"/>
      <c r="N246" s="35"/>
      <c r="O246" s="81">
        <f t="shared" si="12"/>
        <v>0</v>
      </c>
      <c r="P246" s="38"/>
      <c r="Q246" s="38"/>
      <c r="R246" s="82" t="str">
        <f t="shared" si="13"/>
        <v/>
      </c>
      <c r="S246" s="82" t="str">
        <f t="shared" si="14"/>
        <v/>
      </c>
      <c r="T246" s="83">
        <f t="shared" si="15"/>
        <v>0</v>
      </c>
      <c r="U246" s="39"/>
    </row>
    <row r="247" spans="1:21">
      <c r="A247" s="34">
        <f t="shared" si="8"/>
        <v>236</v>
      </c>
      <c r="B247" s="35"/>
      <c r="C247" s="15"/>
      <c r="D247" s="15"/>
      <c r="E247" s="15"/>
      <c r="F247" s="15"/>
      <c r="G247" s="15"/>
      <c r="H247" s="37"/>
      <c r="I247" s="35"/>
      <c r="J247" s="35"/>
      <c r="K247" s="35"/>
      <c r="L247" s="35"/>
      <c r="M247" s="35"/>
      <c r="N247" s="35"/>
      <c r="O247" s="81">
        <f t="shared" si="12"/>
        <v>0</v>
      </c>
      <c r="P247" s="38"/>
      <c r="Q247" s="38"/>
      <c r="R247" s="82" t="str">
        <f t="shared" si="13"/>
        <v/>
      </c>
      <c r="S247" s="82" t="str">
        <f t="shared" si="14"/>
        <v/>
      </c>
      <c r="T247" s="83">
        <f t="shared" si="15"/>
        <v>0</v>
      </c>
      <c r="U247" s="39"/>
    </row>
    <row r="248" spans="1:21">
      <c r="A248" s="34">
        <f t="shared" si="8"/>
        <v>237</v>
      </c>
      <c r="B248" s="35"/>
      <c r="C248" s="15"/>
      <c r="D248" s="15"/>
      <c r="E248" s="15"/>
      <c r="F248" s="15"/>
      <c r="G248" s="15"/>
      <c r="H248" s="37"/>
      <c r="I248" s="35"/>
      <c r="J248" s="35"/>
      <c r="K248" s="35"/>
      <c r="L248" s="35"/>
      <c r="M248" s="35"/>
      <c r="N248" s="35"/>
      <c r="O248" s="81">
        <f t="shared" si="12"/>
        <v>0</v>
      </c>
      <c r="P248" s="38"/>
      <c r="Q248" s="38"/>
      <c r="R248" s="82" t="str">
        <f t="shared" si="13"/>
        <v/>
      </c>
      <c r="S248" s="82" t="str">
        <f t="shared" si="14"/>
        <v/>
      </c>
      <c r="T248" s="83">
        <f t="shared" si="15"/>
        <v>0</v>
      </c>
      <c r="U248" s="39"/>
    </row>
    <row r="249" spans="1:21">
      <c r="A249" s="34">
        <f t="shared" si="8"/>
        <v>238</v>
      </c>
      <c r="B249" s="35"/>
      <c r="C249" s="15"/>
      <c r="D249" s="15"/>
      <c r="E249" s="15"/>
      <c r="F249" s="15"/>
      <c r="G249" s="15"/>
      <c r="H249" s="37"/>
      <c r="I249" s="35"/>
      <c r="J249" s="35"/>
      <c r="K249" s="35"/>
      <c r="L249" s="35"/>
      <c r="M249" s="35"/>
      <c r="N249" s="35"/>
      <c r="O249" s="81">
        <f t="shared" si="12"/>
        <v>0</v>
      </c>
      <c r="P249" s="38"/>
      <c r="Q249" s="38"/>
      <c r="R249" s="82" t="str">
        <f t="shared" si="13"/>
        <v/>
      </c>
      <c r="S249" s="82" t="str">
        <f t="shared" si="14"/>
        <v/>
      </c>
      <c r="T249" s="83">
        <f t="shared" si="15"/>
        <v>0</v>
      </c>
      <c r="U249" s="39"/>
    </row>
    <row r="250" spans="1:21">
      <c r="A250" s="34">
        <f t="shared" si="8"/>
        <v>239</v>
      </c>
      <c r="B250" s="35"/>
      <c r="C250" s="15"/>
      <c r="D250" s="15"/>
      <c r="E250" s="15"/>
      <c r="F250" s="15"/>
      <c r="G250" s="15"/>
      <c r="H250" s="37"/>
      <c r="I250" s="35"/>
      <c r="J250" s="35"/>
      <c r="K250" s="35"/>
      <c r="L250" s="35"/>
      <c r="M250" s="35"/>
      <c r="N250" s="35"/>
      <c r="O250" s="81">
        <f t="shared" si="12"/>
        <v>0</v>
      </c>
      <c r="P250" s="38"/>
      <c r="Q250" s="38"/>
      <c r="R250" s="82" t="str">
        <f t="shared" si="13"/>
        <v/>
      </c>
      <c r="S250" s="82" t="str">
        <f t="shared" si="14"/>
        <v/>
      </c>
      <c r="T250" s="83">
        <f t="shared" si="15"/>
        <v>0</v>
      </c>
      <c r="U250" s="39"/>
    </row>
    <row r="251" spans="1:21">
      <c r="A251" s="34">
        <f t="shared" si="8"/>
        <v>240</v>
      </c>
      <c r="B251" s="35"/>
      <c r="C251" s="15"/>
      <c r="D251" s="15"/>
      <c r="E251" s="15"/>
      <c r="F251" s="15"/>
      <c r="G251" s="15"/>
      <c r="H251" s="37"/>
      <c r="I251" s="35"/>
      <c r="J251" s="35"/>
      <c r="K251" s="35"/>
      <c r="L251" s="35"/>
      <c r="M251" s="35"/>
      <c r="N251" s="35"/>
      <c r="O251" s="81">
        <f t="shared" si="12"/>
        <v>0</v>
      </c>
      <c r="P251" s="38"/>
      <c r="Q251" s="38"/>
      <c r="R251" s="82" t="str">
        <f t="shared" si="13"/>
        <v/>
      </c>
      <c r="S251" s="82" t="str">
        <f t="shared" si="14"/>
        <v/>
      </c>
      <c r="T251" s="83">
        <f t="shared" si="15"/>
        <v>0</v>
      </c>
      <c r="U251" s="39"/>
    </row>
    <row r="252" spans="1:21">
      <c r="A252" s="34">
        <f t="shared" si="8"/>
        <v>241</v>
      </c>
      <c r="B252" s="35"/>
      <c r="C252" s="15"/>
      <c r="D252" s="15"/>
      <c r="E252" s="15"/>
      <c r="F252" s="15"/>
      <c r="G252" s="15"/>
      <c r="H252" s="37"/>
      <c r="I252" s="35"/>
      <c r="J252" s="35"/>
      <c r="K252" s="35"/>
      <c r="L252" s="35"/>
      <c r="M252" s="35"/>
      <c r="N252" s="35"/>
      <c r="O252" s="81">
        <f t="shared" si="12"/>
        <v>0</v>
      </c>
      <c r="P252" s="38"/>
      <c r="Q252" s="38"/>
      <c r="R252" s="82" t="str">
        <f t="shared" si="13"/>
        <v/>
      </c>
      <c r="S252" s="82" t="str">
        <f t="shared" si="14"/>
        <v/>
      </c>
      <c r="T252" s="83">
        <f t="shared" si="15"/>
        <v>0</v>
      </c>
      <c r="U252" s="39"/>
    </row>
    <row r="253" spans="1:21">
      <c r="A253" s="34">
        <f t="shared" si="8"/>
        <v>242</v>
      </c>
      <c r="B253" s="35"/>
      <c r="C253" s="15"/>
      <c r="D253" s="15"/>
      <c r="E253" s="15"/>
      <c r="F253" s="15"/>
      <c r="G253" s="15"/>
      <c r="H253" s="37"/>
      <c r="I253" s="35"/>
      <c r="J253" s="35"/>
      <c r="K253" s="35"/>
      <c r="L253" s="35"/>
      <c r="M253" s="35"/>
      <c r="N253" s="35"/>
      <c r="O253" s="81">
        <f t="shared" si="12"/>
        <v>0</v>
      </c>
      <c r="P253" s="38"/>
      <c r="Q253" s="38"/>
      <c r="R253" s="82" t="str">
        <f t="shared" si="13"/>
        <v/>
      </c>
      <c r="S253" s="82" t="str">
        <f t="shared" si="14"/>
        <v/>
      </c>
      <c r="T253" s="83">
        <f t="shared" si="15"/>
        <v>0</v>
      </c>
      <c r="U253" s="39"/>
    </row>
    <row r="254" spans="1:21">
      <c r="A254" s="34">
        <f t="shared" si="8"/>
        <v>243</v>
      </c>
      <c r="B254" s="35"/>
      <c r="C254" s="15"/>
      <c r="D254" s="15"/>
      <c r="E254" s="15"/>
      <c r="F254" s="15"/>
      <c r="G254" s="15"/>
      <c r="H254" s="37"/>
      <c r="I254" s="35"/>
      <c r="J254" s="35"/>
      <c r="K254" s="35"/>
      <c r="L254" s="35"/>
      <c r="M254" s="35"/>
      <c r="N254" s="35"/>
      <c r="O254" s="81">
        <f t="shared" si="12"/>
        <v>0</v>
      </c>
      <c r="P254" s="38"/>
      <c r="Q254" s="38"/>
      <c r="R254" s="82" t="str">
        <f t="shared" si="13"/>
        <v/>
      </c>
      <c r="S254" s="82" t="str">
        <f t="shared" si="14"/>
        <v/>
      </c>
      <c r="T254" s="83">
        <f t="shared" si="15"/>
        <v>0</v>
      </c>
      <c r="U254" s="39"/>
    </row>
    <row r="255" spans="1:21">
      <c r="A255" s="34">
        <f t="shared" si="8"/>
        <v>244</v>
      </c>
      <c r="B255" s="35"/>
      <c r="C255" s="15"/>
      <c r="D255" s="15"/>
      <c r="E255" s="15"/>
      <c r="F255" s="15"/>
      <c r="G255" s="15"/>
      <c r="H255" s="37"/>
      <c r="I255" s="35"/>
      <c r="J255" s="35"/>
      <c r="K255" s="35"/>
      <c r="L255" s="35"/>
      <c r="M255" s="35"/>
      <c r="N255" s="35"/>
      <c r="O255" s="81">
        <f t="shared" si="12"/>
        <v>0</v>
      </c>
      <c r="P255" s="38"/>
      <c r="Q255" s="38"/>
      <c r="R255" s="82" t="str">
        <f t="shared" si="13"/>
        <v/>
      </c>
      <c r="S255" s="82" t="str">
        <f t="shared" si="14"/>
        <v/>
      </c>
      <c r="T255" s="83">
        <f t="shared" si="15"/>
        <v>0</v>
      </c>
      <c r="U255" s="39"/>
    </row>
    <row r="256" spans="1:21">
      <c r="A256" s="34">
        <f t="shared" si="8"/>
        <v>245</v>
      </c>
      <c r="B256" s="35"/>
      <c r="C256" s="15"/>
      <c r="D256" s="15"/>
      <c r="E256" s="15"/>
      <c r="F256" s="15"/>
      <c r="G256" s="15"/>
      <c r="H256" s="37"/>
      <c r="I256" s="35"/>
      <c r="J256" s="35"/>
      <c r="K256" s="35"/>
      <c r="L256" s="35"/>
      <c r="M256" s="35"/>
      <c r="N256" s="35"/>
      <c r="O256" s="81">
        <f t="shared" si="12"/>
        <v>0</v>
      </c>
      <c r="P256" s="38"/>
      <c r="Q256" s="38"/>
      <c r="R256" s="82" t="str">
        <f t="shared" si="13"/>
        <v/>
      </c>
      <c r="S256" s="82" t="str">
        <f t="shared" si="14"/>
        <v/>
      </c>
      <c r="T256" s="83">
        <f t="shared" si="15"/>
        <v>0</v>
      </c>
      <c r="U256" s="39"/>
    </row>
    <row r="257" spans="1:21">
      <c r="A257" s="34">
        <f t="shared" si="8"/>
        <v>246</v>
      </c>
      <c r="B257" s="35"/>
      <c r="C257" s="15"/>
      <c r="D257" s="15"/>
      <c r="E257" s="15"/>
      <c r="F257" s="15"/>
      <c r="G257" s="15"/>
      <c r="H257" s="37"/>
      <c r="I257" s="35"/>
      <c r="J257" s="35"/>
      <c r="K257" s="35"/>
      <c r="L257" s="35"/>
      <c r="M257" s="35"/>
      <c r="N257" s="35"/>
      <c r="O257" s="81">
        <f t="shared" si="12"/>
        <v>0</v>
      </c>
      <c r="P257" s="38"/>
      <c r="Q257" s="38"/>
      <c r="R257" s="82" t="str">
        <f t="shared" si="13"/>
        <v/>
      </c>
      <c r="S257" s="82" t="str">
        <f t="shared" si="14"/>
        <v/>
      </c>
      <c r="T257" s="83">
        <f t="shared" si="15"/>
        <v>0</v>
      </c>
      <c r="U257" s="39"/>
    </row>
    <row r="258" spans="1:21">
      <c r="A258" s="34">
        <f t="shared" si="8"/>
        <v>247</v>
      </c>
      <c r="B258" s="35"/>
      <c r="C258" s="15"/>
      <c r="D258" s="15"/>
      <c r="E258" s="15"/>
      <c r="F258" s="15"/>
      <c r="G258" s="15"/>
      <c r="H258" s="37"/>
      <c r="I258" s="35"/>
      <c r="J258" s="35"/>
      <c r="K258" s="35"/>
      <c r="L258" s="35"/>
      <c r="M258" s="35"/>
      <c r="N258" s="35"/>
      <c r="O258" s="81">
        <f t="shared" si="12"/>
        <v>0</v>
      </c>
      <c r="P258" s="38"/>
      <c r="Q258" s="38"/>
      <c r="R258" s="82" t="str">
        <f t="shared" si="13"/>
        <v/>
      </c>
      <c r="S258" s="82" t="str">
        <f t="shared" si="14"/>
        <v/>
      </c>
      <c r="T258" s="83">
        <f t="shared" si="15"/>
        <v>0</v>
      </c>
      <c r="U258" s="39"/>
    </row>
    <row r="259" spans="1:21">
      <c r="A259" s="34">
        <f t="shared" si="8"/>
        <v>248</v>
      </c>
      <c r="B259" s="35"/>
      <c r="C259" s="15"/>
      <c r="D259" s="15"/>
      <c r="E259" s="15"/>
      <c r="F259" s="15"/>
      <c r="G259" s="15"/>
      <c r="H259" s="37"/>
      <c r="I259" s="35"/>
      <c r="J259" s="35"/>
      <c r="K259" s="35"/>
      <c r="L259" s="35"/>
      <c r="M259" s="35"/>
      <c r="N259" s="35"/>
      <c r="O259" s="81">
        <f t="shared" si="12"/>
        <v>0</v>
      </c>
      <c r="P259" s="38"/>
      <c r="Q259" s="38"/>
      <c r="R259" s="82" t="str">
        <f t="shared" si="13"/>
        <v/>
      </c>
      <c r="S259" s="82" t="str">
        <f t="shared" si="14"/>
        <v/>
      </c>
      <c r="T259" s="83">
        <f t="shared" si="15"/>
        <v>0</v>
      </c>
      <c r="U259" s="39"/>
    </row>
    <row r="260" spans="1:21">
      <c r="A260" s="34">
        <f t="shared" si="8"/>
        <v>249</v>
      </c>
      <c r="B260" s="35"/>
      <c r="C260" s="15"/>
      <c r="D260" s="15"/>
      <c r="E260" s="15"/>
      <c r="F260" s="15"/>
      <c r="G260" s="15"/>
      <c r="H260" s="37"/>
      <c r="I260" s="35"/>
      <c r="J260" s="35"/>
      <c r="K260" s="35"/>
      <c r="L260" s="35"/>
      <c r="M260" s="35"/>
      <c r="N260" s="35"/>
      <c r="O260" s="81">
        <f t="shared" si="12"/>
        <v>0</v>
      </c>
      <c r="P260" s="38"/>
      <c r="Q260" s="38"/>
      <c r="R260" s="82" t="str">
        <f t="shared" si="13"/>
        <v/>
      </c>
      <c r="S260" s="82" t="str">
        <f t="shared" si="14"/>
        <v/>
      </c>
      <c r="T260" s="83">
        <f t="shared" si="15"/>
        <v>0</v>
      </c>
      <c r="U260" s="39"/>
    </row>
    <row r="261" spans="1:21">
      <c r="A261" s="34">
        <f t="shared" si="8"/>
        <v>250</v>
      </c>
      <c r="B261" s="35"/>
      <c r="C261" s="15"/>
      <c r="D261" s="15"/>
      <c r="E261" s="15"/>
      <c r="F261" s="15"/>
      <c r="G261" s="15"/>
      <c r="H261" s="37"/>
      <c r="I261" s="35"/>
      <c r="J261" s="35"/>
      <c r="K261" s="35"/>
      <c r="L261" s="35"/>
      <c r="M261" s="35"/>
      <c r="N261" s="35"/>
      <c r="O261" s="81">
        <f t="shared" si="12"/>
        <v>0</v>
      </c>
      <c r="P261" s="38"/>
      <c r="Q261" s="38"/>
      <c r="R261" s="82" t="str">
        <f t="shared" si="13"/>
        <v/>
      </c>
      <c r="S261" s="82" t="str">
        <f t="shared" si="14"/>
        <v/>
      </c>
      <c r="T261" s="83">
        <f t="shared" si="15"/>
        <v>0</v>
      </c>
      <c r="U261" s="39"/>
    </row>
    <row r="262" spans="1:21">
      <c r="A262" s="34">
        <f t="shared" si="8"/>
        <v>251</v>
      </c>
      <c r="B262" s="35"/>
      <c r="C262" s="15"/>
      <c r="D262" s="15"/>
      <c r="E262" s="15"/>
      <c r="F262" s="15"/>
      <c r="G262" s="15"/>
      <c r="H262" s="37"/>
      <c r="I262" s="35"/>
      <c r="J262" s="35"/>
      <c r="K262" s="35"/>
      <c r="L262" s="35"/>
      <c r="M262" s="35"/>
      <c r="N262" s="35"/>
      <c r="O262" s="81">
        <f t="shared" si="12"/>
        <v>0</v>
      </c>
      <c r="P262" s="38"/>
      <c r="Q262" s="38"/>
      <c r="R262" s="82" t="str">
        <f t="shared" si="13"/>
        <v/>
      </c>
      <c r="S262" s="82" t="str">
        <f t="shared" si="14"/>
        <v/>
      </c>
      <c r="T262" s="83">
        <f t="shared" si="15"/>
        <v>0</v>
      </c>
      <c r="U262" s="39"/>
    </row>
    <row r="263" spans="1:21">
      <c r="A263" s="34">
        <f t="shared" si="8"/>
        <v>252</v>
      </c>
      <c r="B263" s="35"/>
      <c r="C263" s="15"/>
      <c r="D263" s="15"/>
      <c r="E263" s="15"/>
      <c r="F263" s="15"/>
      <c r="G263" s="15"/>
      <c r="H263" s="37"/>
      <c r="I263" s="35"/>
      <c r="J263" s="35"/>
      <c r="K263" s="35"/>
      <c r="L263" s="35"/>
      <c r="M263" s="35"/>
      <c r="N263" s="35"/>
      <c r="O263" s="81">
        <f t="shared" si="12"/>
        <v>0</v>
      </c>
      <c r="P263" s="38"/>
      <c r="Q263" s="38"/>
      <c r="R263" s="82" t="str">
        <f t="shared" si="13"/>
        <v/>
      </c>
      <c r="S263" s="82" t="str">
        <f t="shared" si="14"/>
        <v/>
      </c>
      <c r="T263" s="83">
        <f t="shared" si="15"/>
        <v>0</v>
      </c>
      <c r="U263" s="39"/>
    </row>
    <row r="264" spans="1:21">
      <c r="A264" s="34">
        <f t="shared" si="8"/>
        <v>253</v>
      </c>
      <c r="B264" s="35"/>
      <c r="C264" s="15"/>
      <c r="D264" s="15"/>
      <c r="E264" s="15"/>
      <c r="F264" s="15"/>
      <c r="G264" s="15"/>
      <c r="H264" s="37"/>
      <c r="I264" s="35"/>
      <c r="J264" s="35"/>
      <c r="K264" s="35"/>
      <c r="L264" s="35"/>
      <c r="M264" s="35"/>
      <c r="N264" s="35"/>
      <c r="O264" s="81">
        <f t="shared" si="12"/>
        <v>0</v>
      </c>
      <c r="P264" s="38"/>
      <c r="Q264" s="38"/>
      <c r="R264" s="82" t="str">
        <f t="shared" si="13"/>
        <v/>
      </c>
      <c r="S264" s="82" t="str">
        <f t="shared" si="14"/>
        <v/>
      </c>
      <c r="T264" s="83">
        <f t="shared" si="15"/>
        <v>0</v>
      </c>
      <c r="U264" s="39"/>
    </row>
    <row r="265" spans="1:21">
      <c r="A265" s="34">
        <f t="shared" si="8"/>
        <v>254</v>
      </c>
      <c r="B265" s="35"/>
      <c r="C265" s="15"/>
      <c r="D265" s="15"/>
      <c r="E265" s="15"/>
      <c r="F265" s="15"/>
      <c r="G265" s="15"/>
      <c r="H265" s="37"/>
      <c r="I265" s="35"/>
      <c r="J265" s="35"/>
      <c r="K265" s="35"/>
      <c r="L265" s="35"/>
      <c r="M265" s="35"/>
      <c r="N265" s="35"/>
      <c r="O265" s="81">
        <f t="shared" si="12"/>
        <v>0</v>
      </c>
      <c r="P265" s="38"/>
      <c r="Q265" s="38"/>
      <c r="R265" s="82" t="str">
        <f t="shared" si="13"/>
        <v/>
      </c>
      <c r="S265" s="82" t="str">
        <f t="shared" si="14"/>
        <v/>
      </c>
      <c r="T265" s="83">
        <f t="shared" si="15"/>
        <v>0</v>
      </c>
      <c r="U265" s="39"/>
    </row>
    <row r="266" spans="1:21">
      <c r="A266" s="34">
        <f t="shared" si="8"/>
        <v>255</v>
      </c>
      <c r="B266" s="35"/>
      <c r="C266" s="15"/>
      <c r="D266" s="15"/>
      <c r="E266" s="15"/>
      <c r="F266" s="15"/>
      <c r="G266" s="15"/>
      <c r="H266" s="37"/>
      <c r="I266" s="35"/>
      <c r="J266" s="35"/>
      <c r="K266" s="35"/>
      <c r="L266" s="35"/>
      <c r="M266" s="35"/>
      <c r="N266" s="35"/>
      <c r="O266" s="81">
        <f t="shared" si="12"/>
        <v>0</v>
      </c>
      <c r="P266" s="38"/>
      <c r="Q266" s="38"/>
      <c r="R266" s="82" t="str">
        <f t="shared" si="13"/>
        <v/>
      </c>
      <c r="S266" s="82" t="str">
        <f t="shared" si="14"/>
        <v/>
      </c>
      <c r="T266" s="83">
        <f t="shared" si="15"/>
        <v>0</v>
      </c>
      <c r="U266" s="39"/>
    </row>
    <row r="267" spans="1:21">
      <c r="A267" s="34">
        <f t="shared" si="8"/>
        <v>256</v>
      </c>
      <c r="B267" s="35"/>
      <c r="C267" s="15"/>
      <c r="D267" s="15"/>
      <c r="E267" s="15"/>
      <c r="F267" s="15"/>
      <c r="G267" s="15"/>
      <c r="H267" s="37"/>
      <c r="I267" s="35"/>
      <c r="J267" s="35"/>
      <c r="K267" s="35"/>
      <c r="L267" s="35"/>
      <c r="M267" s="35"/>
      <c r="N267" s="35"/>
      <c r="O267" s="81">
        <f t="shared" si="12"/>
        <v>0</v>
      </c>
      <c r="P267" s="38"/>
      <c r="Q267" s="38"/>
      <c r="R267" s="82" t="str">
        <f t="shared" si="13"/>
        <v/>
      </c>
      <c r="S267" s="82" t="str">
        <f t="shared" si="14"/>
        <v/>
      </c>
      <c r="T267" s="83">
        <f t="shared" si="15"/>
        <v>0</v>
      </c>
      <c r="U267" s="39"/>
    </row>
    <row r="268" spans="1:21">
      <c r="A268" s="34">
        <f t="shared" ref="A268:A331" si="16">ROW() - ROW(FRegEntriesEnteredHdr)</f>
        <v>257</v>
      </c>
      <c r="B268" s="35"/>
      <c r="C268" s="15"/>
      <c r="D268" s="15"/>
      <c r="E268" s="15"/>
      <c r="F268" s="15"/>
      <c r="G268" s="15"/>
      <c r="H268" s="37"/>
      <c r="I268" s="35"/>
      <c r="J268" s="35"/>
      <c r="K268" s="35"/>
      <c r="L268" s="35"/>
      <c r="M268" s="35"/>
      <c r="N268" s="35"/>
      <c r="O268" s="81">
        <f t="shared" ref="O268:O331" si="17">T268*N268</f>
        <v>0</v>
      </c>
      <c r="P268" s="38"/>
      <c r="Q268" s="38"/>
      <c r="R268" s="82" t="str">
        <f t="shared" ref="R268:R331" si="18">IF(OR(P268="c",P268="C"),+T268,"")</f>
        <v/>
      </c>
      <c r="S268" s="82" t="str">
        <f t="shared" ref="S268:S331" si="19">IF(OR(P268="$",N268=1),+T268,"")</f>
        <v/>
      </c>
      <c r="T268" s="83">
        <f t="shared" ref="T268:T331" si="20">B268*FRegMainSetUpEntryFee + H268*FRegMainSetUpPool1Fee + I268*FRegMainSetUpPool2Fee + J268*FRegMainSetUpPool3Fee + K268*FRegMainSetUpPool4Fee</f>
        <v>0</v>
      </c>
      <c r="U268" s="39"/>
    </row>
    <row r="269" spans="1:21">
      <c r="A269" s="34">
        <f t="shared" si="16"/>
        <v>258</v>
      </c>
      <c r="B269" s="35"/>
      <c r="C269" s="15"/>
      <c r="D269" s="15"/>
      <c r="E269" s="15"/>
      <c r="F269" s="15"/>
      <c r="G269" s="15"/>
      <c r="H269" s="37"/>
      <c r="I269" s="35"/>
      <c r="J269" s="35"/>
      <c r="K269" s="35"/>
      <c r="L269" s="35"/>
      <c r="M269" s="35"/>
      <c r="N269" s="35"/>
      <c r="O269" s="81">
        <f t="shared" si="17"/>
        <v>0</v>
      </c>
      <c r="P269" s="38"/>
      <c r="Q269" s="38"/>
      <c r="R269" s="82" t="str">
        <f t="shared" si="18"/>
        <v/>
      </c>
      <c r="S269" s="82" t="str">
        <f t="shared" si="19"/>
        <v/>
      </c>
      <c r="T269" s="83">
        <f t="shared" si="20"/>
        <v>0</v>
      </c>
      <c r="U269" s="39"/>
    </row>
    <row r="270" spans="1:21">
      <c r="A270" s="34">
        <f t="shared" si="16"/>
        <v>259</v>
      </c>
      <c r="B270" s="35"/>
      <c r="C270" s="15"/>
      <c r="D270" s="15"/>
      <c r="E270" s="15"/>
      <c r="F270" s="15"/>
      <c r="G270" s="15"/>
      <c r="H270" s="37"/>
      <c r="I270" s="35"/>
      <c r="J270" s="35"/>
      <c r="K270" s="35"/>
      <c r="L270" s="35"/>
      <c r="M270" s="35"/>
      <c r="N270" s="35"/>
      <c r="O270" s="81">
        <f t="shared" si="17"/>
        <v>0</v>
      </c>
      <c r="P270" s="38"/>
      <c r="Q270" s="38"/>
      <c r="R270" s="82" t="str">
        <f t="shared" si="18"/>
        <v/>
      </c>
      <c r="S270" s="82" t="str">
        <f t="shared" si="19"/>
        <v/>
      </c>
      <c r="T270" s="83">
        <f t="shared" si="20"/>
        <v>0</v>
      </c>
      <c r="U270" s="39"/>
    </row>
    <row r="271" spans="1:21">
      <c r="A271" s="34">
        <f t="shared" si="16"/>
        <v>260</v>
      </c>
      <c r="B271" s="35"/>
      <c r="C271" s="15"/>
      <c r="D271" s="15"/>
      <c r="E271" s="15"/>
      <c r="F271" s="15"/>
      <c r="G271" s="15"/>
      <c r="H271" s="37"/>
      <c r="I271" s="35"/>
      <c r="J271" s="35"/>
      <c r="K271" s="35"/>
      <c r="L271" s="35"/>
      <c r="M271" s="35"/>
      <c r="N271" s="35"/>
      <c r="O271" s="81">
        <f t="shared" si="17"/>
        <v>0</v>
      </c>
      <c r="P271" s="38"/>
      <c r="Q271" s="38"/>
      <c r="R271" s="82" t="str">
        <f t="shared" si="18"/>
        <v/>
      </c>
      <c r="S271" s="82" t="str">
        <f t="shared" si="19"/>
        <v/>
      </c>
      <c r="T271" s="83">
        <f t="shared" si="20"/>
        <v>0</v>
      </c>
      <c r="U271" s="39"/>
    </row>
    <row r="272" spans="1:21">
      <c r="A272" s="34">
        <f t="shared" si="16"/>
        <v>261</v>
      </c>
      <c r="B272" s="35"/>
      <c r="C272" s="15"/>
      <c r="D272" s="15"/>
      <c r="E272" s="15"/>
      <c r="F272" s="15"/>
      <c r="G272" s="15"/>
      <c r="H272" s="37"/>
      <c r="I272" s="35"/>
      <c r="J272" s="35"/>
      <c r="K272" s="35"/>
      <c r="L272" s="35"/>
      <c r="M272" s="35"/>
      <c r="N272" s="35"/>
      <c r="O272" s="81">
        <f t="shared" si="17"/>
        <v>0</v>
      </c>
      <c r="P272" s="38"/>
      <c r="Q272" s="38"/>
      <c r="R272" s="82" t="str">
        <f t="shared" si="18"/>
        <v/>
      </c>
      <c r="S272" s="82" t="str">
        <f t="shared" si="19"/>
        <v/>
      </c>
      <c r="T272" s="83">
        <f t="shared" si="20"/>
        <v>0</v>
      </c>
      <c r="U272" s="39"/>
    </row>
    <row r="273" spans="1:21">
      <c r="A273" s="34">
        <f t="shared" si="16"/>
        <v>262</v>
      </c>
      <c r="B273" s="35"/>
      <c r="C273" s="15"/>
      <c r="D273" s="15"/>
      <c r="E273" s="15"/>
      <c r="F273" s="15"/>
      <c r="G273" s="15"/>
      <c r="H273" s="37"/>
      <c r="I273" s="35"/>
      <c r="J273" s="35"/>
      <c r="K273" s="35"/>
      <c r="L273" s="35"/>
      <c r="M273" s="35"/>
      <c r="N273" s="35"/>
      <c r="O273" s="81">
        <f t="shared" si="17"/>
        <v>0</v>
      </c>
      <c r="P273" s="38"/>
      <c r="Q273" s="38"/>
      <c r="R273" s="82" t="str">
        <f t="shared" si="18"/>
        <v/>
      </c>
      <c r="S273" s="82" t="str">
        <f t="shared" si="19"/>
        <v/>
      </c>
      <c r="T273" s="83">
        <f t="shared" si="20"/>
        <v>0</v>
      </c>
      <c r="U273" s="39"/>
    </row>
    <row r="274" spans="1:21">
      <c r="A274" s="34">
        <f t="shared" si="16"/>
        <v>263</v>
      </c>
      <c r="B274" s="35"/>
      <c r="C274" s="15"/>
      <c r="D274" s="15"/>
      <c r="E274" s="15"/>
      <c r="F274" s="15"/>
      <c r="G274" s="15"/>
      <c r="H274" s="37"/>
      <c r="I274" s="35"/>
      <c r="J274" s="35"/>
      <c r="K274" s="35"/>
      <c r="L274" s="35"/>
      <c r="M274" s="35"/>
      <c r="N274" s="35"/>
      <c r="O274" s="81">
        <f t="shared" si="17"/>
        <v>0</v>
      </c>
      <c r="P274" s="38"/>
      <c r="Q274" s="38"/>
      <c r="R274" s="82" t="str">
        <f t="shared" si="18"/>
        <v/>
      </c>
      <c r="S274" s="82" t="str">
        <f t="shared" si="19"/>
        <v/>
      </c>
      <c r="T274" s="83">
        <f t="shared" si="20"/>
        <v>0</v>
      </c>
      <c r="U274" s="39"/>
    </row>
    <row r="275" spans="1:21">
      <c r="A275" s="34">
        <f t="shared" si="16"/>
        <v>264</v>
      </c>
      <c r="B275" s="35"/>
      <c r="C275" s="15"/>
      <c r="D275" s="15"/>
      <c r="E275" s="15"/>
      <c r="F275" s="15"/>
      <c r="G275" s="15"/>
      <c r="H275" s="37"/>
      <c r="I275" s="35"/>
      <c r="J275" s="35"/>
      <c r="K275" s="35"/>
      <c r="L275" s="35"/>
      <c r="M275" s="35"/>
      <c r="N275" s="35"/>
      <c r="O275" s="81">
        <f t="shared" si="17"/>
        <v>0</v>
      </c>
      <c r="P275" s="38"/>
      <c r="Q275" s="38"/>
      <c r="R275" s="82" t="str">
        <f t="shared" si="18"/>
        <v/>
      </c>
      <c r="S275" s="82" t="str">
        <f t="shared" si="19"/>
        <v/>
      </c>
      <c r="T275" s="83">
        <f t="shared" si="20"/>
        <v>0</v>
      </c>
      <c r="U275" s="39"/>
    </row>
    <row r="276" spans="1:21">
      <c r="A276" s="34">
        <f t="shared" si="16"/>
        <v>265</v>
      </c>
      <c r="B276" s="35"/>
      <c r="C276" s="15"/>
      <c r="D276" s="15"/>
      <c r="E276" s="15"/>
      <c r="F276" s="15"/>
      <c r="G276" s="15"/>
      <c r="H276" s="37"/>
      <c r="I276" s="35"/>
      <c r="J276" s="35"/>
      <c r="K276" s="35"/>
      <c r="L276" s="35"/>
      <c r="M276" s="35"/>
      <c r="N276" s="35"/>
      <c r="O276" s="81">
        <f t="shared" si="17"/>
        <v>0</v>
      </c>
      <c r="P276" s="38"/>
      <c r="Q276" s="38"/>
      <c r="R276" s="82" t="str">
        <f t="shared" si="18"/>
        <v/>
      </c>
      <c r="S276" s="82" t="str">
        <f t="shared" si="19"/>
        <v/>
      </c>
      <c r="T276" s="83">
        <f t="shared" si="20"/>
        <v>0</v>
      </c>
      <c r="U276" s="39"/>
    </row>
    <row r="277" spans="1:21">
      <c r="A277" s="34">
        <f t="shared" si="16"/>
        <v>266</v>
      </c>
      <c r="B277" s="35"/>
      <c r="C277" s="15"/>
      <c r="D277" s="15"/>
      <c r="E277" s="15"/>
      <c r="F277" s="15"/>
      <c r="G277" s="15"/>
      <c r="H277" s="37"/>
      <c r="I277" s="35"/>
      <c r="J277" s="35"/>
      <c r="K277" s="35"/>
      <c r="L277" s="35"/>
      <c r="M277" s="35"/>
      <c r="N277" s="35"/>
      <c r="O277" s="81">
        <f t="shared" si="17"/>
        <v>0</v>
      </c>
      <c r="P277" s="38"/>
      <c r="Q277" s="38"/>
      <c r="R277" s="82" t="str">
        <f t="shared" si="18"/>
        <v/>
      </c>
      <c r="S277" s="82" t="str">
        <f t="shared" si="19"/>
        <v/>
      </c>
      <c r="T277" s="83">
        <f t="shared" si="20"/>
        <v>0</v>
      </c>
      <c r="U277" s="39"/>
    </row>
    <row r="278" spans="1:21">
      <c r="A278" s="34">
        <f t="shared" si="16"/>
        <v>267</v>
      </c>
      <c r="B278" s="35"/>
      <c r="C278" s="15"/>
      <c r="D278" s="15"/>
      <c r="E278" s="15"/>
      <c r="F278" s="15"/>
      <c r="G278" s="15"/>
      <c r="H278" s="37"/>
      <c r="I278" s="35"/>
      <c r="J278" s="35"/>
      <c r="K278" s="35"/>
      <c r="L278" s="35"/>
      <c r="M278" s="35"/>
      <c r="N278" s="35"/>
      <c r="O278" s="81">
        <f t="shared" si="17"/>
        <v>0</v>
      </c>
      <c r="P278" s="38"/>
      <c r="Q278" s="38"/>
      <c r="R278" s="82" t="str">
        <f t="shared" si="18"/>
        <v/>
      </c>
      <c r="S278" s="82" t="str">
        <f t="shared" si="19"/>
        <v/>
      </c>
      <c r="T278" s="83">
        <f t="shared" si="20"/>
        <v>0</v>
      </c>
      <c r="U278" s="39"/>
    </row>
    <row r="279" spans="1:21">
      <c r="A279" s="34">
        <f t="shared" si="16"/>
        <v>268</v>
      </c>
      <c r="B279" s="35"/>
      <c r="C279" s="15"/>
      <c r="D279" s="15"/>
      <c r="E279" s="15"/>
      <c r="F279" s="15"/>
      <c r="G279" s="15"/>
      <c r="H279" s="37"/>
      <c r="I279" s="35"/>
      <c r="J279" s="35"/>
      <c r="K279" s="35"/>
      <c r="L279" s="35"/>
      <c r="M279" s="35"/>
      <c r="N279" s="35"/>
      <c r="O279" s="81">
        <f t="shared" si="17"/>
        <v>0</v>
      </c>
      <c r="P279" s="38"/>
      <c r="Q279" s="38"/>
      <c r="R279" s="82" t="str">
        <f t="shared" si="18"/>
        <v/>
      </c>
      <c r="S279" s="82" t="str">
        <f t="shared" si="19"/>
        <v/>
      </c>
      <c r="T279" s="83">
        <f t="shared" si="20"/>
        <v>0</v>
      </c>
      <c r="U279" s="39"/>
    </row>
    <row r="280" spans="1:21">
      <c r="A280" s="34">
        <f t="shared" si="16"/>
        <v>269</v>
      </c>
      <c r="B280" s="35"/>
      <c r="C280" s="15"/>
      <c r="D280" s="15"/>
      <c r="E280" s="15"/>
      <c r="F280" s="15"/>
      <c r="G280" s="15"/>
      <c r="H280" s="37"/>
      <c r="I280" s="35"/>
      <c r="J280" s="35"/>
      <c r="K280" s="35"/>
      <c r="L280" s="35"/>
      <c r="M280" s="35"/>
      <c r="N280" s="35"/>
      <c r="O280" s="81">
        <f t="shared" si="17"/>
        <v>0</v>
      </c>
      <c r="P280" s="38"/>
      <c r="Q280" s="38"/>
      <c r="R280" s="82" t="str">
        <f t="shared" si="18"/>
        <v/>
      </c>
      <c r="S280" s="82" t="str">
        <f t="shared" si="19"/>
        <v/>
      </c>
      <c r="T280" s="83">
        <f t="shared" si="20"/>
        <v>0</v>
      </c>
      <c r="U280" s="39"/>
    </row>
    <row r="281" spans="1:21">
      <c r="A281" s="34">
        <f t="shared" si="16"/>
        <v>270</v>
      </c>
      <c r="B281" s="35"/>
      <c r="C281" s="15"/>
      <c r="D281" s="15"/>
      <c r="E281" s="15"/>
      <c r="F281" s="15"/>
      <c r="G281" s="15"/>
      <c r="H281" s="37"/>
      <c r="I281" s="35"/>
      <c r="J281" s="35"/>
      <c r="K281" s="35"/>
      <c r="L281" s="35"/>
      <c r="M281" s="35"/>
      <c r="N281" s="35"/>
      <c r="O281" s="81">
        <f t="shared" si="17"/>
        <v>0</v>
      </c>
      <c r="P281" s="38"/>
      <c r="Q281" s="38"/>
      <c r="R281" s="82" t="str">
        <f t="shared" si="18"/>
        <v/>
      </c>
      <c r="S281" s="82" t="str">
        <f t="shared" si="19"/>
        <v/>
      </c>
      <c r="T281" s="83">
        <f t="shared" si="20"/>
        <v>0</v>
      </c>
      <c r="U281" s="39"/>
    </row>
    <row r="282" spans="1:21">
      <c r="A282" s="34">
        <f t="shared" si="16"/>
        <v>271</v>
      </c>
      <c r="B282" s="35"/>
      <c r="C282" s="15"/>
      <c r="D282" s="15"/>
      <c r="E282" s="15"/>
      <c r="F282" s="15"/>
      <c r="G282" s="15"/>
      <c r="H282" s="37"/>
      <c r="I282" s="35"/>
      <c r="J282" s="35"/>
      <c r="K282" s="35"/>
      <c r="L282" s="35"/>
      <c r="M282" s="35"/>
      <c r="N282" s="35"/>
      <c r="O282" s="81">
        <f t="shared" si="17"/>
        <v>0</v>
      </c>
      <c r="P282" s="38"/>
      <c r="Q282" s="38"/>
      <c r="R282" s="82" t="str">
        <f t="shared" si="18"/>
        <v/>
      </c>
      <c r="S282" s="82" t="str">
        <f t="shared" si="19"/>
        <v/>
      </c>
      <c r="T282" s="83">
        <f t="shared" si="20"/>
        <v>0</v>
      </c>
      <c r="U282" s="39"/>
    </row>
    <row r="283" spans="1:21">
      <c r="A283" s="34">
        <f t="shared" si="16"/>
        <v>272</v>
      </c>
      <c r="B283" s="35"/>
      <c r="C283" s="15"/>
      <c r="D283" s="15"/>
      <c r="E283" s="15"/>
      <c r="F283" s="15"/>
      <c r="G283" s="15"/>
      <c r="H283" s="37"/>
      <c r="I283" s="35"/>
      <c r="J283" s="35"/>
      <c r="K283" s="35"/>
      <c r="L283" s="35"/>
      <c r="M283" s="35"/>
      <c r="N283" s="35"/>
      <c r="O283" s="81">
        <f t="shared" si="17"/>
        <v>0</v>
      </c>
      <c r="P283" s="38"/>
      <c r="Q283" s="38"/>
      <c r="R283" s="82" t="str">
        <f t="shared" si="18"/>
        <v/>
      </c>
      <c r="S283" s="82" t="str">
        <f t="shared" si="19"/>
        <v/>
      </c>
      <c r="T283" s="83">
        <f t="shared" si="20"/>
        <v>0</v>
      </c>
      <c r="U283" s="39"/>
    </row>
    <row r="284" spans="1:21">
      <c r="A284" s="34">
        <f t="shared" si="16"/>
        <v>273</v>
      </c>
      <c r="B284" s="35"/>
      <c r="C284" s="15"/>
      <c r="D284" s="15"/>
      <c r="E284" s="15"/>
      <c r="F284" s="15"/>
      <c r="G284" s="15"/>
      <c r="H284" s="37"/>
      <c r="I284" s="35"/>
      <c r="J284" s="35"/>
      <c r="K284" s="35"/>
      <c r="L284" s="35"/>
      <c r="M284" s="35"/>
      <c r="N284" s="35"/>
      <c r="O284" s="81">
        <f t="shared" si="17"/>
        <v>0</v>
      </c>
      <c r="P284" s="38"/>
      <c r="Q284" s="38"/>
      <c r="R284" s="82" t="str">
        <f t="shared" si="18"/>
        <v/>
      </c>
      <c r="S284" s="82" t="str">
        <f t="shared" si="19"/>
        <v/>
      </c>
      <c r="T284" s="83">
        <f t="shared" si="20"/>
        <v>0</v>
      </c>
      <c r="U284" s="39"/>
    </row>
    <row r="285" spans="1:21">
      <c r="A285" s="34">
        <f t="shared" si="16"/>
        <v>274</v>
      </c>
      <c r="B285" s="35"/>
      <c r="C285" s="15"/>
      <c r="D285" s="15"/>
      <c r="E285" s="15"/>
      <c r="F285" s="15"/>
      <c r="G285" s="15"/>
      <c r="H285" s="37"/>
      <c r="I285" s="35"/>
      <c r="J285" s="35"/>
      <c r="K285" s="35"/>
      <c r="L285" s="35"/>
      <c r="M285" s="35"/>
      <c r="N285" s="35"/>
      <c r="O285" s="81">
        <f t="shared" si="17"/>
        <v>0</v>
      </c>
      <c r="P285" s="38"/>
      <c r="Q285" s="38"/>
      <c r="R285" s="82" t="str">
        <f t="shared" si="18"/>
        <v/>
      </c>
      <c r="S285" s="82" t="str">
        <f t="shared" si="19"/>
        <v/>
      </c>
      <c r="T285" s="83">
        <f t="shared" si="20"/>
        <v>0</v>
      </c>
      <c r="U285" s="39"/>
    </row>
    <row r="286" spans="1:21">
      <c r="A286" s="34">
        <f t="shared" si="16"/>
        <v>275</v>
      </c>
      <c r="B286" s="35"/>
      <c r="C286" s="15"/>
      <c r="D286" s="15"/>
      <c r="E286" s="15"/>
      <c r="F286" s="15"/>
      <c r="G286" s="15"/>
      <c r="H286" s="37"/>
      <c r="I286" s="35"/>
      <c r="J286" s="35"/>
      <c r="K286" s="35"/>
      <c r="L286" s="35"/>
      <c r="M286" s="35"/>
      <c r="N286" s="35"/>
      <c r="O286" s="81">
        <f t="shared" si="17"/>
        <v>0</v>
      </c>
      <c r="P286" s="38"/>
      <c r="Q286" s="38"/>
      <c r="R286" s="82" t="str">
        <f t="shared" si="18"/>
        <v/>
      </c>
      <c r="S286" s="82" t="str">
        <f t="shared" si="19"/>
        <v/>
      </c>
      <c r="T286" s="83">
        <f t="shared" si="20"/>
        <v>0</v>
      </c>
      <c r="U286" s="39"/>
    </row>
    <row r="287" spans="1:21">
      <c r="A287" s="34">
        <f t="shared" si="16"/>
        <v>276</v>
      </c>
      <c r="B287" s="35"/>
      <c r="C287" s="15"/>
      <c r="D287" s="15"/>
      <c r="E287" s="15"/>
      <c r="F287" s="15"/>
      <c r="G287" s="15"/>
      <c r="H287" s="37"/>
      <c r="I287" s="35"/>
      <c r="J287" s="35"/>
      <c r="K287" s="35"/>
      <c r="L287" s="35"/>
      <c r="M287" s="35"/>
      <c r="N287" s="35"/>
      <c r="O287" s="81">
        <f t="shared" si="17"/>
        <v>0</v>
      </c>
      <c r="P287" s="38"/>
      <c r="Q287" s="38"/>
      <c r="R287" s="82" t="str">
        <f t="shared" si="18"/>
        <v/>
      </c>
      <c r="S287" s="82" t="str">
        <f t="shared" si="19"/>
        <v/>
      </c>
      <c r="T287" s="83">
        <f t="shared" si="20"/>
        <v>0</v>
      </c>
      <c r="U287" s="39"/>
    </row>
    <row r="288" spans="1:21">
      <c r="A288" s="34">
        <f t="shared" si="16"/>
        <v>277</v>
      </c>
      <c r="B288" s="35"/>
      <c r="C288" s="15"/>
      <c r="D288" s="15"/>
      <c r="E288" s="15"/>
      <c r="F288" s="15"/>
      <c r="G288" s="15"/>
      <c r="H288" s="37"/>
      <c r="I288" s="35"/>
      <c r="J288" s="35"/>
      <c r="K288" s="35"/>
      <c r="L288" s="35"/>
      <c r="M288" s="35"/>
      <c r="N288" s="35"/>
      <c r="O288" s="81">
        <f t="shared" si="17"/>
        <v>0</v>
      </c>
      <c r="P288" s="38"/>
      <c r="Q288" s="38"/>
      <c r="R288" s="82" t="str">
        <f t="shared" si="18"/>
        <v/>
      </c>
      <c r="S288" s="82" t="str">
        <f t="shared" si="19"/>
        <v/>
      </c>
      <c r="T288" s="83">
        <f t="shared" si="20"/>
        <v>0</v>
      </c>
      <c r="U288" s="39"/>
    </row>
    <row r="289" spans="1:21">
      <c r="A289" s="34">
        <f t="shared" si="16"/>
        <v>278</v>
      </c>
      <c r="B289" s="35"/>
      <c r="C289" s="15"/>
      <c r="D289" s="15"/>
      <c r="E289" s="15"/>
      <c r="F289" s="15"/>
      <c r="G289" s="15"/>
      <c r="H289" s="37"/>
      <c r="I289" s="35"/>
      <c r="J289" s="35"/>
      <c r="K289" s="35"/>
      <c r="L289" s="35"/>
      <c r="M289" s="35"/>
      <c r="N289" s="35"/>
      <c r="O289" s="81">
        <f t="shared" si="17"/>
        <v>0</v>
      </c>
      <c r="P289" s="38"/>
      <c r="Q289" s="38"/>
      <c r="R289" s="82" t="str">
        <f t="shared" si="18"/>
        <v/>
      </c>
      <c r="S289" s="82" t="str">
        <f t="shared" si="19"/>
        <v/>
      </c>
      <c r="T289" s="83">
        <f t="shared" si="20"/>
        <v>0</v>
      </c>
      <c r="U289" s="39"/>
    </row>
    <row r="290" spans="1:21">
      <c r="A290" s="34">
        <f t="shared" si="16"/>
        <v>279</v>
      </c>
      <c r="B290" s="35"/>
      <c r="C290" s="15"/>
      <c r="D290" s="15"/>
      <c r="E290" s="15"/>
      <c r="F290" s="15"/>
      <c r="G290" s="15"/>
      <c r="H290" s="37"/>
      <c r="I290" s="35"/>
      <c r="J290" s="35"/>
      <c r="K290" s="35"/>
      <c r="L290" s="35"/>
      <c r="M290" s="35"/>
      <c r="N290" s="35"/>
      <c r="O290" s="81">
        <f t="shared" si="17"/>
        <v>0</v>
      </c>
      <c r="P290" s="38"/>
      <c r="Q290" s="38"/>
      <c r="R290" s="82" t="str">
        <f t="shared" si="18"/>
        <v/>
      </c>
      <c r="S290" s="82" t="str">
        <f t="shared" si="19"/>
        <v/>
      </c>
      <c r="T290" s="83">
        <f t="shared" si="20"/>
        <v>0</v>
      </c>
      <c r="U290" s="39"/>
    </row>
    <row r="291" spans="1:21">
      <c r="A291" s="34">
        <f t="shared" si="16"/>
        <v>280</v>
      </c>
      <c r="B291" s="35"/>
      <c r="C291" s="15"/>
      <c r="D291" s="15"/>
      <c r="E291" s="15"/>
      <c r="F291" s="15"/>
      <c r="G291" s="15"/>
      <c r="H291" s="37"/>
      <c r="I291" s="35"/>
      <c r="J291" s="35"/>
      <c r="K291" s="35"/>
      <c r="L291" s="35"/>
      <c r="M291" s="35"/>
      <c r="N291" s="35"/>
      <c r="O291" s="81">
        <f t="shared" si="17"/>
        <v>0</v>
      </c>
      <c r="P291" s="38"/>
      <c r="Q291" s="38"/>
      <c r="R291" s="82" t="str">
        <f t="shared" si="18"/>
        <v/>
      </c>
      <c r="S291" s="82" t="str">
        <f t="shared" si="19"/>
        <v/>
      </c>
      <c r="T291" s="83">
        <f t="shared" si="20"/>
        <v>0</v>
      </c>
      <c r="U291" s="39"/>
    </row>
    <row r="292" spans="1:21">
      <c r="A292" s="34">
        <f t="shared" si="16"/>
        <v>281</v>
      </c>
      <c r="B292" s="35"/>
      <c r="C292" s="15"/>
      <c r="D292" s="15"/>
      <c r="E292" s="15"/>
      <c r="F292" s="15"/>
      <c r="G292" s="15"/>
      <c r="H292" s="37"/>
      <c r="I292" s="35"/>
      <c r="J292" s="35"/>
      <c r="K292" s="35"/>
      <c r="L292" s="35"/>
      <c r="M292" s="35"/>
      <c r="N292" s="35"/>
      <c r="O292" s="81">
        <f t="shared" si="17"/>
        <v>0</v>
      </c>
      <c r="P292" s="38"/>
      <c r="Q292" s="38"/>
      <c r="R292" s="82" t="str">
        <f t="shared" si="18"/>
        <v/>
      </c>
      <c r="S292" s="82" t="str">
        <f t="shared" si="19"/>
        <v/>
      </c>
      <c r="T292" s="83">
        <f t="shared" si="20"/>
        <v>0</v>
      </c>
      <c r="U292" s="39"/>
    </row>
    <row r="293" spans="1:21">
      <c r="A293" s="34">
        <f t="shared" si="16"/>
        <v>282</v>
      </c>
      <c r="B293" s="35"/>
      <c r="C293" s="15"/>
      <c r="D293" s="15"/>
      <c r="E293" s="15"/>
      <c r="F293" s="15"/>
      <c r="G293" s="15"/>
      <c r="H293" s="37"/>
      <c r="I293" s="35"/>
      <c r="J293" s="35"/>
      <c r="K293" s="35"/>
      <c r="L293" s="35"/>
      <c r="M293" s="35"/>
      <c r="N293" s="35"/>
      <c r="O293" s="81">
        <f t="shared" si="17"/>
        <v>0</v>
      </c>
      <c r="P293" s="38"/>
      <c r="Q293" s="38"/>
      <c r="R293" s="82" t="str">
        <f t="shared" si="18"/>
        <v/>
      </c>
      <c r="S293" s="82" t="str">
        <f t="shared" si="19"/>
        <v/>
      </c>
      <c r="T293" s="83">
        <f t="shared" si="20"/>
        <v>0</v>
      </c>
      <c r="U293" s="39"/>
    </row>
    <row r="294" spans="1:21">
      <c r="A294" s="34">
        <f t="shared" si="16"/>
        <v>283</v>
      </c>
      <c r="B294" s="35"/>
      <c r="C294" s="15"/>
      <c r="D294" s="15"/>
      <c r="E294" s="15"/>
      <c r="F294" s="15"/>
      <c r="G294" s="15"/>
      <c r="H294" s="37"/>
      <c r="I294" s="35"/>
      <c r="J294" s="35"/>
      <c r="K294" s="35"/>
      <c r="L294" s="35"/>
      <c r="M294" s="35"/>
      <c r="N294" s="35"/>
      <c r="O294" s="81">
        <f t="shared" si="17"/>
        <v>0</v>
      </c>
      <c r="P294" s="38"/>
      <c r="Q294" s="38"/>
      <c r="R294" s="82" t="str">
        <f t="shared" si="18"/>
        <v/>
      </c>
      <c r="S294" s="82" t="str">
        <f t="shared" si="19"/>
        <v/>
      </c>
      <c r="T294" s="83">
        <f t="shared" si="20"/>
        <v>0</v>
      </c>
      <c r="U294" s="39"/>
    </row>
    <row r="295" spans="1:21">
      <c r="A295" s="34">
        <f t="shared" si="16"/>
        <v>284</v>
      </c>
      <c r="B295" s="35"/>
      <c r="C295" s="15"/>
      <c r="D295" s="15"/>
      <c r="E295" s="15"/>
      <c r="F295" s="15"/>
      <c r="G295" s="15"/>
      <c r="H295" s="37"/>
      <c r="I295" s="35"/>
      <c r="J295" s="35"/>
      <c r="K295" s="35"/>
      <c r="L295" s="35"/>
      <c r="M295" s="35"/>
      <c r="N295" s="35"/>
      <c r="O295" s="81">
        <f t="shared" si="17"/>
        <v>0</v>
      </c>
      <c r="P295" s="38"/>
      <c r="Q295" s="38"/>
      <c r="R295" s="82" t="str">
        <f t="shared" si="18"/>
        <v/>
      </c>
      <c r="S295" s="82" t="str">
        <f t="shared" si="19"/>
        <v/>
      </c>
      <c r="T295" s="83">
        <f t="shared" si="20"/>
        <v>0</v>
      </c>
      <c r="U295" s="39"/>
    </row>
    <row r="296" spans="1:21">
      <c r="A296" s="34">
        <f t="shared" si="16"/>
        <v>285</v>
      </c>
      <c r="B296" s="35"/>
      <c r="C296" s="15"/>
      <c r="D296" s="15"/>
      <c r="E296" s="15"/>
      <c r="F296" s="15"/>
      <c r="G296" s="15"/>
      <c r="H296" s="37"/>
      <c r="I296" s="35"/>
      <c r="J296" s="35"/>
      <c r="K296" s="35"/>
      <c r="L296" s="35"/>
      <c r="M296" s="35"/>
      <c r="N296" s="35"/>
      <c r="O296" s="81">
        <f t="shared" si="17"/>
        <v>0</v>
      </c>
      <c r="P296" s="38"/>
      <c r="Q296" s="38"/>
      <c r="R296" s="82" t="str">
        <f t="shared" si="18"/>
        <v/>
      </c>
      <c r="S296" s="82" t="str">
        <f t="shared" si="19"/>
        <v/>
      </c>
      <c r="T296" s="83">
        <f t="shared" si="20"/>
        <v>0</v>
      </c>
      <c r="U296" s="39"/>
    </row>
    <row r="297" spans="1:21">
      <c r="A297" s="34">
        <f t="shared" si="16"/>
        <v>286</v>
      </c>
      <c r="B297" s="35"/>
      <c r="C297" s="15"/>
      <c r="D297" s="15"/>
      <c r="E297" s="15"/>
      <c r="F297" s="15"/>
      <c r="G297" s="15"/>
      <c r="H297" s="37"/>
      <c r="I297" s="35"/>
      <c r="J297" s="35"/>
      <c r="K297" s="35"/>
      <c r="L297" s="35"/>
      <c r="M297" s="35"/>
      <c r="N297" s="35"/>
      <c r="O297" s="81">
        <f t="shared" si="17"/>
        <v>0</v>
      </c>
      <c r="P297" s="38"/>
      <c r="Q297" s="38"/>
      <c r="R297" s="82" t="str">
        <f t="shared" si="18"/>
        <v/>
      </c>
      <c r="S297" s="82" t="str">
        <f t="shared" si="19"/>
        <v/>
      </c>
      <c r="T297" s="83">
        <f t="shared" si="20"/>
        <v>0</v>
      </c>
      <c r="U297" s="39"/>
    </row>
    <row r="298" spans="1:21">
      <c r="A298" s="34">
        <f t="shared" si="16"/>
        <v>287</v>
      </c>
      <c r="B298" s="35"/>
      <c r="C298" s="15"/>
      <c r="D298" s="15"/>
      <c r="E298" s="15"/>
      <c r="F298" s="15"/>
      <c r="G298" s="15"/>
      <c r="H298" s="37"/>
      <c r="I298" s="35"/>
      <c r="J298" s="35"/>
      <c r="K298" s="35"/>
      <c r="L298" s="35"/>
      <c r="M298" s="35"/>
      <c r="N298" s="35"/>
      <c r="O298" s="81">
        <f t="shared" si="17"/>
        <v>0</v>
      </c>
      <c r="P298" s="38"/>
      <c r="Q298" s="38"/>
      <c r="R298" s="82" t="str">
        <f t="shared" si="18"/>
        <v/>
      </c>
      <c r="S298" s="82" t="str">
        <f t="shared" si="19"/>
        <v/>
      </c>
      <c r="T298" s="83">
        <f t="shared" si="20"/>
        <v>0</v>
      </c>
      <c r="U298" s="39"/>
    </row>
    <row r="299" spans="1:21">
      <c r="A299" s="34">
        <f t="shared" si="16"/>
        <v>288</v>
      </c>
      <c r="B299" s="35"/>
      <c r="C299" s="15"/>
      <c r="D299" s="15"/>
      <c r="E299" s="15"/>
      <c r="F299" s="15"/>
      <c r="G299" s="15"/>
      <c r="H299" s="37"/>
      <c r="I299" s="35"/>
      <c r="J299" s="35"/>
      <c r="K299" s="35"/>
      <c r="L299" s="35"/>
      <c r="M299" s="35"/>
      <c r="N299" s="35"/>
      <c r="O299" s="81">
        <f t="shared" si="17"/>
        <v>0</v>
      </c>
      <c r="P299" s="38"/>
      <c r="Q299" s="38"/>
      <c r="R299" s="82" t="str">
        <f t="shared" si="18"/>
        <v/>
      </c>
      <c r="S299" s="82" t="str">
        <f t="shared" si="19"/>
        <v/>
      </c>
      <c r="T299" s="83">
        <f t="shared" si="20"/>
        <v>0</v>
      </c>
      <c r="U299" s="39"/>
    </row>
    <row r="300" spans="1:21">
      <c r="A300" s="34">
        <f t="shared" si="16"/>
        <v>289</v>
      </c>
      <c r="B300" s="35"/>
      <c r="C300" s="15"/>
      <c r="D300" s="15"/>
      <c r="E300" s="15"/>
      <c r="F300" s="15"/>
      <c r="G300" s="15"/>
      <c r="H300" s="37"/>
      <c r="I300" s="35"/>
      <c r="J300" s="35"/>
      <c r="K300" s="35"/>
      <c r="L300" s="35"/>
      <c r="M300" s="35"/>
      <c r="N300" s="35"/>
      <c r="O300" s="81">
        <f t="shared" si="17"/>
        <v>0</v>
      </c>
      <c r="P300" s="38"/>
      <c r="Q300" s="38"/>
      <c r="R300" s="82" t="str">
        <f t="shared" si="18"/>
        <v/>
      </c>
      <c r="S300" s="82" t="str">
        <f t="shared" si="19"/>
        <v/>
      </c>
      <c r="T300" s="83">
        <f t="shared" si="20"/>
        <v>0</v>
      </c>
      <c r="U300" s="39"/>
    </row>
    <row r="301" spans="1:21">
      <c r="A301" s="34">
        <f t="shared" si="16"/>
        <v>290</v>
      </c>
      <c r="B301" s="35"/>
      <c r="C301" s="15"/>
      <c r="D301" s="15"/>
      <c r="E301" s="15"/>
      <c r="F301" s="15"/>
      <c r="G301" s="15"/>
      <c r="H301" s="37"/>
      <c r="I301" s="35"/>
      <c r="J301" s="35"/>
      <c r="K301" s="35"/>
      <c r="L301" s="35"/>
      <c r="M301" s="35"/>
      <c r="N301" s="35"/>
      <c r="O301" s="81">
        <f t="shared" si="17"/>
        <v>0</v>
      </c>
      <c r="P301" s="38"/>
      <c r="Q301" s="38"/>
      <c r="R301" s="82" t="str">
        <f t="shared" si="18"/>
        <v/>
      </c>
      <c r="S301" s="82" t="str">
        <f t="shared" si="19"/>
        <v/>
      </c>
      <c r="T301" s="83">
        <f t="shared" si="20"/>
        <v>0</v>
      </c>
      <c r="U301" s="39"/>
    </row>
    <row r="302" spans="1:21">
      <c r="A302" s="34">
        <f t="shared" si="16"/>
        <v>291</v>
      </c>
      <c r="B302" s="35"/>
      <c r="C302" s="15"/>
      <c r="D302" s="15"/>
      <c r="E302" s="15"/>
      <c r="F302" s="15"/>
      <c r="G302" s="15"/>
      <c r="H302" s="37"/>
      <c r="I302" s="35"/>
      <c r="J302" s="35"/>
      <c r="K302" s="35"/>
      <c r="L302" s="35"/>
      <c r="M302" s="35"/>
      <c r="N302" s="35"/>
      <c r="O302" s="81">
        <f t="shared" si="17"/>
        <v>0</v>
      </c>
      <c r="P302" s="38"/>
      <c r="Q302" s="38"/>
      <c r="R302" s="82" t="str">
        <f t="shared" si="18"/>
        <v/>
      </c>
      <c r="S302" s="82" t="str">
        <f t="shared" si="19"/>
        <v/>
      </c>
      <c r="T302" s="83">
        <f t="shared" si="20"/>
        <v>0</v>
      </c>
      <c r="U302" s="39"/>
    </row>
    <row r="303" spans="1:21">
      <c r="A303" s="34">
        <f t="shared" si="16"/>
        <v>292</v>
      </c>
      <c r="B303" s="35"/>
      <c r="C303" s="15"/>
      <c r="D303" s="15"/>
      <c r="E303" s="15"/>
      <c r="F303" s="15"/>
      <c r="G303" s="15"/>
      <c r="H303" s="37"/>
      <c r="I303" s="35"/>
      <c r="J303" s="35"/>
      <c r="K303" s="35"/>
      <c r="L303" s="35"/>
      <c r="M303" s="35"/>
      <c r="N303" s="35"/>
      <c r="O303" s="81">
        <f t="shared" si="17"/>
        <v>0</v>
      </c>
      <c r="P303" s="38"/>
      <c r="Q303" s="38"/>
      <c r="R303" s="82" t="str">
        <f t="shared" si="18"/>
        <v/>
      </c>
      <c r="S303" s="82" t="str">
        <f t="shared" si="19"/>
        <v/>
      </c>
      <c r="T303" s="83">
        <f t="shared" si="20"/>
        <v>0</v>
      </c>
      <c r="U303" s="39"/>
    </row>
    <row r="304" spans="1:21">
      <c r="A304" s="34">
        <f t="shared" si="16"/>
        <v>293</v>
      </c>
      <c r="B304" s="35"/>
      <c r="C304" s="15"/>
      <c r="D304" s="15"/>
      <c r="E304" s="15"/>
      <c r="F304" s="15"/>
      <c r="G304" s="15"/>
      <c r="H304" s="37"/>
      <c r="I304" s="35"/>
      <c r="J304" s="35"/>
      <c r="K304" s="35"/>
      <c r="L304" s="35"/>
      <c r="M304" s="35"/>
      <c r="N304" s="35"/>
      <c r="O304" s="81">
        <f t="shared" si="17"/>
        <v>0</v>
      </c>
      <c r="P304" s="38"/>
      <c r="Q304" s="38"/>
      <c r="R304" s="82" t="str">
        <f t="shared" si="18"/>
        <v/>
      </c>
      <c r="S304" s="82" t="str">
        <f t="shared" si="19"/>
        <v/>
      </c>
      <c r="T304" s="83">
        <f t="shared" si="20"/>
        <v>0</v>
      </c>
      <c r="U304" s="39"/>
    </row>
    <row r="305" spans="1:21">
      <c r="A305" s="34">
        <f t="shared" si="16"/>
        <v>294</v>
      </c>
      <c r="B305" s="35"/>
      <c r="C305" s="15"/>
      <c r="D305" s="15"/>
      <c r="E305" s="15"/>
      <c r="F305" s="15"/>
      <c r="G305" s="15"/>
      <c r="H305" s="37"/>
      <c r="I305" s="35"/>
      <c r="J305" s="35"/>
      <c r="K305" s="35"/>
      <c r="L305" s="35"/>
      <c r="M305" s="35"/>
      <c r="N305" s="35"/>
      <c r="O305" s="81">
        <f t="shared" si="17"/>
        <v>0</v>
      </c>
      <c r="P305" s="38"/>
      <c r="Q305" s="38"/>
      <c r="R305" s="82" t="str">
        <f t="shared" si="18"/>
        <v/>
      </c>
      <c r="S305" s="82" t="str">
        <f t="shared" si="19"/>
        <v/>
      </c>
      <c r="T305" s="83">
        <f t="shared" si="20"/>
        <v>0</v>
      </c>
      <c r="U305" s="39"/>
    </row>
    <row r="306" spans="1:21">
      <c r="A306" s="34">
        <f t="shared" si="16"/>
        <v>295</v>
      </c>
      <c r="B306" s="35"/>
      <c r="C306" s="15"/>
      <c r="D306" s="15"/>
      <c r="E306" s="15"/>
      <c r="F306" s="15"/>
      <c r="G306" s="15"/>
      <c r="H306" s="37"/>
      <c r="I306" s="35"/>
      <c r="J306" s="35"/>
      <c r="K306" s="35"/>
      <c r="L306" s="35"/>
      <c r="M306" s="35"/>
      <c r="N306" s="35"/>
      <c r="O306" s="81">
        <f t="shared" si="17"/>
        <v>0</v>
      </c>
      <c r="P306" s="38"/>
      <c r="Q306" s="38"/>
      <c r="R306" s="82" t="str">
        <f t="shared" si="18"/>
        <v/>
      </c>
      <c r="S306" s="82" t="str">
        <f t="shared" si="19"/>
        <v/>
      </c>
      <c r="T306" s="83">
        <f t="shared" si="20"/>
        <v>0</v>
      </c>
      <c r="U306" s="39"/>
    </row>
    <row r="307" spans="1:21">
      <c r="A307" s="34">
        <f t="shared" si="16"/>
        <v>296</v>
      </c>
      <c r="B307" s="35"/>
      <c r="C307" s="15"/>
      <c r="D307" s="15"/>
      <c r="E307" s="15"/>
      <c r="F307" s="15"/>
      <c r="G307" s="15"/>
      <c r="H307" s="37"/>
      <c r="I307" s="35"/>
      <c r="J307" s="35"/>
      <c r="K307" s="35"/>
      <c r="L307" s="35"/>
      <c r="M307" s="35"/>
      <c r="N307" s="35"/>
      <c r="O307" s="81">
        <f t="shared" si="17"/>
        <v>0</v>
      </c>
      <c r="P307" s="38"/>
      <c r="Q307" s="38"/>
      <c r="R307" s="82" t="str">
        <f t="shared" si="18"/>
        <v/>
      </c>
      <c r="S307" s="82" t="str">
        <f t="shared" si="19"/>
        <v/>
      </c>
      <c r="T307" s="83">
        <f t="shared" si="20"/>
        <v>0</v>
      </c>
      <c r="U307" s="39"/>
    </row>
    <row r="308" spans="1:21">
      <c r="A308" s="34">
        <f t="shared" si="16"/>
        <v>297</v>
      </c>
      <c r="B308" s="35"/>
      <c r="C308" s="15"/>
      <c r="D308" s="15"/>
      <c r="E308" s="15"/>
      <c r="F308" s="15"/>
      <c r="G308" s="15"/>
      <c r="H308" s="37"/>
      <c r="I308" s="35"/>
      <c r="J308" s="35"/>
      <c r="K308" s="35"/>
      <c r="L308" s="35"/>
      <c r="M308" s="35"/>
      <c r="N308" s="35"/>
      <c r="O308" s="81">
        <f t="shared" si="17"/>
        <v>0</v>
      </c>
      <c r="P308" s="38"/>
      <c r="Q308" s="38"/>
      <c r="R308" s="82" t="str">
        <f t="shared" si="18"/>
        <v/>
      </c>
      <c r="S308" s="82" t="str">
        <f t="shared" si="19"/>
        <v/>
      </c>
      <c r="T308" s="83">
        <f t="shared" si="20"/>
        <v>0</v>
      </c>
      <c r="U308" s="39"/>
    </row>
    <row r="309" spans="1:21">
      <c r="A309" s="34">
        <f t="shared" si="16"/>
        <v>298</v>
      </c>
      <c r="B309" s="35"/>
      <c r="C309" s="15"/>
      <c r="D309" s="15"/>
      <c r="E309" s="15"/>
      <c r="F309" s="15"/>
      <c r="G309" s="15"/>
      <c r="H309" s="37"/>
      <c r="I309" s="35"/>
      <c r="J309" s="35"/>
      <c r="K309" s="35"/>
      <c r="L309" s="35"/>
      <c r="M309" s="35"/>
      <c r="N309" s="35"/>
      <c r="O309" s="81">
        <f t="shared" si="17"/>
        <v>0</v>
      </c>
      <c r="P309" s="38"/>
      <c r="Q309" s="38"/>
      <c r="R309" s="82" t="str">
        <f t="shared" si="18"/>
        <v/>
      </c>
      <c r="S309" s="82" t="str">
        <f t="shared" si="19"/>
        <v/>
      </c>
      <c r="T309" s="83">
        <f t="shared" si="20"/>
        <v>0</v>
      </c>
      <c r="U309" s="39"/>
    </row>
    <row r="310" spans="1:21">
      <c r="A310" s="34">
        <f t="shared" si="16"/>
        <v>299</v>
      </c>
      <c r="B310" s="35"/>
      <c r="C310" s="15"/>
      <c r="D310" s="15"/>
      <c r="E310" s="15"/>
      <c r="F310" s="15"/>
      <c r="G310" s="15"/>
      <c r="H310" s="37"/>
      <c r="I310" s="35"/>
      <c r="J310" s="35"/>
      <c r="K310" s="35"/>
      <c r="L310" s="35"/>
      <c r="M310" s="35"/>
      <c r="N310" s="35"/>
      <c r="O310" s="81">
        <f t="shared" si="17"/>
        <v>0</v>
      </c>
      <c r="P310" s="38"/>
      <c r="Q310" s="38"/>
      <c r="R310" s="82" t="str">
        <f t="shared" si="18"/>
        <v/>
      </c>
      <c r="S310" s="82" t="str">
        <f t="shared" si="19"/>
        <v/>
      </c>
      <c r="T310" s="83">
        <f t="shared" si="20"/>
        <v>0</v>
      </c>
      <c r="U310" s="39"/>
    </row>
    <row r="311" spans="1:21">
      <c r="A311" s="34">
        <f t="shared" si="16"/>
        <v>300</v>
      </c>
      <c r="B311" s="35"/>
      <c r="C311" s="5"/>
      <c r="D311" s="5"/>
      <c r="E311" s="6"/>
      <c r="F311" s="6"/>
      <c r="G311" s="6"/>
      <c r="H311" s="37"/>
      <c r="I311" s="35"/>
      <c r="J311" s="35"/>
      <c r="K311" s="35"/>
      <c r="L311" s="35"/>
      <c r="M311" s="35"/>
      <c r="N311" s="35"/>
      <c r="O311" s="81">
        <f t="shared" si="17"/>
        <v>0</v>
      </c>
      <c r="P311" s="38"/>
      <c r="Q311" s="38"/>
      <c r="R311" s="82" t="str">
        <f t="shared" si="18"/>
        <v/>
      </c>
      <c r="S311" s="82" t="str">
        <f t="shared" si="19"/>
        <v/>
      </c>
      <c r="T311" s="83">
        <f t="shared" si="20"/>
        <v>0</v>
      </c>
      <c r="U311" s="39"/>
    </row>
    <row r="312" spans="1:21">
      <c r="A312" s="34">
        <f t="shared" si="16"/>
        <v>301</v>
      </c>
      <c r="B312" s="35"/>
      <c r="C312" s="5"/>
      <c r="D312" s="5"/>
      <c r="E312" s="6"/>
      <c r="F312" s="6"/>
      <c r="G312" s="6"/>
      <c r="H312" s="37"/>
      <c r="I312" s="35"/>
      <c r="J312" s="35"/>
      <c r="K312" s="35"/>
      <c r="L312" s="35"/>
      <c r="M312" s="35"/>
      <c r="N312" s="35"/>
      <c r="O312" s="81">
        <f t="shared" si="17"/>
        <v>0</v>
      </c>
      <c r="P312" s="38"/>
      <c r="Q312" s="38"/>
      <c r="R312" s="82" t="str">
        <f t="shared" si="18"/>
        <v/>
      </c>
      <c r="S312" s="82" t="str">
        <f t="shared" si="19"/>
        <v/>
      </c>
      <c r="T312" s="83">
        <f t="shared" si="20"/>
        <v>0</v>
      </c>
      <c r="U312" s="39"/>
    </row>
    <row r="313" spans="1:21">
      <c r="A313" s="34">
        <f t="shared" si="16"/>
        <v>302</v>
      </c>
      <c r="B313" s="35"/>
      <c r="C313" s="5"/>
      <c r="D313" s="5"/>
      <c r="E313" s="6"/>
      <c r="F313" s="6"/>
      <c r="G313" s="6"/>
      <c r="H313" s="37"/>
      <c r="I313" s="35"/>
      <c r="J313" s="35"/>
      <c r="K313" s="35"/>
      <c r="L313" s="35"/>
      <c r="M313" s="35"/>
      <c r="N313" s="35"/>
      <c r="O313" s="81">
        <f t="shared" si="17"/>
        <v>0</v>
      </c>
      <c r="P313" s="38"/>
      <c r="Q313" s="38"/>
      <c r="R313" s="82" t="str">
        <f t="shared" si="18"/>
        <v/>
      </c>
      <c r="S313" s="82" t="str">
        <f t="shared" si="19"/>
        <v/>
      </c>
      <c r="T313" s="83">
        <f t="shared" si="20"/>
        <v>0</v>
      </c>
      <c r="U313" s="39"/>
    </row>
    <row r="314" spans="1:21">
      <c r="A314" s="34">
        <f t="shared" si="16"/>
        <v>303</v>
      </c>
      <c r="B314" s="35"/>
      <c r="C314" s="5"/>
      <c r="D314" s="5"/>
      <c r="E314" s="6"/>
      <c r="F314" s="6"/>
      <c r="G314" s="6"/>
      <c r="H314" s="37"/>
      <c r="I314" s="35"/>
      <c r="J314" s="35"/>
      <c r="K314" s="35"/>
      <c r="L314" s="35"/>
      <c r="M314" s="35"/>
      <c r="N314" s="35"/>
      <c r="O314" s="81">
        <f t="shared" si="17"/>
        <v>0</v>
      </c>
      <c r="P314" s="38"/>
      <c r="Q314" s="38"/>
      <c r="R314" s="82" t="str">
        <f t="shared" si="18"/>
        <v/>
      </c>
      <c r="S314" s="82" t="str">
        <f t="shared" si="19"/>
        <v/>
      </c>
      <c r="T314" s="83">
        <f t="shared" si="20"/>
        <v>0</v>
      </c>
      <c r="U314" s="39"/>
    </row>
    <row r="315" spans="1:21">
      <c r="A315" s="34">
        <f t="shared" si="16"/>
        <v>304</v>
      </c>
      <c r="B315" s="35"/>
      <c r="C315" s="5"/>
      <c r="D315" s="5"/>
      <c r="E315" s="6"/>
      <c r="F315" s="6"/>
      <c r="G315" s="6"/>
      <c r="H315" s="37"/>
      <c r="I315" s="35"/>
      <c r="J315" s="35"/>
      <c r="K315" s="35"/>
      <c r="L315" s="35"/>
      <c r="M315" s="35"/>
      <c r="N315" s="35"/>
      <c r="O315" s="81">
        <f t="shared" si="17"/>
        <v>0</v>
      </c>
      <c r="P315" s="38"/>
      <c r="Q315" s="38"/>
      <c r="R315" s="82" t="str">
        <f t="shared" si="18"/>
        <v/>
      </c>
      <c r="S315" s="82" t="str">
        <f t="shared" si="19"/>
        <v/>
      </c>
      <c r="T315" s="83">
        <f t="shared" si="20"/>
        <v>0</v>
      </c>
      <c r="U315" s="39"/>
    </row>
    <row r="316" spans="1:21">
      <c r="A316" s="34">
        <f t="shared" si="16"/>
        <v>305</v>
      </c>
      <c r="B316" s="35"/>
      <c r="C316" s="5"/>
      <c r="D316" s="5"/>
      <c r="E316" s="6"/>
      <c r="F316" s="6"/>
      <c r="G316" s="6"/>
      <c r="H316" s="37"/>
      <c r="I316" s="35"/>
      <c r="J316" s="35"/>
      <c r="K316" s="35"/>
      <c r="L316" s="35"/>
      <c r="M316" s="35"/>
      <c r="N316" s="35"/>
      <c r="O316" s="81">
        <f t="shared" si="17"/>
        <v>0</v>
      </c>
      <c r="P316" s="38"/>
      <c r="Q316" s="38"/>
      <c r="R316" s="82" t="str">
        <f t="shared" si="18"/>
        <v/>
      </c>
      <c r="S316" s="82" t="str">
        <f t="shared" si="19"/>
        <v/>
      </c>
      <c r="T316" s="83">
        <f t="shared" si="20"/>
        <v>0</v>
      </c>
      <c r="U316" s="39"/>
    </row>
    <row r="317" spans="1:21">
      <c r="A317" s="34">
        <f t="shared" si="16"/>
        <v>306</v>
      </c>
      <c r="B317" s="35"/>
      <c r="C317" s="5"/>
      <c r="D317" s="5"/>
      <c r="E317" s="6"/>
      <c r="F317" s="6"/>
      <c r="G317" s="6"/>
      <c r="H317" s="37"/>
      <c r="I317" s="35"/>
      <c r="J317" s="35"/>
      <c r="K317" s="35"/>
      <c r="L317" s="35"/>
      <c r="M317" s="35"/>
      <c r="N317" s="35"/>
      <c r="O317" s="81">
        <f t="shared" si="17"/>
        <v>0</v>
      </c>
      <c r="P317" s="38"/>
      <c r="Q317" s="38"/>
      <c r="R317" s="82" t="str">
        <f t="shared" si="18"/>
        <v/>
      </c>
      <c r="S317" s="82" t="str">
        <f t="shared" si="19"/>
        <v/>
      </c>
      <c r="T317" s="83">
        <f t="shared" si="20"/>
        <v>0</v>
      </c>
      <c r="U317" s="39"/>
    </row>
    <row r="318" spans="1:21">
      <c r="A318" s="34">
        <f t="shared" si="16"/>
        <v>307</v>
      </c>
      <c r="B318" s="35"/>
      <c r="C318" s="5"/>
      <c r="D318" s="5"/>
      <c r="E318" s="6"/>
      <c r="F318" s="6"/>
      <c r="G318" s="6"/>
      <c r="H318" s="37"/>
      <c r="I318" s="35"/>
      <c r="J318" s="35"/>
      <c r="K318" s="35"/>
      <c r="L318" s="35"/>
      <c r="M318" s="35"/>
      <c r="N318" s="35"/>
      <c r="O318" s="81">
        <f t="shared" si="17"/>
        <v>0</v>
      </c>
      <c r="P318" s="38"/>
      <c r="Q318" s="38"/>
      <c r="R318" s="82" t="str">
        <f t="shared" si="18"/>
        <v/>
      </c>
      <c r="S318" s="82" t="str">
        <f t="shared" si="19"/>
        <v/>
      </c>
      <c r="T318" s="83">
        <f t="shared" si="20"/>
        <v>0</v>
      </c>
      <c r="U318" s="39"/>
    </row>
    <row r="319" spans="1:21">
      <c r="A319" s="34">
        <f t="shared" si="16"/>
        <v>308</v>
      </c>
      <c r="B319" s="35"/>
      <c r="C319" s="5"/>
      <c r="D319" s="5"/>
      <c r="E319" s="6"/>
      <c r="F319" s="6"/>
      <c r="G319" s="6"/>
      <c r="H319" s="37"/>
      <c r="I319" s="35"/>
      <c r="J319" s="35"/>
      <c r="K319" s="35"/>
      <c r="L319" s="35"/>
      <c r="M319" s="35"/>
      <c r="N319" s="35"/>
      <c r="O319" s="81">
        <f t="shared" si="17"/>
        <v>0</v>
      </c>
      <c r="P319" s="38"/>
      <c r="Q319" s="38"/>
      <c r="R319" s="82" t="str">
        <f t="shared" si="18"/>
        <v/>
      </c>
      <c r="S319" s="82" t="str">
        <f t="shared" si="19"/>
        <v/>
      </c>
      <c r="T319" s="83">
        <f t="shared" si="20"/>
        <v>0</v>
      </c>
      <c r="U319" s="39"/>
    </row>
    <row r="320" spans="1:21">
      <c r="A320" s="34">
        <f t="shared" si="16"/>
        <v>309</v>
      </c>
      <c r="B320" s="35"/>
      <c r="C320" s="5"/>
      <c r="D320" s="5"/>
      <c r="E320" s="6"/>
      <c r="F320" s="6"/>
      <c r="G320" s="6"/>
      <c r="H320" s="37"/>
      <c r="I320" s="35"/>
      <c r="J320" s="35"/>
      <c r="K320" s="35"/>
      <c r="L320" s="35"/>
      <c r="M320" s="35"/>
      <c r="N320" s="35"/>
      <c r="O320" s="81">
        <f t="shared" si="17"/>
        <v>0</v>
      </c>
      <c r="P320" s="38"/>
      <c r="Q320" s="38"/>
      <c r="R320" s="82" t="str">
        <f t="shared" si="18"/>
        <v/>
      </c>
      <c r="S320" s="82" t="str">
        <f t="shared" si="19"/>
        <v/>
      </c>
      <c r="T320" s="83">
        <f t="shared" si="20"/>
        <v>0</v>
      </c>
      <c r="U320" s="39"/>
    </row>
    <row r="321" spans="1:21">
      <c r="A321" s="34">
        <f t="shared" si="16"/>
        <v>310</v>
      </c>
      <c r="B321" s="35"/>
      <c r="C321" s="5"/>
      <c r="D321" s="5"/>
      <c r="E321" s="6"/>
      <c r="F321" s="6"/>
      <c r="G321" s="6"/>
      <c r="H321" s="37"/>
      <c r="I321" s="35"/>
      <c r="J321" s="35"/>
      <c r="K321" s="35"/>
      <c r="L321" s="35"/>
      <c r="M321" s="35"/>
      <c r="N321" s="35"/>
      <c r="O321" s="81">
        <f t="shared" si="17"/>
        <v>0</v>
      </c>
      <c r="P321" s="38"/>
      <c r="Q321" s="38"/>
      <c r="R321" s="82" t="str">
        <f t="shared" si="18"/>
        <v/>
      </c>
      <c r="S321" s="82" t="str">
        <f t="shared" si="19"/>
        <v/>
      </c>
      <c r="T321" s="83">
        <f t="shared" si="20"/>
        <v>0</v>
      </c>
      <c r="U321" s="39"/>
    </row>
    <row r="322" spans="1:21">
      <c r="A322" s="34">
        <f t="shared" si="16"/>
        <v>311</v>
      </c>
      <c r="B322" s="35"/>
      <c r="C322" s="5"/>
      <c r="D322" s="5"/>
      <c r="E322" s="6"/>
      <c r="F322" s="6"/>
      <c r="G322" s="6"/>
      <c r="H322" s="37"/>
      <c r="I322" s="35"/>
      <c r="J322" s="35"/>
      <c r="K322" s="35"/>
      <c r="L322" s="35"/>
      <c r="M322" s="35"/>
      <c r="N322" s="35"/>
      <c r="O322" s="81">
        <f t="shared" si="17"/>
        <v>0</v>
      </c>
      <c r="P322" s="38"/>
      <c r="Q322" s="38"/>
      <c r="R322" s="82" t="str">
        <f t="shared" si="18"/>
        <v/>
      </c>
      <c r="S322" s="82" t="str">
        <f t="shared" si="19"/>
        <v/>
      </c>
      <c r="T322" s="83">
        <f t="shared" si="20"/>
        <v>0</v>
      </c>
      <c r="U322" s="39"/>
    </row>
    <row r="323" spans="1:21">
      <c r="A323" s="34">
        <f t="shared" si="16"/>
        <v>312</v>
      </c>
      <c r="B323" s="35"/>
      <c r="C323" s="5"/>
      <c r="D323" s="5"/>
      <c r="E323" s="6"/>
      <c r="F323" s="6"/>
      <c r="G323" s="6"/>
      <c r="H323" s="37"/>
      <c r="I323" s="35"/>
      <c r="J323" s="35"/>
      <c r="K323" s="35"/>
      <c r="L323" s="35"/>
      <c r="M323" s="35"/>
      <c r="N323" s="35"/>
      <c r="O323" s="81">
        <f t="shared" si="17"/>
        <v>0</v>
      </c>
      <c r="P323" s="38"/>
      <c r="Q323" s="38"/>
      <c r="R323" s="82" t="str">
        <f t="shared" si="18"/>
        <v/>
      </c>
      <c r="S323" s="82" t="str">
        <f t="shared" si="19"/>
        <v/>
      </c>
      <c r="T323" s="83">
        <f t="shared" si="20"/>
        <v>0</v>
      </c>
      <c r="U323" s="39"/>
    </row>
    <row r="324" spans="1:21">
      <c r="A324" s="34">
        <f t="shared" si="16"/>
        <v>313</v>
      </c>
      <c r="B324" s="35"/>
      <c r="C324" s="5"/>
      <c r="D324" s="5"/>
      <c r="E324" s="6"/>
      <c r="F324" s="6"/>
      <c r="G324" s="6"/>
      <c r="H324" s="37"/>
      <c r="I324" s="35"/>
      <c r="J324" s="35"/>
      <c r="K324" s="35"/>
      <c r="L324" s="35"/>
      <c r="M324" s="35"/>
      <c r="N324" s="35"/>
      <c r="O324" s="81">
        <f t="shared" si="17"/>
        <v>0</v>
      </c>
      <c r="P324" s="38"/>
      <c r="Q324" s="38"/>
      <c r="R324" s="82" t="str">
        <f t="shared" si="18"/>
        <v/>
      </c>
      <c r="S324" s="82" t="str">
        <f t="shared" si="19"/>
        <v/>
      </c>
      <c r="T324" s="83">
        <f t="shared" si="20"/>
        <v>0</v>
      </c>
      <c r="U324" s="39"/>
    </row>
    <row r="325" spans="1:21">
      <c r="A325" s="34">
        <f t="shared" si="16"/>
        <v>314</v>
      </c>
      <c r="B325" s="35"/>
      <c r="C325" s="5"/>
      <c r="D325" s="5"/>
      <c r="E325" s="6"/>
      <c r="F325" s="6"/>
      <c r="G325" s="6"/>
      <c r="H325" s="37"/>
      <c r="I325" s="35"/>
      <c r="J325" s="35"/>
      <c r="K325" s="35"/>
      <c r="L325" s="35"/>
      <c r="M325" s="35"/>
      <c r="N325" s="35"/>
      <c r="O325" s="81">
        <f t="shared" si="17"/>
        <v>0</v>
      </c>
      <c r="P325" s="38"/>
      <c r="Q325" s="38"/>
      <c r="R325" s="82" t="str">
        <f t="shared" si="18"/>
        <v/>
      </c>
      <c r="S325" s="82" t="str">
        <f t="shared" si="19"/>
        <v/>
      </c>
      <c r="T325" s="83">
        <f t="shared" si="20"/>
        <v>0</v>
      </c>
      <c r="U325" s="39"/>
    </row>
    <row r="326" spans="1:21">
      <c r="A326" s="34">
        <f t="shared" si="16"/>
        <v>315</v>
      </c>
      <c r="B326" s="35"/>
      <c r="C326" s="5"/>
      <c r="D326" s="5"/>
      <c r="E326" s="6"/>
      <c r="F326" s="6"/>
      <c r="G326" s="6"/>
      <c r="H326" s="37"/>
      <c r="I326" s="35"/>
      <c r="J326" s="35"/>
      <c r="K326" s="35"/>
      <c r="L326" s="35"/>
      <c r="M326" s="35"/>
      <c r="N326" s="35"/>
      <c r="O326" s="81">
        <f t="shared" si="17"/>
        <v>0</v>
      </c>
      <c r="P326" s="38"/>
      <c r="Q326" s="38"/>
      <c r="R326" s="82" t="str">
        <f t="shared" si="18"/>
        <v/>
      </c>
      <c r="S326" s="82" t="str">
        <f t="shared" si="19"/>
        <v/>
      </c>
      <c r="T326" s="83">
        <f t="shared" si="20"/>
        <v>0</v>
      </c>
      <c r="U326" s="39"/>
    </row>
    <row r="327" spans="1:21">
      <c r="A327" s="34">
        <f t="shared" si="16"/>
        <v>316</v>
      </c>
      <c r="B327" s="35"/>
      <c r="C327" s="5"/>
      <c r="D327" s="5"/>
      <c r="E327" s="6"/>
      <c r="F327" s="6"/>
      <c r="G327" s="6"/>
      <c r="H327" s="37"/>
      <c r="I327" s="35"/>
      <c r="J327" s="35"/>
      <c r="K327" s="35"/>
      <c r="L327" s="35"/>
      <c r="M327" s="35"/>
      <c r="N327" s="35"/>
      <c r="O327" s="81">
        <f t="shared" si="17"/>
        <v>0</v>
      </c>
      <c r="P327" s="38"/>
      <c r="Q327" s="38"/>
      <c r="R327" s="82" t="str">
        <f t="shared" si="18"/>
        <v/>
      </c>
      <c r="S327" s="82" t="str">
        <f t="shared" si="19"/>
        <v/>
      </c>
      <c r="T327" s="83">
        <f t="shared" si="20"/>
        <v>0</v>
      </c>
      <c r="U327" s="39"/>
    </row>
    <row r="328" spans="1:21">
      <c r="A328" s="34">
        <f t="shared" si="16"/>
        <v>317</v>
      </c>
      <c r="B328" s="35"/>
      <c r="C328" s="5"/>
      <c r="D328" s="5"/>
      <c r="E328" s="6"/>
      <c r="F328" s="6"/>
      <c r="G328" s="6"/>
      <c r="H328" s="37"/>
      <c r="I328" s="35"/>
      <c r="J328" s="35"/>
      <c r="K328" s="35"/>
      <c r="L328" s="35"/>
      <c r="M328" s="35"/>
      <c r="N328" s="35"/>
      <c r="O328" s="81">
        <f t="shared" si="17"/>
        <v>0</v>
      </c>
      <c r="P328" s="38"/>
      <c r="Q328" s="38"/>
      <c r="R328" s="82" t="str">
        <f t="shared" si="18"/>
        <v/>
      </c>
      <c r="S328" s="82" t="str">
        <f t="shared" si="19"/>
        <v/>
      </c>
      <c r="T328" s="83">
        <f t="shared" si="20"/>
        <v>0</v>
      </c>
      <c r="U328" s="39"/>
    </row>
    <row r="329" spans="1:21">
      <c r="A329" s="34">
        <f t="shared" si="16"/>
        <v>318</v>
      </c>
      <c r="B329" s="35"/>
      <c r="C329" s="5"/>
      <c r="D329" s="5"/>
      <c r="E329" s="6"/>
      <c r="F329" s="6"/>
      <c r="G329" s="6"/>
      <c r="H329" s="37"/>
      <c r="I329" s="35"/>
      <c r="J329" s="35"/>
      <c r="K329" s="35"/>
      <c r="L329" s="35"/>
      <c r="M329" s="35"/>
      <c r="N329" s="35"/>
      <c r="O329" s="81">
        <f t="shared" si="17"/>
        <v>0</v>
      </c>
      <c r="P329" s="38"/>
      <c r="Q329" s="38"/>
      <c r="R329" s="82" t="str">
        <f t="shared" si="18"/>
        <v/>
      </c>
      <c r="S329" s="82" t="str">
        <f t="shared" si="19"/>
        <v/>
      </c>
      <c r="T329" s="83">
        <f t="shared" si="20"/>
        <v>0</v>
      </c>
      <c r="U329" s="39"/>
    </row>
    <row r="330" spans="1:21">
      <c r="A330" s="34">
        <f t="shared" si="16"/>
        <v>319</v>
      </c>
      <c r="B330" s="35"/>
      <c r="C330" s="5"/>
      <c r="D330" s="5"/>
      <c r="E330" s="6"/>
      <c r="F330" s="6"/>
      <c r="G330" s="6"/>
      <c r="H330" s="37"/>
      <c r="I330" s="35"/>
      <c r="J330" s="35"/>
      <c r="K330" s="35"/>
      <c r="L330" s="35"/>
      <c r="M330" s="35"/>
      <c r="N330" s="35"/>
      <c r="O330" s="81">
        <f t="shared" si="17"/>
        <v>0</v>
      </c>
      <c r="P330" s="38"/>
      <c r="Q330" s="38"/>
      <c r="R330" s="82" t="str">
        <f t="shared" si="18"/>
        <v/>
      </c>
      <c r="S330" s="82" t="str">
        <f t="shared" si="19"/>
        <v/>
      </c>
      <c r="T330" s="83">
        <f t="shared" si="20"/>
        <v>0</v>
      </c>
      <c r="U330" s="39"/>
    </row>
    <row r="331" spans="1:21">
      <c r="A331" s="34">
        <f t="shared" si="16"/>
        <v>320</v>
      </c>
      <c r="B331" s="35"/>
      <c r="C331" s="5"/>
      <c r="D331" s="5"/>
      <c r="E331" s="6"/>
      <c r="F331" s="6"/>
      <c r="G331" s="6"/>
      <c r="H331" s="37"/>
      <c r="I331" s="35"/>
      <c r="J331" s="35"/>
      <c r="K331" s="35"/>
      <c r="L331" s="35"/>
      <c r="M331" s="35"/>
      <c r="N331" s="35"/>
      <c r="O331" s="81">
        <f t="shared" si="17"/>
        <v>0</v>
      </c>
      <c r="P331" s="38"/>
      <c r="Q331" s="38"/>
      <c r="R331" s="82" t="str">
        <f t="shared" si="18"/>
        <v/>
      </c>
      <c r="S331" s="82" t="str">
        <f t="shared" si="19"/>
        <v/>
      </c>
      <c r="T331" s="83">
        <f t="shared" si="20"/>
        <v>0</v>
      </c>
      <c r="U331" s="39"/>
    </row>
    <row r="332" spans="1:21">
      <c r="A332" s="34">
        <f t="shared" ref="A332:A395" si="21">ROW() - ROW(FRegEntriesEnteredHdr)</f>
        <v>321</v>
      </c>
      <c r="B332" s="35"/>
      <c r="C332" s="5"/>
      <c r="D332" s="5"/>
      <c r="E332" s="6"/>
      <c r="F332" s="6"/>
      <c r="G332" s="6"/>
      <c r="H332" s="37"/>
      <c r="I332" s="35"/>
      <c r="J332" s="35"/>
      <c r="K332" s="35"/>
      <c r="L332" s="35"/>
      <c r="M332" s="35"/>
      <c r="N332" s="35"/>
      <c r="O332" s="81">
        <f t="shared" ref="O332:O395" si="22">T332*N332</f>
        <v>0</v>
      </c>
      <c r="P332" s="38"/>
      <c r="Q332" s="38"/>
      <c r="R332" s="82" t="str">
        <f t="shared" ref="R332:R395" si="23">IF(OR(P332="c",P332="C"),+T332,"")</f>
        <v/>
      </c>
      <c r="S332" s="82" t="str">
        <f t="shared" ref="S332:S395" si="24">IF(OR(P332="$",N332=1),+T332,"")</f>
        <v/>
      </c>
      <c r="T332" s="83">
        <f t="shared" ref="T332:T395" si="25">B332*FRegMainSetUpEntryFee + H332*FRegMainSetUpPool1Fee + I332*FRegMainSetUpPool2Fee + J332*FRegMainSetUpPool3Fee + K332*FRegMainSetUpPool4Fee</f>
        <v>0</v>
      </c>
      <c r="U332" s="39"/>
    </row>
    <row r="333" spans="1:21">
      <c r="A333" s="34">
        <f t="shared" si="21"/>
        <v>322</v>
      </c>
      <c r="B333" s="35"/>
      <c r="C333" s="5"/>
      <c r="D333" s="5"/>
      <c r="E333" s="6"/>
      <c r="F333" s="6"/>
      <c r="G333" s="6"/>
      <c r="H333" s="37"/>
      <c r="I333" s="35"/>
      <c r="J333" s="35"/>
      <c r="K333" s="35"/>
      <c r="L333" s="35"/>
      <c r="M333" s="35"/>
      <c r="N333" s="35"/>
      <c r="O333" s="81">
        <f t="shared" si="22"/>
        <v>0</v>
      </c>
      <c r="P333" s="38"/>
      <c r="Q333" s="38"/>
      <c r="R333" s="82" t="str">
        <f t="shared" si="23"/>
        <v/>
      </c>
      <c r="S333" s="82" t="str">
        <f t="shared" si="24"/>
        <v/>
      </c>
      <c r="T333" s="83">
        <f t="shared" si="25"/>
        <v>0</v>
      </c>
      <c r="U333" s="39"/>
    </row>
    <row r="334" spans="1:21">
      <c r="A334" s="34">
        <f t="shared" si="21"/>
        <v>323</v>
      </c>
      <c r="B334" s="35"/>
      <c r="C334" s="5"/>
      <c r="D334" s="5"/>
      <c r="E334" s="6"/>
      <c r="F334" s="6"/>
      <c r="G334" s="6"/>
      <c r="H334" s="37"/>
      <c r="I334" s="35"/>
      <c r="J334" s="35"/>
      <c r="K334" s="35"/>
      <c r="L334" s="35"/>
      <c r="M334" s="35"/>
      <c r="N334" s="35"/>
      <c r="O334" s="81">
        <f t="shared" si="22"/>
        <v>0</v>
      </c>
      <c r="P334" s="38"/>
      <c r="Q334" s="38"/>
      <c r="R334" s="82" t="str">
        <f t="shared" si="23"/>
        <v/>
      </c>
      <c r="S334" s="82" t="str">
        <f t="shared" si="24"/>
        <v/>
      </c>
      <c r="T334" s="83">
        <f t="shared" si="25"/>
        <v>0</v>
      </c>
      <c r="U334" s="39"/>
    </row>
    <row r="335" spans="1:21">
      <c r="A335" s="34">
        <f t="shared" si="21"/>
        <v>324</v>
      </c>
      <c r="B335" s="35"/>
      <c r="C335" s="5"/>
      <c r="D335" s="5"/>
      <c r="E335" s="6"/>
      <c r="F335" s="6"/>
      <c r="G335" s="6"/>
      <c r="H335" s="37"/>
      <c r="I335" s="35"/>
      <c r="J335" s="35"/>
      <c r="K335" s="35"/>
      <c r="L335" s="35"/>
      <c r="M335" s="35"/>
      <c r="N335" s="35"/>
      <c r="O335" s="81">
        <f t="shared" si="22"/>
        <v>0</v>
      </c>
      <c r="P335" s="38"/>
      <c r="Q335" s="38"/>
      <c r="R335" s="82" t="str">
        <f t="shared" si="23"/>
        <v/>
      </c>
      <c r="S335" s="82" t="str">
        <f t="shared" si="24"/>
        <v/>
      </c>
      <c r="T335" s="83">
        <f t="shared" si="25"/>
        <v>0</v>
      </c>
      <c r="U335" s="39"/>
    </row>
    <row r="336" spans="1:21">
      <c r="A336" s="34">
        <f t="shared" si="21"/>
        <v>325</v>
      </c>
      <c r="B336" s="35"/>
      <c r="C336" s="5"/>
      <c r="D336" s="5"/>
      <c r="E336" s="6"/>
      <c r="F336" s="6"/>
      <c r="G336" s="6"/>
      <c r="H336" s="37"/>
      <c r="I336" s="35"/>
      <c r="J336" s="35"/>
      <c r="K336" s="35"/>
      <c r="L336" s="35"/>
      <c r="M336" s="35"/>
      <c r="N336" s="35"/>
      <c r="O336" s="81">
        <f t="shared" si="22"/>
        <v>0</v>
      </c>
      <c r="P336" s="38"/>
      <c r="Q336" s="38"/>
      <c r="R336" s="82" t="str">
        <f t="shared" si="23"/>
        <v/>
      </c>
      <c r="S336" s="82" t="str">
        <f t="shared" si="24"/>
        <v/>
      </c>
      <c r="T336" s="83">
        <f t="shared" si="25"/>
        <v>0</v>
      </c>
      <c r="U336" s="39"/>
    </row>
    <row r="337" spans="1:21">
      <c r="A337" s="34">
        <f t="shared" si="21"/>
        <v>326</v>
      </c>
      <c r="B337" s="35"/>
      <c r="C337" s="5"/>
      <c r="D337" s="5"/>
      <c r="E337" s="6"/>
      <c r="F337" s="6"/>
      <c r="G337" s="6"/>
      <c r="H337" s="37"/>
      <c r="I337" s="35"/>
      <c r="J337" s="35"/>
      <c r="K337" s="35"/>
      <c r="L337" s="35"/>
      <c r="M337" s="35"/>
      <c r="N337" s="35"/>
      <c r="O337" s="81">
        <f t="shared" si="22"/>
        <v>0</v>
      </c>
      <c r="P337" s="38"/>
      <c r="Q337" s="38"/>
      <c r="R337" s="82" t="str">
        <f t="shared" si="23"/>
        <v/>
      </c>
      <c r="S337" s="82" t="str">
        <f t="shared" si="24"/>
        <v/>
      </c>
      <c r="T337" s="83">
        <f t="shared" si="25"/>
        <v>0</v>
      </c>
      <c r="U337" s="39"/>
    </row>
    <row r="338" spans="1:21">
      <c r="A338" s="34">
        <f t="shared" si="21"/>
        <v>327</v>
      </c>
      <c r="B338" s="35"/>
      <c r="C338" s="5"/>
      <c r="D338" s="5"/>
      <c r="E338" s="6"/>
      <c r="F338" s="6"/>
      <c r="G338" s="6"/>
      <c r="H338" s="37"/>
      <c r="I338" s="35"/>
      <c r="J338" s="35"/>
      <c r="K338" s="35"/>
      <c r="L338" s="35"/>
      <c r="M338" s="35"/>
      <c r="N338" s="35"/>
      <c r="O338" s="81">
        <f t="shared" si="22"/>
        <v>0</v>
      </c>
      <c r="P338" s="38"/>
      <c r="Q338" s="38"/>
      <c r="R338" s="82" t="str">
        <f t="shared" si="23"/>
        <v/>
      </c>
      <c r="S338" s="82" t="str">
        <f t="shared" si="24"/>
        <v/>
      </c>
      <c r="T338" s="83">
        <f t="shared" si="25"/>
        <v>0</v>
      </c>
      <c r="U338" s="39"/>
    </row>
    <row r="339" spans="1:21">
      <c r="A339" s="34">
        <f t="shared" si="21"/>
        <v>328</v>
      </c>
      <c r="B339" s="35"/>
      <c r="C339" s="5"/>
      <c r="D339" s="5"/>
      <c r="E339" s="6"/>
      <c r="F339" s="6"/>
      <c r="G339" s="6"/>
      <c r="H339" s="37"/>
      <c r="I339" s="35"/>
      <c r="J339" s="35"/>
      <c r="K339" s="35"/>
      <c r="L339" s="35"/>
      <c r="M339" s="35"/>
      <c r="N339" s="35"/>
      <c r="O339" s="81">
        <f t="shared" si="22"/>
        <v>0</v>
      </c>
      <c r="P339" s="38"/>
      <c r="Q339" s="38"/>
      <c r="R339" s="82" t="str">
        <f t="shared" si="23"/>
        <v/>
      </c>
      <c r="S339" s="82" t="str">
        <f t="shared" si="24"/>
        <v/>
      </c>
      <c r="T339" s="83">
        <f t="shared" si="25"/>
        <v>0</v>
      </c>
      <c r="U339" s="39"/>
    </row>
    <row r="340" spans="1:21">
      <c r="A340" s="34">
        <f t="shared" si="21"/>
        <v>329</v>
      </c>
      <c r="B340" s="35"/>
      <c r="C340" s="5"/>
      <c r="D340" s="5"/>
      <c r="E340" s="6"/>
      <c r="F340" s="6"/>
      <c r="G340" s="6"/>
      <c r="H340" s="37"/>
      <c r="I340" s="35"/>
      <c r="J340" s="35"/>
      <c r="K340" s="35"/>
      <c r="L340" s="35"/>
      <c r="M340" s="35"/>
      <c r="N340" s="35"/>
      <c r="O340" s="81">
        <f t="shared" si="22"/>
        <v>0</v>
      </c>
      <c r="P340" s="38"/>
      <c r="Q340" s="38"/>
      <c r="R340" s="82" t="str">
        <f t="shared" si="23"/>
        <v/>
      </c>
      <c r="S340" s="82" t="str">
        <f t="shared" si="24"/>
        <v/>
      </c>
      <c r="T340" s="83">
        <f t="shared" si="25"/>
        <v>0</v>
      </c>
      <c r="U340" s="39"/>
    </row>
    <row r="341" spans="1:21">
      <c r="A341" s="34">
        <f t="shared" si="21"/>
        <v>330</v>
      </c>
      <c r="B341" s="35"/>
      <c r="C341" s="5"/>
      <c r="D341" s="5"/>
      <c r="E341" s="6"/>
      <c r="F341" s="6"/>
      <c r="G341" s="6"/>
      <c r="H341" s="37"/>
      <c r="I341" s="35"/>
      <c r="J341" s="35"/>
      <c r="K341" s="35"/>
      <c r="L341" s="35"/>
      <c r="M341" s="35"/>
      <c r="N341" s="35"/>
      <c r="O341" s="81">
        <f t="shared" si="22"/>
        <v>0</v>
      </c>
      <c r="P341" s="38"/>
      <c r="Q341" s="38"/>
      <c r="R341" s="82" t="str">
        <f t="shared" si="23"/>
        <v/>
      </c>
      <c r="S341" s="82" t="str">
        <f t="shared" si="24"/>
        <v/>
      </c>
      <c r="T341" s="83">
        <f t="shared" si="25"/>
        <v>0</v>
      </c>
      <c r="U341" s="39"/>
    </row>
    <row r="342" spans="1:21">
      <c r="A342" s="34">
        <f t="shared" si="21"/>
        <v>331</v>
      </c>
      <c r="B342" s="35"/>
      <c r="C342" s="5"/>
      <c r="D342" s="5"/>
      <c r="E342" s="6"/>
      <c r="F342" s="6"/>
      <c r="G342" s="6"/>
      <c r="H342" s="37"/>
      <c r="I342" s="35"/>
      <c r="J342" s="35"/>
      <c r="K342" s="35"/>
      <c r="L342" s="35"/>
      <c r="M342" s="35"/>
      <c r="N342" s="35"/>
      <c r="O342" s="81">
        <f t="shared" si="22"/>
        <v>0</v>
      </c>
      <c r="P342" s="38"/>
      <c r="Q342" s="38"/>
      <c r="R342" s="82" t="str">
        <f t="shared" si="23"/>
        <v/>
      </c>
      <c r="S342" s="82" t="str">
        <f t="shared" si="24"/>
        <v/>
      </c>
      <c r="T342" s="83">
        <f t="shared" si="25"/>
        <v>0</v>
      </c>
      <c r="U342" s="39"/>
    </row>
    <row r="343" spans="1:21">
      <c r="A343" s="34">
        <f t="shared" si="21"/>
        <v>332</v>
      </c>
      <c r="B343" s="35"/>
      <c r="C343" s="5"/>
      <c r="D343" s="5"/>
      <c r="E343" s="6"/>
      <c r="F343" s="6"/>
      <c r="G343" s="6"/>
      <c r="H343" s="37"/>
      <c r="I343" s="35"/>
      <c r="J343" s="35"/>
      <c r="K343" s="35"/>
      <c r="L343" s="35"/>
      <c r="M343" s="35"/>
      <c r="N343" s="35"/>
      <c r="O343" s="81">
        <f t="shared" si="22"/>
        <v>0</v>
      </c>
      <c r="P343" s="38"/>
      <c r="Q343" s="38"/>
      <c r="R343" s="82" t="str">
        <f t="shared" si="23"/>
        <v/>
      </c>
      <c r="S343" s="82" t="str">
        <f t="shared" si="24"/>
        <v/>
      </c>
      <c r="T343" s="83">
        <f t="shared" si="25"/>
        <v>0</v>
      </c>
      <c r="U343" s="39"/>
    </row>
    <row r="344" spans="1:21">
      <c r="A344" s="34">
        <f t="shared" si="21"/>
        <v>333</v>
      </c>
      <c r="B344" s="35"/>
      <c r="C344" s="5"/>
      <c r="D344" s="5"/>
      <c r="E344" s="6"/>
      <c r="F344" s="6"/>
      <c r="G344" s="6"/>
      <c r="H344" s="37"/>
      <c r="I344" s="35"/>
      <c r="J344" s="35"/>
      <c r="K344" s="35"/>
      <c r="L344" s="35"/>
      <c r="M344" s="35"/>
      <c r="N344" s="35"/>
      <c r="O344" s="81">
        <f t="shared" si="22"/>
        <v>0</v>
      </c>
      <c r="P344" s="38"/>
      <c r="Q344" s="38"/>
      <c r="R344" s="82" t="str">
        <f t="shared" si="23"/>
        <v/>
      </c>
      <c r="S344" s="82" t="str">
        <f t="shared" si="24"/>
        <v/>
      </c>
      <c r="T344" s="83">
        <f t="shared" si="25"/>
        <v>0</v>
      </c>
      <c r="U344" s="39"/>
    </row>
    <row r="345" spans="1:21">
      <c r="A345" s="34">
        <f t="shared" si="21"/>
        <v>334</v>
      </c>
      <c r="B345" s="35"/>
      <c r="C345" s="5"/>
      <c r="D345" s="5"/>
      <c r="E345" s="6"/>
      <c r="F345" s="6"/>
      <c r="G345" s="6"/>
      <c r="H345" s="37"/>
      <c r="I345" s="35"/>
      <c r="J345" s="35"/>
      <c r="K345" s="35"/>
      <c r="L345" s="35"/>
      <c r="M345" s="35"/>
      <c r="N345" s="35"/>
      <c r="O345" s="81">
        <f t="shared" si="22"/>
        <v>0</v>
      </c>
      <c r="P345" s="38"/>
      <c r="Q345" s="38"/>
      <c r="R345" s="82" t="str">
        <f t="shared" si="23"/>
        <v/>
      </c>
      <c r="S345" s="82" t="str">
        <f t="shared" si="24"/>
        <v/>
      </c>
      <c r="T345" s="83">
        <f t="shared" si="25"/>
        <v>0</v>
      </c>
      <c r="U345" s="39"/>
    </row>
    <row r="346" spans="1:21">
      <c r="A346" s="34">
        <f t="shared" si="21"/>
        <v>335</v>
      </c>
      <c r="B346" s="35"/>
      <c r="C346" s="5"/>
      <c r="D346" s="5"/>
      <c r="E346" s="6"/>
      <c r="F346" s="6"/>
      <c r="G346" s="6"/>
      <c r="H346" s="37"/>
      <c r="I346" s="35"/>
      <c r="J346" s="35"/>
      <c r="K346" s="35"/>
      <c r="L346" s="35"/>
      <c r="M346" s="35"/>
      <c r="N346" s="35"/>
      <c r="O346" s="81">
        <f t="shared" si="22"/>
        <v>0</v>
      </c>
      <c r="P346" s="38"/>
      <c r="Q346" s="38"/>
      <c r="R346" s="82" t="str">
        <f t="shared" si="23"/>
        <v/>
      </c>
      <c r="S346" s="82" t="str">
        <f t="shared" si="24"/>
        <v/>
      </c>
      <c r="T346" s="83">
        <f t="shared" si="25"/>
        <v>0</v>
      </c>
      <c r="U346" s="39"/>
    </row>
    <row r="347" spans="1:21">
      <c r="A347" s="34">
        <f t="shared" si="21"/>
        <v>336</v>
      </c>
      <c r="B347" s="35"/>
      <c r="C347" s="5"/>
      <c r="D347" s="5"/>
      <c r="E347" s="6"/>
      <c r="F347" s="6"/>
      <c r="G347" s="6"/>
      <c r="H347" s="37"/>
      <c r="I347" s="35"/>
      <c r="J347" s="35"/>
      <c r="K347" s="35"/>
      <c r="L347" s="35"/>
      <c r="M347" s="35"/>
      <c r="N347" s="35"/>
      <c r="O347" s="81">
        <f t="shared" si="22"/>
        <v>0</v>
      </c>
      <c r="P347" s="38"/>
      <c r="Q347" s="38"/>
      <c r="R347" s="82" t="str">
        <f t="shared" si="23"/>
        <v/>
      </c>
      <c r="S347" s="82" t="str">
        <f t="shared" si="24"/>
        <v/>
      </c>
      <c r="T347" s="83">
        <f t="shared" si="25"/>
        <v>0</v>
      </c>
      <c r="U347" s="39"/>
    </row>
    <row r="348" spans="1:21">
      <c r="A348" s="34">
        <f t="shared" si="21"/>
        <v>337</v>
      </c>
      <c r="B348" s="35"/>
      <c r="C348" s="5"/>
      <c r="D348" s="5"/>
      <c r="E348" s="6"/>
      <c r="F348" s="6"/>
      <c r="G348" s="6"/>
      <c r="H348" s="37"/>
      <c r="I348" s="35"/>
      <c r="J348" s="35"/>
      <c r="K348" s="35"/>
      <c r="L348" s="35"/>
      <c r="M348" s="35"/>
      <c r="N348" s="35"/>
      <c r="O348" s="81">
        <f t="shared" si="22"/>
        <v>0</v>
      </c>
      <c r="P348" s="38"/>
      <c r="Q348" s="38"/>
      <c r="R348" s="82" t="str">
        <f t="shared" si="23"/>
        <v/>
      </c>
      <c r="S348" s="82" t="str">
        <f t="shared" si="24"/>
        <v/>
      </c>
      <c r="T348" s="83">
        <f t="shared" si="25"/>
        <v>0</v>
      </c>
      <c r="U348" s="39"/>
    </row>
    <row r="349" spans="1:21">
      <c r="A349" s="34">
        <f t="shared" si="21"/>
        <v>338</v>
      </c>
      <c r="B349" s="35"/>
      <c r="C349" s="5"/>
      <c r="D349" s="5"/>
      <c r="E349" s="6"/>
      <c r="F349" s="6"/>
      <c r="G349" s="6"/>
      <c r="H349" s="37"/>
      <c r="I349" s="35"/>
      <c r="J349" s="35"/>
      <c r="K349" s="35"/>
      <c r="L349" s="35"/>
      <c r="M349" s="35"/>
      <c r="N349" s="35"/>
      <c r="O349" s="81">
        <f t="shared" si="22"/>
        <v>0</v>
      </c>
      <c r="P349" s="38"/>
      <c r="Q349" s="38"/>
      <c r="R349" s="82" t="str">
        <f t="shared" si="23"/>
        <v/>
      </c>
      <c r="S349" s="82" t="str">
        <f t="shared" si="24"/>
        <v/>
      </c>
      <c r="T349" s="83">
        <f t="shared" si="25"/>
        <v>0</v>
      </c>
      <c r="U349" s="39"/>
    </row>
    <row r="350" spans="1:21">
      <c r="A350" s="34">
        <f t="shared" si="21"/>
        <v>339</v>
      </c>
      <c r="B350" s="35"/>
      <c r="C350" s="5"/>
      <c r="D350" s="5"/>
      <c r="E350" s="6"/>
      <c r="F350" s="6"/>
      <c r="G350" s="6"/>
      <c r="H350" s="37"/>
      <c r="I350" s="35"/>
      <c r="J350" s="35"/>
      <c r="K350" s="35"/>
      <c r="L350" s="35"/>
      <c r="M350" s="35"/>
      <c r="N350" s="35"/>
      <c r="O350" s="81">
        <f t="shared" si="22"/>
        <v>0</v>
      </c>
      <c r="P350" s="38"/>
      <c r="Q350" s="38"/>
      <c r="R350" s="82" t="str">
        <f t="shared" si="23"/>
        <v/>
      </c>
      <c r="S350" s="82" t="str">
        <f t="shared" si="24"/>
        <v/>
      </c>
      <c r="T350" s="83">
        <f t="shared" si="25"/>
        <v>0</v>
      </c>
      <c r="U350" s="39"/>
    </row>
    <row r="351" spans="1:21">
      <c r="A351" s="34">
        <f t="shared" si="21"/>
        <v>340</v>
      </c>
      <c r="B351" s="35"/>
      <c r="C351" s="5"/>
      <c r="D351" s="5"/>
      <c r="E351" s="6"/>
      <c r="F351" s="6"/>
      <c r="G351" s="6"/>
      <c r="H351" s="37"/>
      <c r="I351" s="35"/>
      <c r="J351" s="35"/>
      <c r="K351" s="35"/>
      <c r="L351" s="35"/>
      <c r="M351" s="35"/>
      <c r="N351" s="35"/>
      <c r="O351" s="81">
        <f t="shared" si="22"/>
        <v>0</v>
      </c>
      <c r="P351" s="38"/>
      <c r="Q351" s="38"/>
      <c r="R351" s="82" t="str">
        <f t="shared" si="23"/>
        <v/>
      </c>
      <c r="S351" s="82" t="str">
        <f t="shared" si="24"/>
        <v/>
      </c>
      <c r="T351" s="83">
        <f t="shared" si="25"/>
        <v>0</v>
      </c>
      <c r="U351" s="39"/>
    </row>
    <row r="352" spans="1:21">
      <c r="A352" s="34">
        <f t="shared" si="21"/>
        <v>341</v>
      </c>
      <c r="B352" s="35"/>
      <c r="C352" s="5"/>
      <c r="D352" s="5"/>
      <c r="E352" s="6"/>
      <c r="F352" s="6"/>
      <c r="G352" s="6"/>
      <c r="H352" s="37"/>
      <c r="I352" s="35"/>
      <c r="J352" s="35"/>
      <c r="K352" s="35"/>
      <c r="L352" s="35"/>
      <c r="M352" s="35"/>
      <c r="N352" s="35"/>
      <c r="O352" s="81">
        <f t="shared" si="22"/>
        <v>0</v>
      </c>
      <c r="P352" s="38"/>
      <c r="Q352" s="38"/>
      <c r="R352" s="82" t="str">
        <f t="shared" si="23"/>
        <v/>
      </c>
      <c r="S352" s="82" t="str">
        <f t="shared" si="24"/>
        <v/>
      </c>
      <c r="T352" s="83">
        <f t="shared" si="25"/>
        <v>0</v>
      </c>
      <c r="U352" s="39"/>
    </row>
    <row r="353" spans="1:21">
      <c r="A353" s="34">
        <f t="shared" si="21"/>
        <v>342</v>
      </c>
      <c r="B353" s="35"/>
      <c r="C353" s="5"/>
      <c r="D353" s="5"/>
      <c r="E353" s="6"/>
      <c r="F353" s="6"/>
      <c r="G353" s="6"/>
      <c r="H353" s="37"/>
      <c r="I353" s="35"/>
      <c r="J353" s="35"/>
      <c r="K353" s="35"/>
      <c r="L353" s="35"/>
      <c r="M353" s="35"/>
      <c r="N353" s="35"/>
      <c r="O353" s="81">
        <f t="shared" si="22"/>
        <v>0</v>
      </c>
      <c r="P353" s="38"/>
      <c r="Q353" s="38"/>
      <c r="R353" s="82" t="str">
        <f t="shared" si="23"/>
        <v/>
      </c>
      <c r="S353" s="82" t="str">
        <f t="shared" si="24"/>
        <v/>
      </c>
      <c r="T353" s="83">
        <f t="shared" si="25"/>
        <v>0</v>
      </c>
      <c r="U353" s="39"/>
    </row>
    <row r="354" spans="1:21">
      <c r="A354" s="34">
        <f t="shared" si="21"/>
        <v>343</v>
      </c>
      <c r="B354" s="35"/>
      <c r="C354" s="5"/>
      <c r="D354" s="5"/>
      <c r="E354" s="6"/>
      <c r="F354" s="6"/>
      <c r="G354" s="6"/>
      <c r="H354" s="37"/>
      <c r="I354" s="35"/>
      <c r="J354" s="35"/>
      <c r="K354" s="35"/>
      <c r="L354" s="35"/>
      <c r="M354" s="35"/>
      <c r="N354" s="35"/>
      <c r="O354" s="81">
        <f t="shared" si="22"/>
        <v>0</v>
      </c>
      <c r="P354" s="38"/>
      <c r="Q354" s="38"/>
      <c r="R354" s="82" t="str">
        <f t="shared" si="23"/>
        <v/>
      </c>
      <c r="S354" s="82" t="str">
        <f t="shared" si="24"/>
        <v/>
      </c>
      <c r="T354" s="83">
        <f t="shared" si="25"/>
        <v>0</v>
      </c>
      <c r="U354" s="39"/>
    </row>
    <row r="355" spans="1:21">
      <c r="A355" s="34">
        <f t="shared" si="21"/>
        <v>344</v>
      </c>
      <c r="B355" s="35"/>
      <c r="C355" s="5"/>
      <c r="D355" s="5"/>
      <c r="E355" s="6"/>
      <c r="F355" s="6"/>
      <c r="G355" s="6"/>
      <c r="H355" s="37"/>
      <c r="I355" s="35"/>
      <c r="J355" s="35"/>
      <c r="K355" s="35"/>
      <c r="L355" s="35"/>
      <c r="M355" s="35"/>
      <c r="N355" s="35"/>
      <c r="O355" s="81">
        <f t="shared" si="22"/>
        <v>0</v>
      </c>
      <c r="P355" s="38"/>
      <c r="Q355" s="38"/>
      <c r="R355" s="82" t="str">
        <f t="shared" si="23"/>
        <v/>
      </c>
      <c r="S355" s="82" t="str">
        <f t="shared" si="24"/>
        <v/>
      </c>
      <c r="T355" s="83">
        <f t="shared" si="25"/>
        <v>0</v>
      </c>
      <c r="U355" s="39"/>
    </row>
    <row r="356" spans="1:21">
      <c r="A356" s="34">
        <f t="shared" si="21"/>
        <v>345</v>
      </c>
      <c r="B356" s="35"/>
      <c r="C356" s="5"/>
      <c r="D356" s="5"/>
      <c r="E356" s="6"/>
      <c r="F356" s="6"/>
      <c r="G356" s="6"/>
      <c r="H356" s="37"/>
      <c r="I356" s="35"/>
      <c r="J356" s="35"/>
      <c r="K356" s="35"/>
      <c r="L356" s="35"/>
      <c r="M356" s="35"/>
      <c r="N356" s="35"/>
      <c r="O356" s="81">
        <f t="shared" si="22"/>
        <v>0</v>
      </c>
      <c r="P356" s="38"/>
      <c r="Q356" s="38"/>
      <c r="R356" s="82" t="str">
        <f t="shared" si="23"/>
        <v/>
      </c>
      <c r="S356" s="82" t="str">
        <f t="shared" si="24"/>
        <v/>
      </c>
      <c r="T356" s="83">
        <f t="shared" si="25"/>
        <v>0</v>
      </c>
      <c r="U356" s="39"/>
    </row>
    <row r="357" spans="1:21">
      <c r="A357" s="34">
        <f t="shared" si="21"/>
        <v>346</v>
      </c>
      <c r="B357" s="35"/>
      <c r="C357" s="5"/>
      <c r="D357" s="5"/>
      <c r="E357" s="6"/>
      <c r="F357" s="6"/>
      <c r="G357" s="6"/>
      <c r="H357" s="37"/>
      <c r="I357" s="35"/>
      <c r="J357" s="35"/>
      <c r="K357" s="35"/>
      <c r="L357" s="35"/>
      <c r="M357" s="35"/>
      <c r="N357" s="35"/>
      <c r="O357" s="81">
        <f t="shared" si="22"/>
        <v>0</v>
      </c>
      <c r="P357" s="38"/>
      <c r="Q357" s="38"/>
      <c r="R357" s="82" t="str">
        <f t="shared" si="23"/>
        <v/>
      </c>
      <c r="S357" s="82" t="str">
        <f t="shared" si="24"/>
        <v/>
      </c>
      <c r="T357" s="83">
        <f t="shared" si="25"/>
        <v>0</v>
      </c>
      <c r="U357" s="39"/>
    </row>
    <row r="358" spans="1:21">
      <c r="A358" s="34">
        <f t="shared" si="21"/>
        <v>347</v>
      </c>
      <c r="B358" s="35"/>
      <c r="C358" s="5"/>
      <c r="D358" s="5"/>
      <c r="E358" s="6"/>
      <c r="F358" s="6"/>
      <c r="G358" s="6"/>
      <c r="H358" s="37"/>
      <c r="I358" s="35"/>
      <c r="J358" s="35"/>
      <c r="K358" s="35"/>
      <c r="L358" s="35"/>
      <c r="M358" s="35"/>
      <c r="N358" s="35"/>
      <c r="O358" s="81">
        <f t="shared" si="22"/>
        <v>0</v>
      </c>
      <c r="P358" s="38"/>
      <c r="Q358" s="38"/>
      <c r="R358" s="82" t="str">
        <f t="shared" si="23"/>
        <v/>
      </c>
      <c r="S358" s="82" t="str">
        <f t="shared" si="24"/>
        <v/>
      </c>
      <c r="T358" s="83">
        <f t="shared" si="25"/>
        <v>0</v>
      </c>
      <c r="U358" s="39"/>
    </row>
    <row r="359" spans="1:21">
      <c r="A359" s="34">
        <f t="shared" si="21"/>
        <v>348</v>
      </c>
      <c r="B359" s="35"/>
      <c r="C359" s="5"/>
      <c r="D359" s="5"/>
      <c r="E359" s="6"/>
      <c r="F359" s="6"/>
      <c r="G359" s="6"/>
      <c r="H359" s="37"/>
      <c r="I359" s="35"/>
      <c r="J359" s="35"/>
      <c r="K359" s="35"/>
      <c r="L359" s="35"/>
      <c r="M359" s="35"/>
      <c r="N359" s="35"/>
      <c r="O359" s="81">
        <f t="shared" si="22"/>
        <v>0</v>
      </c>
      <c r="P359" s="38"/>
      <c r="Q359" s="38"/>
      <c r="R359" s="82" t="str">
        <f t="shared" si="23"/>
        <v/>
      </c>
      <c r="S359" s="82" t="str">
        <f t="shared" si="24"/>
        <v/>
      </c>
      <c r="T359" s="83">
        <f t="shared" si="25"/>
        <v>0</v>
      </c>
      <c r="U359" s="39"/>
    </row>
    <row r="360" spans="1:21">
      <c r="A360" s="34">
        <f t="shared" si="21"/>
        <v>349</v>
      </c>
      <c r="B360" s="35"/>
      <c r="C360" s="5"/>
      <c r="D360" s="5"/>
      <c r="E360" s="6"/>
      <c r="F360" s="6"/>
      <c r="G360" s="6"/>
      <c r="H360" s="37"/>
      <c r="I360" s="35"/>
      <c r="J360" s="35"/>
      <c r="K360" s="35"/>
      <c r="L360" s="35"/>
      <c r="M360" s="35"/>
      <c r="N360" s="35"/>
      <c r="O360" s="81">
        <f t="shared" si="22"/>
        <v>0</v>
      </c>
      <c r="P360" s="38"/>
      <c r="Q360" s="38"/>
      <c r="R360" s="82" t="str">
        <f t="shared" si="23"/>
        <v/>
      </c>
      <c r="S360" s="82" t="str">
        <f t="shared" si="24"/>
        <v/>
      </c>
      <c r="T360" s="83">
        <f t="shared" si="25"/>
        <v>0</v>
      </c>
      <c r="U360" s="39"/>
    </row>
    <row r="361" spans="1:21">
      <c r="A361" s="34">
        <f t="shared" si="21"/>
        <v>350</v>
      </c>
      <c r="B361" s="35"/>
      <c r="C361" s="5"/>
      <c r="D361" s="5"/>
      <c r="E361" s="6"/>
      <c r="F361" s="6"/>
      <c r="G361" s="6"/>
      <c r="H361" s="37"/>
      <c r="I361" s="35"/>
      <c r="J361" s="35"/>
      <c r="K361" s="35"/>
      <c r="L361" s="35"/>
      <c r="M361" s="35"/>
      <c r="N361" s="35"/>
      <c r="O361" s="81">
        <f t="shared" si="22"/>
        <v>0</v>
      </c>
      <c r="P361" s="38"/>
      <c r="Q361" s="38"/>
      <c r="R361" s="82" t="str">
        <f t="shared" si="23"/>
        <v/>
      </c>
      <c r="S361" s="82" t="str">
        <f t="shared" si="24"/>
        <v/>
      </c>
      <c r="T361" s="83">
        <f t="shared" si="25"/>
        <v>0</v>
      </c>
      <c r="U361" s="39"/>
    </row>
    <row r="362" spans="1:21">
      <c r="A362" s="34">
        <f t="shared" si="21"/>
        <v>351</v>
      </c>
      <c r="B362" s="35"/>
      <c r="C362" s="5"/>
      <c r="D362" s="5"/>
      <c r="E362" s="6"/>
      <c r="F362" s="6"/>
      <c r="G362" s="6"/>
      <c r="H362" s="37"/>
      <c r="I362" s="35"/>
      <c r="J362" s="35"/>
      <c r="K362" s="35"/>
      <c r="L362" s="35"/>
      <c r="M362" s="35"/>
      <c r="N362" s="35"/>
      <c r="O362" s="81">
        <f t="shared" si="22"/>
        <v>0</v>
      </c>
      <c r="P362" s="38"/>
      <c r="Q362" s="38"/>
      <c r="R362" s="82" t="str">
        <f t="shared" si="23"/>
        <v/>
      </c>
      <c r="S362" s="82" t="str">
        <f t="shared" si="24"/>
        <v/>
      </c>
      <c r="T362" s="83">
        <f t="shared" si="25"/>
        <v>0</v>
      </c>
      <c r="U362" s="39"/>
    </row>
    <row r="363" spans="1:21">
      <c r="A363" s="34">
        <f t="shared" si="21"/>
        <v>352</v>
      </c>
      <c r="B363" s="35"/>
      <c r="C363" s="5"/>
      <c r="D363" s="5"/>
      <c r="E363" s="6"/>
      <c r="F363" s="6"/>
      <c r="G363" s="6"/>
      <c r="H363" s="37"/>
      <c r="I363" s="35"/>
      <c r="J363" s="35"/>
      <c r="K363" s="35"/>
      <c r="L363" s="35"/>
      <c r="M363" s="35"/>
      <c r="N363" s="35"/>
      <c r="O363" s="81">
        <f t="shared" si="22"/>
        <v>0</v>
      </c>
      <c r="P363" s="38"/>
      <c r="Q363" s="38"/>
      <c r="R363" s="82" t="str">
        <f t="shared" si="23"/>
        <v/>
      </c>
      <c r="S363" s="82" t="str">
        <f t="shared" si="24"/>
        <v/>
      </c>
      <c r="T363" s="83">
        <f t="shared" si="25"/>
        <v>0</v>
      </c>
      <c r="U363" s="39"/>
    </row>
    <row r="364" spans="1:21">
      <c r="A364" s="34">
        <f t="shared" si="21"/>
        <v>353</v>
      </c>
      <c r="B364" s="35"/>
      <c r="C364" s="5"/>
      <c r="D364" s="5"/>
      <c r="E364" s="6"/>
      <c r="F364" s="6"/>
      <c r="G364" s="6"/>
      <c r="H364" s="37"/>
      <c r="I364" s="35"/>
      <c r="J364" s="35"/>
      <c r="K364" s="35"/>
      <c r="L364" s="35"/>
      <c r="M364" s="35"/>
      <c r="N364" s="35"/>
      <c r="O364" s="81">
        <f t="shared" si="22"/>
        <v>0</v>
      </c>
      <c r="P364" s="38"/>
      <c r="Q364" s="38"/>
      <c r="R364" s="82" t="str">
        <f t="shared" si="23"/>
        <v/>
      </c>
      <c r="S364" s="82" t="str">
        <f t="shared" si="24"/>
        <v/>
      </c>
      <c r="T364" s="83">
        <f t="shared" si="25"/>
        <v>0</v>
      </c>
      <c r="U364" s="39"/>
    </row>
    <row r="365" spans="1:21">
      <c r="A365" s="34">
        <f t="shared" si="21"/>
        <v>354</v>
      </c>
      <c r="B365" s="35"/>
      <c r="C365" s="5"/>
      <c r="D365" s="5"/>
      <c r="E365" s="6"/>
      <c r="F365" s="6"/>
      <c r="G365" s="6"/>
      <c r="H365" s="37"/>
      <c r="I365" s="35"/>
      <c r="J365" s="35"/>
      <c r="K365" s="35"/>
      <c r="L365" s="35"/>
      <c r="M365" s="35"/>
      <c r="N365" s="35"/>
      <c r="O365" s="81">
        <f t="shared" si="22"/>
        <v>0</v>
      </c>
      <c r="P365" s="38"/>
      <c r="Q365" s="38"/>
      <c r="R365" s="82" t="str">
        <f t="shared" si="23"/>
        <v/>
      </c>
      <c r="S365" s="82" t="str">
        <f t="shared" si="24"/>
        <v/>
      </c>
      <c r="T365" s="83">
        <f t="shared" si="25"/>
        <v>0</v>
      </c>
      <c r="U365" s="39"/>
    </row>
    <row r="366" spans="1:21">
      <c r="A366" s="34">
        <f t="shared" si="21"/>
        <v>355</v>
      </c>
      <c r="B366" s="35"/>
      <c r="C366" s="5"/>
      <c r="D366" s="5"/>
      <c r="E366" s="6"/>
      <c r="F366" s="6"/>
      <c r="G366" s="6"/>
      <c r="H366" s="37"/>
      <c r="I366" s="35"/>
      <c r="J366" s="35"/>
      <c r="K366" s="35"/>
      <c r="L366" s="35"/>
      <c r="M366" s="35"/>
      <c r="N366" s="35"/>
      <c r="O366" s="81">
        <f t="shared" si="22"/>
        <v>0</v>
      </c>
      <c r="P366" s="38"/>
      <c r="Q366" s="38"/>
      <c r="R366" s="82" t="str">
        <f t="shared" si="23"/>
        <v/>
      </c>
      <c r="S366" s="82" t="str">
        <f t="shared" si="24"/>
        <v/>
      </c>
      <c r="T366" s="83">
        <f t="shared" si="25"/>
        <v>0</v>
      </c>
      <c r="U366" s="39"/>
    </row>
    <row r="367" spans="1:21">
      <c r="A367" s="34">
        <f t="shared" si="21"/>
        <v>356</v>
      </c>
      <c r="B367" s="35"/>
      <c r="C367" s="5"/>
      <c r="D367" s="5"/>
      <c r="E367" s="6"/>
      <c r="F367" s="6"/>
      <c r="G367" s="6"/>
      <c r="H367" s="37"/>
      <c r="I367" s="35"/>
      <c r="J367" s="35"/>
      <c r="K367" s="35"/>
      <c r="L367" s="35"/>
      <c r="M367" s="35"/>
      <c r="N367" s="35"/>
      <c r="O367" s="81">
        <f t="shared" si="22"/>
        <v>0</v>
      </c>
      <c r="P367" s="38"/>
      <c r="Q367" s="38"/>
      <c r="R367" s="82" t="str">
        <f t="shared" si="23"/>
        <v/>
      </c>
      <c r="S367" s="82" t="str">
        <f t="shared" si="24"/>
        <v/>
      </c>
      <c r="T367" s="83">
        <f t="shared" si="25"/>
        <v>0</v>
      </c>
      <c r="U367" s="39"/>
    </row>
    <row r="368" spans="1:21">
      <c r="A368" s="34">
        <f t="shared" si="21"/>
        <v>357</v>
      </c>
      <c r="B368" s="35"/>
      <c r="C368" s="5"/>
      <c r="D368" s="5"/>
      <c r="E368" s="6"/>
      <c r="F368" s="6"/>
      <c r="G368" s="6"/>
      <c r="H368" s="37"/>
      <c r="I368" s="35"/>
      <c r="J368" s="35"/>
      <c r="K368" s="35"/>
      <c r="L368" s="35"/>
      <c r="M368" s="35"/>
      <c r="N368" s="35"/>
      <c r="O368" s="81">
        <f t="shared" si="22"/>
        <v>0</v>
      </c>
      <c r="P368" s="38"/>
      <c r="Q368" s="38"/>
      <c r="R368" s="82" t="str">
        <f t="shared" si="23"/>
        <v/>
      </c>
      <c r="S368" s="82" t="str">
        <f t="shared" si="24"/>
        <v/>
      </c>
      <c r="T368" s="83">
        <f t="shared" si="25"/>
        <v>0</v>
      </c>
      <c r="U368" s="39"/>
    </row>
    <row r="369" spans="1:21">
      <c r="A369" s="34">
        <f t="shared" si="21"/>
        <v>358</v>
      </c>
      <c r="B369" s="35"/>
      <c r="C369" s="5"/>
      <c r="D369" s="5"/>
      <c r="E369" s="6"/>
      <c r="F369" s="6"/>
      <c r="G369" s="6"/>
      <c r="H369" s="37"/>
      <c r="I369" s="35"/>
      <c r="J369" s="35"/>
      <c r="K369" s="35"/>
      <c r="L369" s="35"/>
      <c r="M369" s="35"/>
      <c r="N369" s="35"/>
      <c r="O369" s="81">
        <f t="shared" si="22"/>
        <v>0</v>
      </c>
      <c r="P369" s="38"/>
      <c r="Q369" s="38"/>
      <c r="R369" s="82" t="str">
        <f t="shared" si="23"/>
        <v/>
      </c>
      <c r="S369" s="82" t="str">
        <f t="shared" si="24"/>
        <v/>
      </c>
      <c r="T369" s="83">
        <f t="shared" si="25"/>
        <v>0</v>
      </c>
      <c r="U369" s="39"/>
    </row>
    <row r="370" spans="1:21">
      <c r="A370" s="34">
        <f t="shared" si="21"/>
        <v>359</v>
      </c>
      <c r="B370" s="35"/>
      <c r="C370" s="5"/>
      <c r="D370" s="5"/>
      <c r="E370" s="6"/>
      <c r="F370" s="6"/>
      <c r="G370" s="6"/>
      <c r="H370" s="37"/>
      <c r="I370" s="35"/>
      <c r="J370" s="35"/>
      <c r="K370" s="35"/>
      <c r="L370" s="35"/>
      <c r="M370" s="35"/>
      <c r="N370" s="35"/>
      <c r="O370" s="81">
        <f t="shared" si="22"/>
        <v>0</v>
      </c>
      <c r="P370" s="38"/>
      <c r="Q370" s="38"/>
      <c r="R370" s="82" t="str">
        <f t="shared" si="23"/>
        <v/>
      </c>
      <c r="S370" s="82" t="str">
        <f t="shared" si="24"/>
        <v/>
      </c>
      <c r="T370" s="83">
        <f t="shared" si="25"/>
        <v>0</v>
      </c>
      <c r="U370" s="39"/>
    </row>
    <row r="371" spans="1:21">
      <c r="A371" s="34">
        <f t="shared" si="21"/>
        <v>360</v>
      </c>
      <c r="B371" s="35"/>
      <c r="C371" s="5"/>
      <c r="D371" s="5"/>
      <c r="E371" s="6"/>
      <c r="F371" s="6"/>
      <c r="G371" s="6"/>
      <c r="H371" s="37"/>
      <c r="I371" s="35"/>
      <c r="J371" s="35"/>
      <c r="K371" s="35"/>
      <c r="L371" s="35"/>
      <c r="M371" s="35"/>
      <c r="N371" s="35"/>
      <c r="O371" s="81">
        <f t="shared" si="22"/>
        <v>0</v>
      </c>
      <c r="P371" s="38"/>
      <c r="Q371" s="38"/>
      <c r="R371" s="82" t="str">
        <f t="shared" si="23"/>
        <v/>
      </c>
      <c r="S371" s="82" t="str">
        <f t="shared" si="24"/>
        <v/>
      </c>
      <c r="T371" s="83">
        <f t="shared" si="25"/>
        <v>0</v>
      </c>
      <c r="U371" s="39"/>
    </row>
    <row r="372" spans="1:21">
      <c r="A372" s="34">
        <f t="shared" si="21"/>
        <v>361</v>
      </c>
      <c r="B372" s="35"/>
      <c r="C372" s="5"/>
      <c r="D372" s="5"/>
      <c r="E372" s="6"/>
      <c r="F372" s="6"/>
      <c r="G372" s="6"/>
      <c r="H372" s="37"/>
      <c r="I372" s="35"/>
      <c r="J372" s="35"/>
      <c r="K372" s="35"/>
      <c r="L372" s="35"/>
      <c r="M372" s="35"/>
      <c r="N372" s="35"/>
      <c r="O372" s="81">
        <f t="shared" si="22"/>
        <v>0</v>
      </c>
      <c r="P372" s="38"/>
      <c r="Q372" s="38"/>
      <c r="R372" s="82" t="str">
        <f t="shared" si="23"/>
        <v/>
      </c>
      <c r="S372" s="82" t="str">
        <f t="shared" si="24"/>
        <v/>
      </c>
      <c r="T372" s="83">
        <f t="shared" si="25"/>
        <v>0</v>
      </c>
      <c r="U372" s="39"/>
    </row>
    <row r="373" spans="1:21">
      <c r="A373" s="34">
        <f t="shared" si="21"/>
        <v>362</v>
      </c>
      <c r="B373" s="35"/>
      <c r="C373" s="5"/>
      <c r="D373" s="5"/>
      <c r="E373" s="6"/>
      <c r="F373" s="6"/>
      <c r="G373" s="6"/>
      <c r="H373" s="37"/>
      <c r="I373" s="35"/>
      <c r="J373" s="35"/>
      <c r="K373" s="35"/>
      <c r="L373" s="35"/>
      <c r="M373" s="35"/>
      <c r="N373" s="35"/>
      <c r="O373" s="81">
        <f t="shared" si="22"/>
        <v>0</v>
      </c>
      <c r="P373" s="38"/>
      <c r="Q373" s="38"/>
      <c r="R373" s="82" t="str">
        <f t="shared" si="23"/>
        <v/>
      </c>
      <c r="S373" s="82" t="str">
        <f t="shared" si="24"/>
        <v/>
      </c>
      <c r="T373" s="83">
        <f t="shared" si="25"/>
        <v>0</v>
      </c>
      <c r="U373" s="39"/>
    </row>
    <row r="374" spans="1:21">
      <c r="A374" s="34">
        <f t="shared" si="21"/>
        <v>363</v>
      </c>
      <c r="B374" s="35"/>
      <c r="C374" s="5"/>
      <c r="D374" s="5"/>
      <c r="E374" s="6"/>
      <c r="F374" s="6"/>
      <c r="G374" s="6"/>
      <c r="H374" s="37"/>
      <c r="I374" s="35"/>
      <c r="J374" s="35"/>
      <c r="K374" s="35"/>
      <c r="L374" s="35"/>
      <c r="M374" s="35"/>
      <c r="N374" s="35"/>
      <c r="O374" s="81">
        <f t="shared" si="22"/>
        <v>0</v>
      </c>
      <c r="P374" s="38"/>
      <c r="Q374" s="38"/>
      <c r="R374" s="82" t="str">
        <f t="shared" si="23"/>
        <v/>
      </c>
      <c r="S374" s="82" t="str">
        <f t="shared" si="24"/>
        <v/>
      </c>
      <c r="T374" s="83">
        <f t="shared" si="25"/>
        <v>0</v>
      </c>
      <c r="U374" s="39"/>
    </row>
    <row r="375" spans="1:21">
      <c r="A375" s="34">
        <f t="shared" si="21"/>
        <v>364</v>
      </c>
      <c r="B375" s="35"/>
      <c r="C375" s="5"/>
      <c r="D375" s="5"/>
      <c r="E375" s="6"/>
      <c r="F375" s="6"/>
      <c r="G375" s="6"/>
      <c r="H375" s="37"/>
      <c r="I375" s="35"/>
      <c r="J375" s="35"/>
      <c r="K375" s="35"/>
      <c r="L375" s="35"/>
      <c r="M375" s="35"/>
      <c r="N375" s="35"/>
      <c r="O375" s="81">
        <f t="shared" si="22"/>
        <v>0</v>
      </c>
      <c r="P375" s="38"/>
      <c r="Q375" s="38"/>
      <c r="R375" s="82" t="str">
        <f t="shared" si="23"/>
        <v/>
      </c>
      <c r="S375" s="82" t="str">
        <f t="shared" si="24"/>
        <v/>
      </c>
      <c r="T375" s="83">
        <f t="shared" si="25"/>
        <v>0</v>
      </c>
      <c r="U375" s="39"/>
    </row>
    <row r="376" spans="1:21">
      <c r="A376" s="34">
        <f t="shared" si="21"/>
        <v>365</v>
      </c>
      <c r="B376" s="35"/>
      <c r="C376" s="5"/>
      <c r="D376" s="5"/>
      <c r="E376" s="6"/>
      <c r="F376" s="6"/>
      <c r="G376" s="6"/>
      <c r="H376" s="37"/>
      <c r="I376" s="35"/>
      <c r="J376" s="35"/>
      <c r="K376" s="35"/>
      <c r="L376" s="35"/>
      <c r="M376" s="35"/>
      <c r="N376" s="35"/>
      <c r="O376" s="81">
        <f t="shared" si="22"/>
        <v>0</v>
      </c>
      <c r="P376" s="38"/>
      <c r="Q376" s="38"/>
      <c r="R376" s="82" t="str">
        <f t="shared" si="23"/>
        <v/>
      </c>
      <c r="S376" s="82" t="str">
        <f t="shared" si="24"/>
        <v/>
      </c>
      <c r="T376" s="83">
        <f t="shared" si="25"/>
        <v>0</v>
      </c>
      <c r="U376" s="39"/>
    </row>
    <row r="377" spans="1:21">
      <c r="A377" s="34">
        <f t="shared" si="21"/>
        <v>366</v>
      </c>
      <c r="B377" s="35"/>
      <c r="C377" s="5"/>
      <c r="D377" s="5"/>
      <c r="E377" s="6"/>
      <c r="F377" s="6"/>
      <c r="G377" s="6"/>
      <c r="H377" s="37"/>
      <c r="I377" s="35"/>
      <c r="J377" s="35"/>
      <c r="K377" s="35"/>
      <c r="L377" s="35"/>
      <c r="M377" s="35"/>
      <c r="N377" s="35"/>
      <c r="O377" s="81">
        <f t="shared" si="22"/>
        <v>0</v>
      </c>
      <c r="P377" s="38"/>
      <c r="Q377" s="38"/>
      <c r="R377" s="82" t="str">
        <f t="shared" si="23"/>
        <v/>
      </c>
      <c r="S377" s="82" t="str">
        <f t="shared" si="24"/>
        <v/>
      </c>
      <c r="T377" s="83">
        <f t="shared" si="25"/>
        <v>0</v>
      </c>
      <c r="U377" s="39"/>
    </row>
    <row r="378" spans="1:21">
      <c r="A378" s="34">
        <f t="shared" si="21"/>
        <v>367</v>
      </c>
      <c r="B378" s="35"/>
      <c r="C378" s="5"/>
      <c r="D378" s="5"/>
      <c r="E378" s="6"/>
      <c r="F378" s="6"/>
      <c r="G378" s="6"/>
      <c r="H378" s="37"/>
      <c r="I378" s="35"/>
      <c r="J378" s="35"/>
      <c r="K378" s="35"/>
      <c r="L378" s="35"/>
      <c r="M378" s="35"/>
      <c r="N378" s="35"/>
      <c r="O378" s="81">
        <f t="shared" si="22"/>
        <v>0</v>
      </c>
      <c r="P378" s="38"/>
      <c r="Q378" s="38"/>
      <c r="R378" s="82" t="str">
        <f t="shared" si="23"/>
        <v/>
      </c>
      <c r="S378" s="82" t="str">
        <f t="shared" si="24"/>
        <v/>
      </c>
      <c r="T378" s="83">
        <f t="shared" si="25"/>
        <v>0</v>
      </c>
      <c r="U378" s="39"/>
    </row>
    <row r="379" spans="1:21">
      <c r="A379" s="34">
        <f t="shared" si="21"/>
        <v>368</v>
      </c>
      <c r="B379" s="35"/>
      <c r="C379" s="5"/>
      <c r="D379" s="5"/>
      <c r="E379" s="6"/>
      <c r="F379" s="6"/>
      <c r="G379" s="6"/>
      <c r="H379" s="37"/>
      <c r="I379" s="35"/>
      <c r="J379" s="35"/>
      <c r="K379" s="35"/>
      <c r="L379" s="35"/>
      <c r="M379" s="35"/>
      <c r="N379" s="35"/>
      <c r="O379" s="81">
        <f t="shared" si="22"/>
        <v>0</v>
      </c>
      <c r="P379" s="38"/>
      <c r="Q379" s="38"/>
      <c r="R379" s="82" t="str">
        <f t="shared" si="23"/>
        <v/>
      </c>
      <c r="S379" s="82" t="str">
        <f t="shared" si="24"/>
        <v/>
      </c>
      <c r="T379" s="83">
        <f t="shared" si="25"/>
        <v>0</v>
      </c>
      <c r="U379" s="39"/>
    </row>
    <row r="380" spans="1:21">
      <c r="A380" s="34">
        <f t="shared" si="21"/>
        <v>369</v>
      </c>
      <c r="B380" s="35"/>
      <c r="C380" s="5"/>
      <c r="D380" s="5"/>
      <c r="E380" s="6"/>
      <c r="F380" s="6"/>
      <c r="G380" s="6"/>
      <c r="H380" s="37"/>
      <c r="I380" s="35"/>
      <c r="J380" s="35"/>
      <c r="K380" s="35"/>
      <c r="L380" s="35"/>
      <c r="M380" s="35"/>
      <c r="N380" s="35"/>
      <c r="O380" s="81">
        <f t="shared" si="22"/>
        <v>0</v>
      </c>
      <c r="P380" s="38"/>
      <c r="Q380" s="38"/>
      <c r="R380" s="82" t="str">
        <f t="shared" si="23"/>
        <v/>
      </c>
      <c r="S380" s="82" t="str">
        <f t="shared" si="24"/>
        <v/>
      </c>
      <c r="T380" s="83">
        <f t="shared" si="25"/>
        <v>0</v>
      </c>
      <c r="U380" s="39"/>
    </row>
    <row r="381" spans="1:21">
      <c r="A381" s="34">
        <f t="shared" si="21"/>
        <v>370</v>
      </c>
      <c r="B381" s="35"/>
      <c r="C381" s="5"/>
      <c r="D381" s="5"/>
      <c r="E381" s="6"/>
      <c r="F381" s="6"/>
      <c r="G381" s="6"/>
      <c r="H381" s="37"/>
      <c r="I381" s="35"/>
      <c r="J381" s="35"/>
      <c r="K381" s="35"/>
      <c r="L381" s="35"/>
      <c r="M381" s="35"/>
      <c r="N381" s="35"/>
      <c r="O381" s="81">
        <f t="shared" si="22"/>
        <v>0</v>
      </c>
      <c r="P381" s="38"/>
      <c r="Q381" s="38"/>
      <c r="R381" s="82" t="str">
        <f t="shared" si="23"/>
        <v/>
      </c>
      <c r="S381" s="82" t="str">
        <f t="shared" si="24"/>
        <v/>
      </c>
      <c r="T381" s="83">
        <f t="shared" si="25"/>
        <v>0</v>
      </c>
      <c r="U381" s="39"/>
    </row>
    <row r="382" spans="1:21">
      <c r="A382" s="34">
        <f t="shared" si="21"/>
        <v>371</v>
      </c>
      <c r="B382" s="35"/>
      <c r="C382" s="5"/>
      <c r="D382" s="5"/>
      <c r="E382" s="6"/>
      <c r="F382" s="6"/>
      <c r="G382" s="6"/>
      <c r="H382" s="37"/>
      <c r="I382" s="35"/>
      <c r="J382" s="35"/>
      <c r="K382" s="35"/>
      <c r="L382" s="35"/>
      <c r="M382" s="35"/>
      <c r="N382" s="35"/>
      <c r="O382" s="81">
        <f t="shared" si="22"/>
        <v>0</v>
      </c>
      <c r="P382" s="38"/>
      <c r="Q382" s="38"/>
      <c r="R382" s="82" t="str">
        <f t="shared" si="23"/>
        <v/>
      </c>
      <c r="S382" s="82" t="str">
        <f t="shared" si="24"/>
        <v/>
      </c>
      <c r="T382" s="83">
        <f t="shared" si="25"/>
        <v>0</v>
      </c>
      <c r="U382" s="39"/>
    </row>
    <row r="383" spans="1:21">
      <c r="A383" s="34">
        <f t="shared" si="21"/>
        <v>372</v>
      </c>
      <c r="B383" s="35"/>
      <c r="C383" s="5"/>
      <c r="D383" s="5"/>
      <c r="E383" s="6"/>
      <c r="F383" s="6"/>
      <c r="G383" s="6"/>
      <c r="H383" s="37"/>
      <c r="I383" s="35"/>
      <c r="J383" s="35"/>
      <c r="K383" s="35"/>
      <c r="L383" s="35"/>
      <c r="M383" s="35"/>
      <c r="N383" s="35"/>
      <c r="O383" s="81">
        <f t="shared" si="22"/>
        <v>0</v>
      </c>
      <c r="P383" s="38"/>
      <c r="Q383" s="38"/>
      <c r="R383" s="82" t="str">
        <f t="shared" si="23"/>
        <v/>
      </c>
      <c r="S383" s="82" t="str">
        <f t="shared" si="24"/>
        <v/>
      </c>
      <c r="T383" s="83">
        <f t="shared" si="25"/>
        <v>0</v>
      </c>
      <c r="U383" s="39"/>
    </row>
    <row r="384" spans="1:21">
      <c r="A384" s="34">
        <f t="shared" si="21"/>
        <v>373</v>
      </c>
      <c r="B384" s="35"/>
      <c r="C384" s="5"/>
      <c r="D384" s="5"/>
      <c r="E384" s="6"/>
      <c r="F384" s="6"/>
      <c r="G384" s="6"/>
      <c r="H384" s="37"/>
      <c r="I384" s="35"/>
      <c r="J384" s="35"/>
      <c r="K384" s="35"/>
      <c r="L384" s="35"/>
      <c r="M384" s="35"/>
      <c r="N384" s="35"/>
      <c r="O384" s="81">
        <f t="shared" si="22"/>
        <v>0</v>
      </c>
      <c r="P384" s="38"/>
      <c r="Q384" s="38"/>
      <c r="R384" s="82" t="str">
        <f t="shared" si="23"/>
        <v/>
      </c>
      <c r="S384" s="82" t="str">
        <f t="shared" si="24"/>
        <v/>
      </c>
      <c r="T384" s="83">
        <f t="shared" si="25"/>
        <v>0</v>
      </c>
      <c r="U384" s="39"/>
    </row>
    <row r="385" spans="1:21">
      <c r="A385" s="34">
        <f t="shared" si="21"/>
        <v>374</v>
      </c>
      <c r="B385" s="35"/>
      <c r="C385" s="5"/>
      <c r="D385" s="5"/>
      <c r="E385" s="6"/>
      <c r="F385" s="6"/>
      <c r="G385" s="6"/>
      <c r="H385" s="37"/>
      <c r="I385" s="35"/>
      <c r="J385" s="35"/>
      <c r="K385" s="35"/>
      <c r="L385" s="35"/>
      <c r="M385" s="35"/>
      <c r="N385" s="35"/>
      <c r="O385" s="81">
        <f t="shared" si="22"/>
        <v>0</v>
      </c>
      <c r="P385" s="38"/>
      <c r="Q385" s="38"/>
      <c r="R385" s="82" t="str">
        <f t="shared" si="23"/>
        <v/>
      </c>
      <c r="S385" s="82" t="str">
        <f t="shared" si="24"/>
        <v/>
      </c>
      <c r="T385" s="83">
        <f t="shared" si="25"/>
        <v>0</v>
      </c>
      <c r="U385" s="39"/>
    </row>
    <row r="386" spans="1:21">
      <c r="A386" s="34">
        <f t="shared" si="21"/>
        <v>375</v>
      </c>
      <c r="B386" s="35"/>
      <c r="C386" s="5"/>
      <c r="D386" s="5"/>
      <c r="E386" s="6"/>
      <c r="F386" s="6"/>
      <c r="G386" s="6"/>
      <c r="H386" s="37"/>
      <c r="I386" s="35"/>
      <c r="J386" s="35"/>
      <c r="K386" s="35"/>
      <c r="L386" s="35"/>
      <c r="M386" s="35"/>
      <c r="N386" s="35"/>
      <c r="O386" s="81">
        <f t="shared" si="22"/>
        <v>0</v>
      </c>
      <c r="P386" s="38"/>
      <c r="Q386" s="38"/>
      <c r="R386" s="82" t="str">
        <f t="shared" si="23"/>
        <v/>
      </c>
      <c r="S386" s="82" t="str">
        <f t="shared" si="24"/>
        <v/>
      </c>
      <c r="T386" s="83">
        <f t="shared" si="25"/>
        <v>0</v>
      </c>
      <c r="U386" s="39"/>
    </row>
    <row r="387" spans="1:21">
      <c r="A387" s="34">
        <f t="shared" si="21"/>
        <v>376</v>
      </c>
      <c r="B387" s="35"/>
      <c r="C387" s="5"/>
      <c r="D387" s="5"/>
      <c r="E387" s="6"/>
      <c r="F387" s="6"/>
      <c r="G387" s="6"/>
      <c r="H387" s="37"/>
      <c r="I387" s="35"/>
      <c r="J387" s="35"/>
      <c r="K387" s="35"/>
      <c r="L387" s="35"/>
      <c r="M387" s="35"/>
      <c r="N387" s="35"/>
      <c r="O387" s="81">
        <f t="shared" si="22"/>
        <v>0</v>
      </c>
      <c r="P387" s="38"/>
      <c r="Q387" s="38"/>
      <c r="R387" s="82" t="str">
        <f t="shared" si="23"/>
        <v/>
      </c>
      <c r="S387" s="82" t="str">
        <f t="shared" si="24"/>
        <v/>
      </c>
      <c r="T387" s="83">
        <f t="shared" si="25"/>
        <v>0</v>
      </c>
      <c r="U387" s="39"/>
    </row>
    <row r="388" spans="1:21">
      <c r="A388" s="34">
        <f t="shared" si="21"/>
        <v>377</v>
      </c>
      <c r="B388" s="35"/>
      <c r="C388" s="5"/>
      <c r="D388" s="5"/>
      <c r="E388" s="6"/>
      <c r="F388" s="6"/>
      <c r="G388" s="6"/>
      <c r="H388" s="37"/>
      <c r="I388" s="35"/>
      <c r="J388" s="35"/>
      <c r="K388" s="35"/>
      <c r="L388" s="35"/>
      <c r="M388" s="35"/>
      <c r="N388" s="35"/>
      <c r="O388" s="81">
        <f t="shared" si="22"/>
        <v>0</v>
      </c>
      <c r="P388" s="38"/>
      <c r="Q388" s="38"/>
      <c r="R388" s="82" t="str">
        <f t="shared" si="23"/>
        <v/>
      </c>
      <c r="S388" s="82" t="str">
        <f t="shared" si="24"/>
        <v/>
      </c>
      <c r="T388" s="83">
        <f t="shared" si="25"/>
        <v>0</v>
      </c>
      <c r="U388" s="39"/>
    </row>
    <row r="389" spans="1:21">
      <c r="A389" s="34">
        <f t="shared" si="21"/>
        <v>378</v>
      </c>
      <c r="B389" s="35"/>
      <c r="C389" s="5"/>
      <c r="D389" s="5"/>
      <c r="E389" s="6"/>
      <c r="F389" s="6"/>
      <c r="G389" s="6"/>
      <c r="H389" s="37"/>
      <c r="I389" s="35"/>
      <c r="J389" s="35"/>
      <c r="K389" s="35"/>
      <c r="L389" s="35"/>
      <c r="M389" s="35"/>
      <c r="N389" s="35"/>
      <c r="O389" s="81">
        <f t="shared" si="22"/>
        <v>0</v>
      </c>
      <c r="P389" s="38"/>
      <c r="Q389" s="38"/>
      <c r="R389" s="82" t="str">
        <f t="shared" si="23"/>
        <v/>
      </c>
      <c r="S389" s="82" t="str">
        <f t="shared" si="24"/>
        <v/>
      </c>
      <c r="T389" s="83">
        <f t="shared" si="25"/>
        <v>0</v>
      </c>
      <c r="U389" s="39"/>
    </row>
    <row r="390" spans="1:21">
      <c r="A390" s="34">
        <f t="shared" si="21"/>
        <v>379</v>
      </c>
      <c r="B390" s="35"/>
      <c r="C390" s="5"/>
      <c r="D390" s="5"/>
      <c r="E390" s="6"/>
      <c r="F390" s="6"/>
      <c r="G390" s="6"/>
      <c r="H390" s="37"/>
      <c r="I390" s="35"/>
      <c r="J390" s="35"/>
      <c r="K390" s="35"/>
      <c r="L390" s="35"/>
      <c r="M390" s="35"/>
      <c r="N390" s="35"/>
      <c r="O390" s="81">
        <f t="shared" si="22"/>
        <v>0</v>
      </c>
      <c r="P390" s="38"/>
      <c r="Q390" s="38"/>
      <c r="R390" s="82" t="str">
        <f t="shared" si="23"/>
        <v/>
      </c>
      <c r="S390" s="82" t="str">
        <f t="shared" si="24"/>
        <v/>
      </c>
      <c r="T390" s="83">
        <f t="shared" si="25"/>
        <v>0</v>
      </c>
      <c r="U390" s="39"/>
    </row>
    <row r="391" spans="1:21">
      <c r="A391" s="34">
        <f t="shared" si="21"/>
        <v>380</v>
      </c>
      <c r="B391" s="35"/>
      <c r="C391" s="5"/>
      <c r="D391" s="5"/>
      <c r="E391" s="6"/>
      <c r="F391" s="6"/>
      <c r="G391" s="6"/>
      <c r="H391" s="37"/>
      <c r="I391" s="35"/>
      <c r="J391" s="35"/>
      <c r="K391" s="35"/>
      <c r="L391" s="35"/>
      <c r="M391" s="35"/>
      <c r="N391" s="35"/>
      <c r="O391" s="81">
        <f t="shared" si="22"/>
        <v>0</v>
      </c>
      <c r="P391" s="38"/>
      <c r="Q391" s="38"/>
      <c r="R391" s="82" t="str">
        <f t="shared" si="23"/>
        <v/>
      </c>
      <c r="S391" s="82" t="str">
        <f t="shared" si="24"/>
        <v/>
      </c>
      <c r="T391" s="83">
        <f t="shared" si="25"/>
        <v>0</v>
      </c>
      <c r="U391" s="39"/>
    </row>
    <row r="392" spans="1:21">
      <c r="A392" s="34">
        <f t="shared" si="21"/>
        <v>381</v>
      </c>
      <c r="B392" s="35"/>
      <c r="C392" s="5"/>
      <c r="D392" s="5"/>
      <c r="E392" s="6"/>
      <c r="F392" s="6"/>
      <c r="G392" s="6"/>
      <c r="H392" s="37"/>
      <c r="I392" s="35"/>
      <c r="J392" s="35"/>
      <c r="K392" s="35"/>
      <c r="L392" s="35"/>
      <c r="M392" s="35"/>
      <c r="N392" s="35"/>
      <c r="O392" s="81">
        <f t="shared" si="22"/>
        <v>0</v>
      </c>
      <c r="P392" s="38"/>
      <c r="Q392" s="38"/>
      <c r="R392" s="82" t="str">
        <f t="shared" si="23"/>
        <v/>
      </c>
      <c r="S392" s="82" t="str">
        <f t="shared" si="24"/>
        <v/>
      </c>
      <c r="T392" s="83">
        <f t="shared" si="25"/>
        <v>0</v>
      </c>
      <c r="U392" s="39"/>
    </row>
    <row r="393" spans="1:21">
      <c r="A393" s="34">
        <f t="shared" si="21"/>
        <v>382</v>
      </c>
      <c r="B393" s="35"/>
      <c r="C393" s="5"/>
      <c r="D393" s="5"/>
      <c r="E393" s="6"/>
      <c r="F393" s="6"/>
      <c r="G393" s="6"/>
      <c r="H393" s="37"/>
      <c r="I393" s="35"/>
      <c r="J393" s="35"/>
      <c r="K393" s="35"/>
      <c r="L393" s="35"/>
      <c r="M393" s="35"/>
      <c r="N393" s="35"/>
      <c r="O393" s="81">
        <f t="shared" si="22"/>
        <v>0</v>
      </c>
      <c r="P393" s="38"/>
      <c r="Q393" s="38"/>
      <c r="R393" s="82" t="str">
        <f t="shared" si="23"/>
        <v/>
      </c>
      <c r="S393" s="82" t="str">
        <f t="shared" si="24"/>
        <v/>
      </c>
      <c r="T393" s="83">
        <f t="shared" si="25"/>
        <v>0</v>
      </c>
      <c r="U393" s="39"/>
    </row>
    <row r="394" spans="1:21">
      <c r="A394" s="34">
        <f t="shared" si="21"/>
        <v>383</v>
      </c>
      <c r="B394" s="35"/>
      <c r="C394" s="5"/>
      <c r="D394" s="5"/>
      <c r="E394" s="6"/>
      <c r="F394" s="6"/>
      <c r="G394" s="6"/>
      <c r="H394" s="37"/>
      <c r="I394" s="35"/>
      <c r="J394" s="35"/>
      <c r="K394" s="35"/>
      <c r="L394" s="35"/>
      <c r="M394" s="35"/>
      <c r="N394" s="35"/>
      <c r="O394" s="81">
        <f t="shared" si="22"/>
        <v>0</v>
      </c>
      <c r="P394" s="38"/>
      <c r="Q394" s="38"/>
      <c r="R394" s="82" t="str">
        <f t="shared" si="23"/>
        <v/>
      </c>
      <c r="S394" s="82" t="str">
        <f t="shared" si="24"/>
        <v/>
      </c>
      <c r="T394" s="83">
        <f t="shared" si="25"/>
        <v>0</v>
      </c>
      <c r="U394" s="39"/>
    </row>
    <row r="395" spans="1:21">
      <c r="A395" s="34">
        <f t="shared" si="21"/>
        <v>384</v>
      </c>
      <c r="B395" s="35"/>
      <c r="C395" s="5"/>
      <c r="D395" s="5"/>
      <c r="E395" s="6"/>
      <c r="F395" s="6"/>
      <c r="G395" s="6"/>
      <c r="H395" s="37"/>
      <c r="I395" s="35"/>
      <c r="J395" s="35"/>
      <c r="K395" s="35"/>
      <c r="L395" s="35"/>
      <c r="M395" s="35"/>
      <c r="N395" s="35"/>
      <c r="O395" s="81">
        <f t="shared" si="22"/>
        <v>0</v>
      </c>
      <c r="P395" s="38"/>
      <c r="Q395" s="38"/>
      <c r="R395" s="82" t="str">
        <f t="shared" si="23"/>
        <v/>
      </c>
      <c r="S395" s="82" t="str">
        <f t="shared" si="24"/>
        <v/>
      </c>
      <c r="T395" s="83">
        <f t="shared" si="25"/>
        <v>0</v>
      </c>
      <c r="U395" s="39"/>
    </row>
    <row r="396" spans="1:21">
      <c r="A396" s="34">
        <f t="shared" ref="A396:A411" si="26">ROW() - ROW(FRegEntriesEnteredHdr)</f>
        <v>385</v>
      </c>
      <c r="B396" s="35"/>
      <c r="C396" s="5"/>
      <c r="D396" s="5"/>
      <c r="E396" s="6"/>
      <c r="F396" s="6"/>
      <c r="G396" s="6"/>
      <c r="H396" s="37"/>
      <c r="I396" s="35"/>
      <c r="J396" s="35"/>
      <c r="K396" s="35"/>
      <c r="L396" s="35"/>
      <c r="M396" s="35"/>
      <c r="N396" s="35"/>
      <c r="O396" s="81">
        <f t="shared" ref="O396:O411" si="27">T396*N396</f>
        <v>0</v>
      </c>
      <c r="P396" s="38"/>
      <c r="Q396" s="38"/>
      <c r="R396" s="82" t="str">
        <f t="shared" ref="R396:R411" si="28">IF(OR(P396="c",P396="C"),+T396,"")</f>
        <v/>
      </c>
      <c r="S396" s="82" t="str">
        <f t="shared" ref="S396:S411" si="29">IF(OR(P396="$",N396=1),+T396,"")</f>
        <v/>
      </c>
      <c r="T396" s="83">
        <f t="shared" ref="T396:T411" si="30">B396*FRegMainSetUpEntryFee + H396*FRegMainSetUpPool1Fee + I396*FRegMainSetUpPool2Fee + J396*FRegMainSetUpPool3Fee + K396*FRegMainSetUpPool4Fee</f>
        <v>0</v>
      </c>
      <c r="U396" s="39"/>
    </row>
    <row r="397" spans="1:21">
      <c r="A397" s="34">
        <f t="shared" si="26"/>
        <v>386</v>
      </c>
      <c r="B397" s="35"/>
      <c r="C397" s="5"/>
      <c r="D397" s="5"/>
      <c r="E397" s="6"/>
      <c r="F397" s="6"/>
      <c r="G397" s="6"/>
      <c r="H397" s="37"/>
      <c r="I397" s="35"/>
      <c r="J397" s="35"/>
      <c r="K397" s="35"/>
      <c r="L397" s="35"/>
      <c r="M397" s="35"/>
      <c r="N397" s="35"/>
      <c r="O397" s="81">
        <f t="shared" si="27"/>
        <v>0</v>
      </c>
      <c r="P397" s="38"/>
      <c r="Q397" s="38"/>
      <c r="R397" s="82" t="str">
        <f t="shared" si="28"/>
        <v/>
      </c>
      <c r="S397" s="82" t="str">
        <f t="shared" si="29"/>
        <v/>
      </c>
      <c r="T397" s="83">
        <f t="shared" si="30"/>
        <v>0</v>
      </c>
      <c r="U397" s="39"/>
    </row>
    <row r="398" spans="1:21">
      <c r="A398" s="34">
        <f t="shared" si="26"/>
        <v>387</v>
      </c>
      <c r="B398" s="35"/>
      <c r="C398" s="5"/>
      <c r="D398" s="5"/>
      <c r="E398" s="6"/>
      <c r="F398" s="6"/>
      <c r="G398" s="6"/>
      <c r="H398" s="37"/>
      <c r="I398" s="35"/>
      <c r="J398" s="35"/>
      <c r="K398" s="35"/>
      <c r="L398" s="35"/>
      <c r="M398" s="35"/>
      <c r="N398" s="35"/>
      <c r="O398" s="81">
        <f t="shared" si="27"/>
        <v>0</v>
      </c>
      <c r="P398" s="38"/>
      <c r="Q398" s="38"/>
      <c r="R398" s="82" t="str">
        <f t="shared" si="28"/>
        <v/>
      </c>
      <c r="S398" s="82" t="str">
        <f t="shared" si="29"/>
        <v/>
      </c>
      <c r="T398" s="83">
        <f t="shared" si="30"/>
        <v>0</v>
      </c>
      <c r="U398" s="39"/>
    </row>
    <row r="399" spans="1:21">
      <c r="A399" s="34">
        <f t="shared" si="26"/>
        <v>388</v>
      </c>
      <c r="B399" s="35"/>
      <c r="C399" s="5"/>
      <c r="D399" s="5"/>
      <c r="E399" s="6"/>
      <c r="F399" s="6"/>
      <c r="G399" s="6"/>
      <c r="H399" s="37"/>
      <c r="I399" s="35"/>
      <c r="J399" s="35"/>
      <c r="K399" s="35"/>
      <c r="L399" s="35"/>
      <c r="M399" s="35"/>
      <c r="N399" s="35"/>
      <c r="O399" s="81">
        <f t="shared" si="27"/>
        <v>0</v>
      </c>
      <c r="P399" s="38"/>
      <c r="Q399" s="38"/>
      <c r="R399" s="82" t="str">
        <f t="shared" si="28"/>
        <v/>
      </c>
      <c r="S399" s="82" t="str">
        <f t="shared" si="29"/>
        <v/>
      </c>
      <c r="T399" s="83">
        <f t="shared" si="30"/>
        <v>0</v>
      </c>
      <c r="U399" s="39"/>
    </row>
    <row r="400" spans="1:21">
      <c r="A400" s="34">
        <f t="shared" si="26"/>
        <v>389</v>
      </c>
      <c r="B400" s="35"/>
      <c r="C400" s="5"/>
      <c r="D400" s="5"/>
      <c r="E400" s="6"/>
      <c r="F400" s="6"/>
      <c r="G400" s="6"/>
      <c r="H400" s="37"/>
      <c r="I400" s="35"/>
      <c r="J400" s="35"/>
      <c r="K400" s="35"/>
      <c r="L400" s="35"/>
      <c r="M400" s="35"/>
      <c r="N400" s="35"/>
      <c r="O400" s="81">
        <f t="shared" si="27"/>
        <v>0</v>
      </c>
      <c r="P400" s="38"/>
      <c r="Q400" s="38"/>
      <c r="R400" s="82" t="str">
        <f t="shared" si="28"/>
        <v/>
      </c>
      <c r="S400" s="82" t="str">
        <f t="shared" si="29"/>
        <v/>
      </c>
      <c r="T400" s="83">
        <f t="shared" si="30"/>
        <v>0</v>
      </c>
      <c r="U400" s="39"/>
    </row>
    <row r="401" spans="1:21">
      <c r="A401" s="34">
        <f t="shared" si="26"/>
        <v>390</v>
      </c>
      <c r="B401" s="35"/>
      <c r="C401" s="5"/>
      <c r="D401" s="5"/>
      <c r="E401" s="6"/>
      <c r="F401" s="6"/>
      <c r="G401" s="6"/>
      <c r="H401" s="37"/>
      <c r="I401" s="35"/>
      <c r="J401" s="35"/>
      <c r="K401" s="35"/>
      <c r="L401" s="35"/>
      <c r="M401" s="35"/>
      <c r="N401" s="35"/>
      <c r="O401" s="81">
        <f t="shared" si="27"/>
        <v>0</v>
      </c>
      <c r="P401" s="38"/>
      <c r="Q401" s="38"/>
      <c r="R401" s="82" t="str">
        <f t="shared" si="28"/>
        <v/>
      </c>
      <c r="S401" s="82" t="str">
        <f t="shared" si="29"/>
        <v/>
      </c>
      <c r="T401" s="83">
        <f t="shared" si="30"/>
        <v>0</v>
      </c>
      <c r="U401" s="39"/>
    </row>
    <row r="402" spans="1:21">
      <c r="A402" s="34">
        <f t="shared" si="26"/>
        <v>391</v>
      </c>
      <c r="B402" s="35"/>
      <c r="C402" s="5"/>
      <c r="D402" s="5"/>
      <c r="E402" s="6"/>
      <c r="F402" s="6"/>
      <c r="G402" s="6"/>
      <c r="H402" s="37"/>
      <c r="I402" s="35"/>
      <c r="J402" s="35"/>
      <c r="K402" s="35"/>
      <c r="L402" s="35"/>
      <c r="M402" s="35"/>
      <c r="N402" s="35"/>
      <c r="O402" s="81">
        <f t="shared" si="27"/>
        <v>0</v>
      </c>
      <c r="P402" s="38"/>
      <c r="Q402" s="38"/>
      <c r="R402" s="82" t="str">
        <f t="shared" si="28"/>
        <v/>
      </c>
      <c r="S402" s="82" t="str">
        <f t="shared" si="29"/>
        <v/>
      </c>
      <c r="T402" s="83">
        <f t="shared" si="30"/>
        <v>0</v>
      </c>
      <c r="U402" s="39"/>
    </row>
    <row r="403" spans="1:21">
      <c r="A403" s="34">
        <f t="shared" si="26"/>
        <v>392</v>
      </c>
      <c r="B403" s="35"/>
      <c r="C403" s="5"/>
      <c r="D403" s="5"/>
      <c r="E403" s="6"/>
      <c r="F403" s="6"/>
      <c r="G403" s="6"/>
      <c r="H403" s="37"/>
      <c r="I403" s="35"/>
      <c r="J403" s="35"/>
      <c r="K403" s="35"/>
      <c r="L403" s="35"/>
      <c r="M403" s="35"/>
      <c r="N403" s="35"/>
      <c r="O403" s="81">
        <f t="shared" si="27"/>
        <v>0</v>
      </c>
      <c r="P403" s="38"/>
      <c r="Q403" s="38"/>
      <c r="R403" s="82" t="str">
        <f t="shared" si="28"/>
        <v/>
      </c>
      <c r="S403" s="82" t="str">
        <f t="shared" si="29"/>
        <v/>
      </c>
      <c r="T403" s="83">
        <f t="shared" si="30"/>
        <v>0</v>
      </c>
      <c r="U403" s="39"/>
    </row>
    <row r="404" spans="1:21">
      <c r="A404" s="34">
        <f t="shared" si="26"/>
        <v>393</v>
      </c>
      <c r="B404" s="35"/>
      <c r="C404" s="5"/>
      <c r="D404" s="5"/>
      <c r="E404" s="6"/>
      <c r="F404" s="6"/>
      <c r="G404" s="6"/>
      <c r="H404" s="37"/>
      <c r="I404" s="35"/>
      <c r="J404" s="35"/>
      <c r="K404" s="35"/>
      <c r="L404" s="35"/>
      <c r="M404" s="35"/>
      <c r="N404" s="35"/>
      <c r="O404" s="81">
        <f t="shared" si="27"/>
        <v>0</v>
      </c>
      <c r="P404" s="38"/>
      <c r="Q404" s="38"/>
      <c r="R404" s="82" t="str">
        <f t="shared" si="28"/>
        <v/>
      </c>
      <c r="S404" s="82" t="str">
        <f t="shared" si="29"/>
        <v/>
      </c>
      <c r="T404" s="83">
        <f t="shared" si="30"/>
        <v>0</v>
      </c>
      <c r="U404" s="39"/>
    </row>
    <row r="405" spans="1:21">
      <c r="A405" s="34">
        <f t="shared" si="26"/>
        <v>394</v>
      </c>
      <c r="B405" s="35"/>
      <c r="C405" s="5"/>
      <c r="D405" s="5"/>
      <c r="E405" s="6"/>
      <c r="F405" s="6"/>
      <c r="G405" s="6"/>
      <c r="H405" s="37"/>
      <c r="I405" s="35"/>
      <c r="J405" s="35"/>
      <c r="K405" s="35"/>
      <c r="L405" s="35"/>
      <c r="M405" s="35"/>
      <c r="N405" s="35"/>
      <c r="O405" s="81">
        <f t="shared" si="27"/>
        <v>0</v>
      </c>
      <c r="P405" s="38"/>
      <c r="Q405" s="38"/>
      <c r="R405" s="82" t="str">
        <f t="shared" si="28"/>
        <v/>
      </c>
      <c r="S405" s="82" t="str">
        <f t="shared" si="29"/>
        <v/>
      </c>
      <c r="T405" s="83">
        <f t="shared" si="30"/>
        <v>0</v>
      </c>
      <c r="U405" s="39"/>
    </row>
    <row r="406" spans="1:21">
      <c r="A406" s="34">
        <f t="shared" si="26"/>
        <v>395</v>
      </c>
      <c r="B406" s="35"/>
      <c r="C406" s="5"/>
      <c r="D406" s="5"/>
      <c r="E406" s="6"/>
      <c r="F406" s="6"/>
      <c r="G406" s="6"/>
      <c r="H406" s="37"/>
      <c r="I406" s="35"/>
      <c r="J406" s="35"/>
      <c r="K406" s="35"/>
      <c r="L406" s="35"/>
      <c r="M406" s="35"/>
      <c r="N406" s="35"/>
      <c r="O406" s="81">
        <f t="shared" si="27"/>
        <v>0</v>
      </c>
      <c r="P406" s="38"/>
      <c r="Q406" s="38"/>
      <c r="R406" s="82" t="str">
        <f t="shared" si="28"/>
        <v/>
      </c>
      <c r="S406" s="82" t="str">
        <f t="shared" si="29"/>
        <v/>
      </c>
      <c r="T406" s="83">
        <f t="shared" si="30"/>
        <v>0</v>
      </c>
      <c r="U406" s="39"/>
    </row>
    <row r="407" spans="1:21">
      <c r="A407" s="34">
        <f t="shared" si="26"/>
        <v>396</v>
      </c>
      <c r="B407" s="35"/>
      <c r="C407" s="5"/>
      <c r="D407" s="5"/>
      <c r="E407" s="6"/>
      <c r="F407" s="6"/>
      <c r="G407" s="6"/>
      <c r="H407" s="37"/>
      <c r="I407" s="35"/>
      <c r="J407" s="35"/>
      <c r="K407" s="35"/>
      <c r="L407" s="35"/>
      <c r="M407" s="35"/>
      <c r="N407" s="35"/>
      <c r="O407" s="81">
        <f t="shared" si="27"/>
        <v>0</v>
      </c>
      <c r="P407" s="38"/>
      <c r="Q407" s="38"/>
      <c r="R407" s="82" t="str">
        <f t="shared" si="28"/>
        <v/>
      </c>
      <c r="S407" s="82" t="str">
        <f t="shared" si="29"/>
        <v/>
      </c>
      <c r="T407" s="83">
        <f t="shared" si="30"/>
        <v>0</v>
      </c>
      <c r="U407" s="39"/>
    </row>
    <row r="408" spans="1:21">
      <c r="A408" s="34">
        <f t="shared" si="26"/>
        <v>397</v>
      </c>
      <c r="B408" s="35"/>
      <c r="C408" s="5"/>
      <c r="D408" s="5"/>
      <c r="E408" s="6"/>
      <c r="F408" s="6"/>
      <c r="G408" s="6"/>
      <c r="H408" s="37"/>
      <c r="I408" s="35"/>
      <c r="J408" s="35"/>
      <c r="K408" s="35"/>
      <c r="L408" s="35"/>
      <c r="M408" s="35"/>
      <c r="N408" s="35"/>
      <c r="O408" s="81">
        <f t="shared" si="27"/>
        <v>0</v>
      </c>
      <c r="P408" s="38"/>
      <c r="Q408" s="38"/>
      <c r="R408" s="82" t="str">
        <f t="shared" si="28"/>
        <v/>
      </c>
      <c r="S408" s="82" t="str">
        <f t="shared" si="29"/>
        <v/>
      </c>
      <c r="T408" s="83">
        <f t="shared" si="30"/>
        <v>0</v>
      </c>
      <c r="U408" s="39"/>
    </row>
    <row r="409" spans="1:21">
      <c r="A409" s="34">
        <f t="shared" si="26"/>
        <v>398</v>
      </c>
      <c r="B409" s="35"/>
      <c r="C409" s="5"/>
      <c r="D409" s="5"/>
      <c r="E409" s="6"/>
      <c r="F409" s="6"/>
      <c r="G409" s="6"/>
      <c r="H409" s="37"/>
      <c r="I409" s="35"/>
      <c r="J409" s="35"/>
      <c r="K409" s="35"/>
      <c r="L409" s="35"/>
      <c r="M409" s="35"/>
      <c r="N409" s="35"/>
      <c r="O409" s="81">
        <f t="shared" si="27"/>
        <v>0</v>
      </c>
      <c r="P409" s="38"/>
      <c r="Q409" s="38"/>
      <c r="R409" s="82" t="str">
        <f t="shared" si="28"/>
        <v/>
      </c>
      <c r="S409" s="82" t="str">
        <f t="shared" si="29"/>
        <v/>
      </c>
      <c r="T409" s="83">
        <f t="shared" si="30"/>
        <v>0</v>
      </c>
      <c r="U409" s="39"/>
    </row>
    <row r="410" spans="1:21">
      <c r="A410" s="34">
        <f t="shared" si="26"/>
        <v>399</v>
      </c>
      <c r="B410" s="35"/>
      <c r="C410" s="5"/>
      <c r="D410" s="5"/>
      <c r="E410" s="6"/>
      <c r="F410" s="6"/>
      <c r="G410" s="6"/>
      <c r="H410" s="37"/>
      <c r="I410" s="35"/>
      <c r="J410" s="35"/>
      <c r="K410" s="35"/>
      <c r="L410" s="35"/>
      <c r="M410" s="35"/>
      <c r="N410" s="35"/>
      <c r="O410" s="81">
        <f t="shared" si="27"/>
        <v>0</v>
      </c>
      <c r="P410" s="38"/>
      <c r="Q410" s="38"/>
      <c r="R410" s="82" t="str">
        <f t="shared" si="28"/>
        <v/>
      </c>
      <c r="S410" s="82" t="str">
        <f t="shared" si="29"/>
        <v/>
      </c>
      <c r="T410" s="83">
        <f t="shared" si="30"/>
        <v>0</v>
      </c>
      <c r="U410" s="39"/>
    </row>
    <row r="411" spans="1:21">
      <c r="A411" s="34">
        <f t="shared" si="26"/>
        <v>400</v>
      </c>
      <c r="B411" s="35"/>
      <c r="C411" s="5"/>
      <c r="D411" s="5"/>
      <c r="E411" s="6"/>
      <c r="F411" s="6"/>
      <c r="G411" s="6"/>
      <c r="H411" s="37"/>
      <c r="I411" s="35"/>
      <c r="J411" s="35"/>
      <c r="K411" s="35"/>
      <c r="L411" s="35"/>
      <c r="M411" s="35"/>
      <c r="N411" s="35"/>
      <c r="O411" s="81">
        <f t="shared" si="27"/>
        <v>0</v>
      </c>
      <c r="P411" s="38"/>
      <c r="Q411" s="38"/>
      <c r="R411" s="82" t="str">
        <f t="shared" si="28"/>
        <v/>
      </c>
      <c r="S411" s="82" t="str">
        <f t="shared" si="29"/>
        <v/>
      </c>
      <c r="T411" s="83">
        <f t="shared" si="30"/>
        <v>0</v>
      </c>
      <c r="U411" s="39"/>
    </row>
  </sheetData>
  <sheetProtection selectLockedCells="1"/>
  <sortState ref="B12:U216">
    <sortCondition ref="B12"/>
    <sortCondition ref="C12"/>
  </sortState>
  <mergeCells count="4">
    <mergeCell ref="K2:N2"/>
    <mergeCell ref="K3:N3"/>
    <mergeCell ref="K4:N4"/>
    <mergeCell ref="K5:L5"/>
  </mergeCells>
  <hyperlinks>
    <hyperlink ref="G114" r:id="rId1"/>
    <hyperlink ref="G62" r:id="rId2"/>
    <hyperlink ref="G71" r:id="rId3"/>
    <hyperlink ref="G21" r:id="rId4"/>
    <hyperlink ref="G78" r:id="rId5"/>
    <hyperlink ref="G32" r:id="rId6"/>
    <hyperlink ref="G108" r:id="rId7"/>
    <hyperlink ref="G115" r:id="rId8"/>
    <hyperlink ref="G122" r:id="rId9"/>
    <hyperlink ref="G38" r:id="rId10"/>
    <hyperlink ref="G134" r:id="rId11"/>
    <hyperlink ref="G43" r:id="rId12"/>
    <hyperlink ref="G44" r:id="rId13"/>
    <hyperlink ref="G45" r:id="rId14"/>
    <hyperlink ref="G55" r:id="rId15"/>
    <hyperlink ref="G180" r:id="rId16"/>
    <hyperlink ref="G185" r:id="rId17"/>
    <hyperlink ref="G189" r:id="rId18"/>
    <hyperlink ref="G64" r:id="rId19"/>
    <hyperlink ref="G205" r:id="rId20"/>
    <hyperlink ref="G211" r:id="rId21"/>
    <hyperlink ref="G212" r:id="rId22"/>
    <hyperlink ref="G152" r:id="rId23"/>
    <hyperlink ref="G153" r:id="rId24"/>
    <hyperlink ref="G31" r:id="rId25"/>
    <hyperlink ref="G48" r:id="rId26"/>
    <hyperlink ref="G123" r:id="rId27"/>
    <hyperlink ref="G163" r:id="rId28"/>
    <hyperlink ref="G52" r:id="rId29"/>
    <hyperlink ref="G147" r:id="rId30"/>
    <hyperlink ref="G124" r:id="rId31"/>
    <hyperlink ref="G182" r:id="rId32"/>
    <hyperlink ref="G194" r:id="rId33"/>
    <hyperlink ref="G216" r:id="rId34"/>
    <hyperlink ref="G184" r:id="rId35"/>
    <hyperlink ref="G158" r:id="rId36"/>
    <hyperlink ref="G190" r:id="rId37"/>
    <hyperlink ref="G26" r:id="rId38"/>
    <hyperlink ref="G57" r:id="rId39"/>
    <hyperlink ref="G174" r:id="rId40"/>
    <hyperlink ref="G42" r:id="rId41"/>
    <hyperlink ref="G119" r:id="rId42"/>
    <hyperlink ref="G120" r:id="rId43"/>
    <hyperlink ref="G97" r:id="rId44"/>
    <hyperlink ref="G17" r:id="rId45"/>
    <hyperlink ref="G154" r:id="rId46"/>
    <hyperlink ref="G25" r:id="rId47"/>
    <hyperlink ref="G118" r:id="rId48"/>
    <hyperlink ref="G109" r:id="rId49"/>
    <hyperlink ref="G159" r:id="rId50"/>
    <hyperlink ref="G210" r:id="rId51"/>
    <hyperlink ref="G87" r:id="rId52"/>
    <hyperlink ref="G27" r:id="rId53"/>
    <hyperlink ref="G203" r:id="rId54"/>
    <hyperlink ref="G175" r:id="rId55"/>
    <hyperlink ref="G12" r:id="rId56"/>
    <hyperlink ref="G165" r:id="rId57"/>
    <hyperlink ref="G89" r:id="rId58"/>
    <hyperlink ref="G94" r:id="rId59"/>
    <hyperlink ref="G22" r:id="rId60"/>
    <hyperlink ref="G18" r:id="rId61"/>
    <hyperlink ref="G19" r:id="rId62"/>
    <hyperlink ref="G24" r:id="rId63"/>
    <hyperlink ref="G28" r:id="rId64"/>
    <hyperlink ref="G23" r:id="rId65"/>
    <hyperlink ref="G30" r:id="rId66"/>
    <hyperlink ref="G60" r:id="rId67"/>
    <hyperlink ref="G14" r:id="rId68"/>
    <hyperlink ref="G15" r:id="rId69"/>
    <hyperlink ref="G67" r:id="rId70"/>
  </hyperlinks>
  <pageMargins left="0.7" right="0.7" top="0.75" bottom="0.75" header="0.3" footer="0.3"/>
  <pageSetup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8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9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9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9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45"/>
  <sheetViews>
    <sheetView showZeros="0" workbookViewId="0">
      <selection activeCell="A5" sqref="A5"/>
    </sheetView>
  </sheetViews>
  <sheetFormatPr defaultRowHeight="1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>
      <c r="A2" s="51" t="s">
        <v>604</v>
      </c>
    </row>
    <row r="3" spans="1:12">
      <c r="K3" s="52"/>
    </row>
    <row r="4" spans="1:12" ht="30">
      <c r="A4" s="29" t="s">
        <v>425</v>
      </c>
      <c r="B4" s="30" t="s">
        <v>426</v>
      </c>
      <c r="C4" s="31" t="s">
        <v>427</v>
      </c>
      <c r="D4" s="33" t="s">
        <v>430</v>
      </c>
      <c r="E4" s="33" t="s">
        <v>431</v>
      </c>
      <c r="F4" s="33" t="s">
        <v>432</v>
      </c>
      <c r="G4" s="33" t="s">
        <v>433</v>
      </c>
      <c r="H4" s="33" t="s">
        <v>434</v>
      </c>
      <c r="I4" s="33" t="s">
        <v>605</v>
      </c>
      <c r="J4" s="33" t="s">
        <v>436</v>
      </c>
      <c r="K4" s="53" t="s">
        <v>606</v>
      </c>
      <c r="L4" s="54" t="s">
        <v>607</v>
      </c>
    </row>
    <row r="5" spans="1:12" ht="15.75">
      <c r="A5" s="92" t="s">
        <v>797</v>
      </c>
      <c r="B5" s="92" t="s">
        <v>798</v>
      </c>
      <c r="C5" s="93" t="s">
        <v>662</v>
      </c>
      <c r="D5" s="96"/>
      <c r="E5" s="91"/>
      <c r="F5" s="91"/>
      <c r="G5" s="91"/>
      <c r="H5" s="91"/>
      <c r="I5" s="91"/>
      <c r="J5" s="91">
        <v>1</v>
      </c>
      <c r="K5" s="81">
        <v>70</v>
      </c>
      <c r="L5" s="56"/>
    </row>
    <row r="6" spans="1:12" ht="15.75">
      <c r="A6" s="92" t="s">
        <v>800</v>
      </c>
      <c r="B6" s="92" t="s">
        <v>798</v>
      </c>
      <c r="C6" s="93" t="s">
        <v>801</v>
      </c>
      <c r="D6" s="96"/>
      <c r="E6" s="91"/>
      <c r="F6" s="91"/>
      <c r="G6" s="91"/>
      <c r="H6" s="91"/>
      <c r="I6" s="91"/>
      <c r="J6" s="91">
        <v>1</v>
      </c>
      <c r="K6" s="81">
        <v>70</v>
      </c>
      <c r="L6" s="56"/>
    </row>
    <row r="7" spans="1:12" ht="15.75">
      <c r="A7" s="92" t="s">
        <v>803</v>
      </c>
      <c r="B7" s="92" t="s">
        <v>798</v>
      </c>
      <c r="C7" s="93" t="s">
        <v>804</v>
      </c>
      <c r="D7" s="96"/>
      <c r="E7" s="91"/>
      <c r="F7" s="91"/>
      <c r="G7" s="91"/>
      <c r="H7" s="91"/>
      <c r="I7" s="91"/>
      <c r="J7" s="91">
        <v>1</v>
      </c>
      <c r="K7" s="81">
        <v>70</v>
      </c>
      <c r="L7" s="56"/>
    </row>
    <row r="8" spans="1:12" ht="15.75">
      <c r="A8" s="92" t="s">
        <v>756</v>
      </c>
      <c r="B8" s="92" t="s">
        <v>757</v>
      </c>
      <c r="C8" s="93" t="s">
        <v>758</v>
      </c>
      <c r="D8" s="96"/>
      <c r="E8" s="91"/>
      <c r="F8" s="91"/>
      <c r="G8" s="91"/>
      <c r="H8" s="91"/>
      <c r="I8" s="91"/>
      <c r="J8" s="91">
        <v>1</v>
      </c>
      <c r="K8" s="81">
        <v>70</v>
      </c>
      <c r="L8" s="56"/>
    </row>
    <row r="9" spans="1:12" ht="15.75">
      <c r="A9" s="92" t="s">
        <v>166</v>
      </c>
      <c r="B9" s="92" t="s">
        <v>167</v>
      </c>
      <c r="C9" s="93" t="s">
        <v>168</v>
      </c>
      <c r="D9" s="96">
        <v>1</v>
      </c>
      <c r="E9" s="91">
        <v>1</v>
      </c>
      <c r="F9" s="91"/>
      <c r="G9" s="91"/>
      <c r="H9" s="91"/>
      <c r="I9" s="91"/>
      <c r="J9" s="91">
        <v>1</v>
      </c>
      <c r="K9" s="81">
        <v>90</v>
      </c>
      <c r="L9" s="56"/>
    </row>
    <row r="10" spans="1:12" ht="15.75">
      <c r="A10" s="105" t="s">
        <v>672</v>
      </c>
      <c r="B10" s="105" t="s">
        <v>350</v>
      </c>
      <c r="C10" s="102" t="s">
        <v>673</v>
      </c>
      <c r="D10" s="96"/>
      <c r="E10" s="91">
        <v>1</v>
      </c>
      <c r="F10" s="91">
        <v>1</v>
      </c>
      <c r="G10" s="91">
        <v>1</v>
      </c>
      <c r="H10" s="91"/>
      <c r="I10" s="91"/>
      <c r="J10" s="91">
        <v>1</v>
      </c>
      <c r="K10" s="81">
        <v>150</v>
      </c>
      <c r="L10" s="56"/>
    </row>
    <row r="11" spans="1:12" ht="15.75">
      <c r="A11" s="105" t="s">
        <v>674</v>
      </c>
      <c r="B11" s="105" t="s">
        <v>159</v>
      </c>
      <c r="C11" s="102" t="s">
        <v>675</v>
      </c>
      <c r="D11" s="96">
        <v>1</v>
      </c>
      <c r="E11" s="91"/>
      <c r="F11" s="91">
        <v>1</v>
      </c>
      <c r="G11" s="91"/>
      <c r="H11" s="91">
        <v>1</v>
      </c>
      <c r="I11" s="91"/>
      <c r="J11" s="91">
        <v>1</v>
      </c>
      <c r="K11" s="81">
        <v>100</v>
      </c>
      <c r="L11" s="56"/>
    </row>
    <row r="12" spans="1:12" ht="15.75">
      <c r="A12" s="92" t="s">
        <v>349</v>
      </c>
      <c r="B12" s="92" t="s">
        <v>350</v>
      </c>
      <c r="C12" s="93" t="s">
        <v>351</v>
      </c>
      <c r="D12" s="96">
        <v>1</v>
      </c>
      <c r="E12" s="91">
        <v>1</v>
      </c>
      <c r="F12" s="91">
        <v>1</v>
      </c>
      <c r="G12" s="91"/>
      <c r="H12" s="91"/>
      <c r="I12" s="91"/>
      <c r="J12" s="91">
        <v>1</v>
      </c>
      <c r="K12" s="81">
        <v>110</v>
      </c>
      <c r="L12" s="56"/>
    </row>
    <row r="13" spans="1:12" ht="15.75">
      <c r="A13" s="92" t="s">
        <v>318</v>
      </c>
      <c r="B13" s="92" t="s">
        <v>148</v>
      </c>
      <c r="C13" s="93" t="s">
        <v>319</v>
      </c>
      <c r="D13" s="96">
        <v>1</v>
      </c>
      <c r="E13" s="91">
        <v>1</v>
      </c>
      <c r="F13" s="91">
        <v>1</v>
      </c>
      <c r="G13" s="91">
        <v>1</v>
      </c>
      <c r="H13" s="91"/>
      <c r="I13" s="91"/>
      <c r="J13" s="91" t="s">
        <v>418</v>
      </c>
      <c r="K13" s="81" t="s">
        <v>418</v>
      </c>
      <c r="L13" s="56"/>
    </row>
    <row r="14" spans="1:12">
      <c r="A14" s="7"/>
      <c r="B14" s="7"/>
      <c r="C14" s="8"/>
      <c r="D14" s="37"/>
      <c r="E14" s="35"/>
      <c r="F14" s="35"/>
      <c r="G14" s="35"/>
      <c r="H14" s="35"/>
      <c r="I14" s="35"/>
      <c r="J14" s="35"/>
      <c r="K14" s="81"/>
      <c r="L14" s="56"/>
    </row>
    <row r="15" spans="1:12">
      <c r="A15" s="5"/>
      <c r="B15" s="5"/>
      <c r="C15" s="6"/>
      <c r="D15" s="37"/>
      <c r="E15" s="35"/>
      <c r="F15" s="35"/>
      <c r="G15" s="35"/>
      <c r="H15" s="35"/>
      <c r="I15" s="35"/>
      <c r="J15" s="35"/>
      <c r="K15" s="55"/>
      <c r="L15" s="56"/>
    </row>
    <row r="16" spans="1:12">
      <c r="A16" s="15"/>
      <c r="B16" s="15"/>
      <c r="C16" s="10"/>
      <c r="D16" s="37"/>
      <c r="E16" s="35"/>
      <c r="F16" s="35"/>
      <c r="G16" s="35"/>
      <c r="H16" s="35"/>
      <c r="I16" s="35"/>
      <c r="J16" s="35"/>
      <c r="K16" s="55"/>
      <c r="L16" s="56"/>
    </row>
    <row r="17" spans="1:12">
      <c r="A17" s="15"/>
      <c r="B17" s="15"/>
      <c r="C17" s="10"/>
      <c r="D17" s="37"/>
      <c r="E17" s="35"/>
      <c r="F17" s="35"/>
      <c r="G17" s="35"/>
      <c r="H17" s="35"/>
      <c r="I17" s="35"/>
      <c r="J17" s="35"/>
      <c r="K17" s="55"/>
      <c r="L17" s="56"/>
    </row>
    <row r="18" spans="1:12">
      <c r="A18" s="15"/>
      <c r="B18" s="15"/>
      <c r="C18" s="10"/>
      <c r="D18" s="37"/>
      <c r="E18" s="35"/>
      <c r="F18" s="35"/>
      <c r="G18" s="35"/>
      <c r="H18" s="35"/>
      <c r="I18" s="35"/>
      <c r="J18" s="35"/>
      <c r="K18" s="55"/>
      <c r="L18" s="56"/>
    </row>
    <row r="19" spans="1:12">
      <c r="A19" s="15"/>
      <c r="B19" s="15"/>
      <c r="C19" s="10"/>
      <c r="D19" s="41"/>
      <c r="E19" s="41"/>
      <c r="F19" s="41"/>
      <c r="G19" s="42"/>
      <c r="H19" s="42"/>
      <c r="I19" s="42"/>
      <c r="J19" s="42"/>
      <c r="K19" s="55"/>
      <c r="L19" s="56"/>
    </row>
    <row r="20" spans="1:12">
      <c r="A20" s="5"/>
      <c r="B20" s="5"/>
      <c r="C20" s="6"/>
      <c r="D20" s="41"/>
      <c r="E20" s="41"/>
      <c r="F20" s="41"/>
      <c r="G20" s="42"/>
      <c r="H20" s="42"/>
      <c r="I20" s="42"/>
      <c r="J20" s="42"/>
      <c r="K20" s="55"/>
      <c r="L20" s="56"/>
    </row>
    <row r="21" spans="1:12">
      <c r="A21" s="15"/>
      <c r="B21" s="15"/>
      <c r="C21" s="10"/>
      <c r="D21" s="37"/>
      <c r="E21" s="35"/>
      <c r="F21" s="35"/>
      <c r="G21" s="35"/>
      <c r="H21" s="35"/>
      <c r="I21" s="35"/>
      <c r="J21" s="35"/>
      <c r="K21" s="55"/>
      <c r="L21" s="56"/>
    </row>
    <row r="22" spans="1:12">
      <c r="A22" s="15"/>
      <c r="B22" s="15"/>
      <c r="C22" s="10"/>
      <c r="D22" s="37"/>
      <c r="E22" s="35"/>
      <c r="F22" s="35"/>
      <c r="G22" s="35"/>
      <c r="H22" s="35"/>
      <c r="I22" s="35"/>
      <c r="J22" s="35"/>
      <c r="K22" s="55"/>
      <c r="L22" s="56"/>
    </row>
    <row r="23" spans="1:12">
      <c r="A23" s="5"/>
      <c r="B23" s="5"/>
      <c r="C23" s="6"/>
      <c r="D23" s="41"/>
      <c r="E23" s="41"/>
      <c r="F23" s="41"/>
      <c r="G23" s="42"/>
      <c r="H23" s="42"/>
      <c r="I23" s="42"/>
      <c r="J23" s="42"/>
      <c r="K23" s="55"/>
      <c r="L23" s="56"/>
    </row>
    <row r="24" spans="1:12">
      <c r="A24" s="5"/>
      <c r="B24" s="5"/>
      <c r="C24" s="6"/>
      <c r="D24" s="37"/>
      <c r="E24" s="35"/>
      <c r="F24" s="35"/>
      <c r="G24" s="35"/>
      <c r="H24" s="35"/>
      <c r="I24" s="35"/>
      <c r="J24" s="35"/>
      <c r="K24" s="55"/>
      <c r="L24" s="56"/>
    </row>
    <row r="25" spans="1:12">
      <c r="A25" s="7"/>
      <c r="B25" s="7"/>
      <c r="C25" s="8"/>
      <c r="D25" s="42"/>
      <c r="E25" s="42"/>
      <c r="F25" s="42"/>
      <c r="G25" s="42"/>
      <c r="H25" s="42"/>
      <c r="I25" s="42"/>
      <c r="J25" s="42"/>
      <c r="K25" s="55"/>
      <c r="L25" s="56"/>
    </row>
    <row r="26" spans="1:1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55"/>
      <c r="L26" s="56"/>
    </row>
    <row r="27" spans="1:1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55"/>
      <c r="L27" s="56"/>
    </row>
    <row r="28" spans="1:1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55"/>
      <c r="L28" s="56"/>
    </row>
    <row r="29" spans="1:1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55"/>
      <c r="L29" s="56"/>
    </row>
    <row r="30" spans="1:1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55"/>
      <c r="L30" s="56"/>
    </row>
    <row r="31" spans="1:1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55"/>
      <c r="L31" s="56"/>
    </row>
    <row r="32" spans="1:1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55"/>
      <c r="L32" s="56"/>
    </row>
    <row r="33" spans="1:1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55"/>
      <c r="L33" s="56"/>
    </row>
    <row r="34" spans="1:1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55"/>
      <c r="L34" s="56"/>
    </row>
    <row r="35" spans="1:1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55"/>
      <c r="L35" s="56"/>
    </row>
    <row r="36" spans="1:1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55"/>
      <c r="L36" s="56"/>
    </row>
    <row r="37" spans="1:1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55"/>
      <c r="L37" s="56"/>
    </row>
    <row r="38" spans="1:1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55"/>
      <c r="L38" s="56"/>
    </row>
    <row r="39" spans="1:1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55"/>
      <c r="L39" s="56"/>
    </row>
    <row r="40" spans="1:1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55"/>
      <c r="L40" s="56"/>
    </row>
    <row r="41" spans="1:1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55"/>
      <c r="L41" s="56"/>
    </row>
    <row r="42" spans="1:1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55"/>
      <c r="L42" s="56"/>
    </row>
    <row r="43" spans="1:1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55"/>
      <c r="L43" s="56"/>
    </row>
    <row r="44" spans="1:1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55"/>
      <c r="L44" s="56"/>
    </row>
    <row r="45" spans="1:1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55"/>
      <c r="L45" s="56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5:E407"/>
  <sheetViews>
    <sheetView workbookViewId="0">
      <selection activeCell="C7" sqref="C7"/>
    </sheetView>
  </sheetViews>
  <sheetFormatPr defaultRowHeight="15"/>
  <cols>
    <col min="3" max="3" width="26" customWidth="1"/>
    <col min="4" max="4" width="24.140625" customWidth="1"/>
    <col min="5" max="5" width="11.7109375" customWidth="1"/>
  </cols>
  <sheetData>
    <row r="5" spans="3:5" ht="21.75" thickBot="1">
      <c r="C5" s="1" t="s">
        <v>0</v>
      </c>
    </row>
    <row r="6" spans="3:5" ht="15.75" thickBot="1">
      <c r="C6" s="2" t="s">
        <v>1</v>
      </c>
      <c r="D6" s="3" t="s">
        <v>2</v>
      </c>
      <c r="E6" s="74" t="s">
        <v>3</v>
      </c>
    </row>
    <row r="7" spans="3:5">
      <c r="C7" s="5"/>
      <c r="D7" s="5"/>
      <c r="E7" s="6"/>
    </row>
    <row r="8" spans="3:5">
      <c r="C8" s="7"/>
      <c r="D8" s="7"/>
      <c r="E8" s="8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  <row r="407" spans="3: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E406"/>
  <sheetViews>
    <sheetView workbookViewId="0">
      <selection activeCell="C7" sqref="C7"/>
    </sheetView>
  </sheetViews>
  <sheetFormatPr defaultRowHeight="15"/>
  <cols>
    <col min="3" max="3" width="16" customWidth="1"/>
    <col min="4" max="4" width="18.5703125" customWidth="1"/>
    <col min="5" max="5" width="10.85546875" customWidth="1"/>
  </cols>
  <sheetData>
    <row r="5" spans="3:5" ht="21.75" thickBot="1">
      <c r="C5" s="70" t="s">
        <v>443</v>
      </c>
    </row>
    <row r="6" spans="3:5" ht="15.75" thickBot="1">
      <c r="C6" s="2" t="s">
        <v>1</v>
      </c>
      <c r="D6" s="2" t="s">
        <v>2</v>
      </c>
      <c r="E6" s="2" t="s">
        <v>3</v>
      </c>
    </row>
    <row r="7" spans="3:5">
      <c r="C7" s="7"/>
      <c r="D7" s="12"/>
      <c r="E7" s="8"/>
    </row>
    <row r="8" spans="3:5">
      <c r="C8" s="15"/>
      <c r="D8" s="15"/>
      <c r="E8" s="10"/>
    </row>
    <row r="9" spans="3:5">
      <c r="C9" s="7"/>
      <c r="D9" s="7"/>
      <c r="E9" s="8"/>
    </row>
    <row r="10" spans="3:5">
      <c r="C10" s="7"/>
      <c r="D10" s="7"/>
      <c r="E10" s="8"/>
    </row>
    <row r="11" spans="3:5">
      <c r="C11" s="5"/>
      <c r="D11" s="5"/>
      <c r="E11" s="6"/>
    </row>
    <row r="12" spans="3:5">
      <c r="C12" s="5"/>
      <c r="D12" s="5"/>
      <c r="E12" s="6"/>
    </row>
    <row r="13" spans="3:5">
      <c r="C13" s="7"/>
      <c r="D13" s="7"/>
      <c r="E13" s="8"/>
    </row>
    <row r="14" spans="3:5">
      <c r="C14" s="5"/>
      <c r="D14" s="5"/>
      <c r="E14" s="6"/>
    </row>
    <row r="15" spans="3:5">
      <c r="C15" s="5"/>
      <c r="D15" s="5"/>
      <c r="E15" s="6"/>
    </row>
    <row r="16" spans="3:5">
      <c r="C16" s="5"/>
      <c r="D16" s="5"/>
      <c r="E16" s="6"/>
    </row>
    <row r="17" spans="3:5">
      <c r="C17" s="7"/>
      <c r="D17" s="7"/>
      <c r="E17" s="8"/>
    </row>
    <row r="18" spans="3:5">
      <c r="C18" s="5"/>
      <c r="D18" s="5"/>
      <c r="E18" s="6"/>
    </row>
    <row r="19" spans="3:5">
      <c r="C19" s="5"/>
      <c r="D19" s="5"/>
      <c r="E19" s="6"/>
    </row>
    <row r="20" spans="3:5">
      <c r="C20" s="5"/>
      <c r="D20" s="5"/>
      <c r="E20" s="6"/>
    </row>
    <row r="21" spans="3:5">
      <c r="C21" s="7"/>
      <c r="D21" s="7"/>
      <c r="E21" s="8"/>
    </row>
    <row r="22" spans="3:5">
      <c r="C22" s="7"/>
      <c r="D22" s="7"/>
      <c r="E22" s="8"/>
    </row>
    <row r="23" spans="3:5">
      <c r="C23" s="5"/>
      <c r="D23" s="5"/>
      <c r="E23" s="6"/>
    </row>
    <row r="24" spans="3:5">
      <c r="C24" s="5"/>
      <c r="D24" s="7"/>
      <c r="E24" s="6"/>
    </row>
    <row r="25" spans="3:5">
      <c r="C25" s="5"/>
      <c r="D25" s="5"/>
      <c r="E25" s="6"/>
    </row>
    <row r="26" spans="3:5">
      <c r="C26" s="5"/>
      <c r="D26" s="5"/>
      <c r="E26" s="6"/>
    </row>
    <row r="27" spans="3:5">
      <c r="C27" s="7"/>
      <c r="D27" s="7"/>
      <c r="E27" s="8"/>
    </row>
    <row r="28" spans="3:5">
      <c r="C28" s="5"/>
      <c r="D28" s="5"/>
      <c r="E28" s="6"/>
    </row>
    <row r="29" spans="3:5">
      <c r="C29" s="5"/>
      <c r="D29" s="5"/>
      <c r="E29" s="6"/>
    </row>
    <row r="30" spans="3:5">
      <c r="C30" s="5"/>
      <c r="D30" s="5"/>
      <c r="E30" s="6"/>
    </row>
    <row r="31" spans="3:5">
      <c r="C31" s="75"/>
      <c r="D31" s="75"/>
      <c r="E31" s="76"/>
    </row>
    <row r="32" spans="3:5">
      <c r="C32" s="75"/>
      <c r="D32" s="75"/>
      <c r="E32" s="76"/>
    </row>
    <row r="33" spans="3:5" ht="15.75">
      <c r="C33" s="75"/>
      <c r="D33" s="75"/>
      <c r="E33" s="77"/>
    </row>
    <row r="34" spans="3:5">
      <c r="C34" s="13"/>
      <c r="D34" s="13"/>
      <c r="E34" s="11"/>
    </row>
    <row r="35" spans="3:5">
      <c r="C35" s="75"/>
      <c r="D35" s="75"/>
      <c r="E35" s="76"/>
    </row>
    <row r="36" spans="3:5">
      <c r="C36" s="75"/>
      <c r="D36" s="75"/>
      <c r="E36" s="76"/>
    </row>
    <row r="37" spans="3:5">
      <c r="C37" s="13"/>
      <c r="D37" s="13"/>
      <c r="E37" s="11"/>
    </row>
    <row r="38" spans="3:5">
      <c r="C38" s="75"/>
      <c r="D38" s="75"/>
      <c r="E38" s="76"/>
    </row>
    <row r="39" spans="3:5">
      <c r="C39" s="75"/>
      <c r="D39" s="75"/>
      <c r="E39" s="76"/>
    </row>
    <row r="40" spans="3:5">
      <c r="C40" s="13"/>
      <c r="D40" s="13"/>
      <c r="E40" s="11"/>
    </row>
    <row r="41" spans="3:5">
      <c r="C41" s="75"/>
      <c r="D41" s="75"/>
      <c r="E41" s="76"/>
    </row>
    <row r="42" spans="3:5">
      <c r="C42" s="13"/>
      <c r="D42" s="13"/>
      <c r="E42" s="11"/>
    </row>
    <row r="43" spans="3:5">
      <c r="C43" s="13"/>
      <c r="D43" s="13"/>
      <c r="E43" s="11"/>
    </row>
    <row r="44" spans="3:5">
      <c r="C44" s="75"/>
      <c r="D44" s="75"/>
      <c r="E44" s="76"/>
    </row>
    <row r="45" spans="3:5">
      <c r="C45" s="75"/>
      <c r="D45" s="75"/>
      <c r="E45" s="76"/>
    </row>
    <row r="46" spans="3:5">
      <c r="C46" s="13"/>
      <c r="D46" s="13"/>
      <c r="E46" s="11"/>
    </row>
    <row r="47" spans="3:5">
      <c r="C47" s="75"/>
      <c r="D47" s="75"/>
      <c r="E47" s="76"/>
    </row>
    <row r="48" spans="3:5">
      <c r="C48" s="13"/>
      <c r="D48" s="13"/>
      <c r="E48" s="11"/>
    </row>
    <row r="49" spans="3:5">
      <c r="C49" s="13"/>
      <c r="D49" s="13"/>
      <c r="E49" s="11"/>
    </row>
    <row r="50" spans="3:5">
      <c r="C50" s="13"/>
      <c r="D50" s="13"/>
      <c r="E50" s="11"/>
    </row>
    <row r="51" spans="3:5">
      <c r="C51" s="13"/>
      <c r="D51" s="13"/>
      <c r="E51" s="11"/>
    </row>
    <row r="52" spans="3:5">
      <c r="C52" s="75"/>
      <c r="D52" s="75"/>
      <c r="E52" s="76"/>
    </row>
    <row r="53" spans="3:5">
      <c r="C53" s="13"/>
      <c r="D53" s="13"/>
      <c r="E53" s="11"/>
    </row>
    <row r="54" spans="3:5">
      <c r="C54" s="13"/>
      <c r="D54" s="13"/>
      <c r="E54" s="11"/>
    </row>
    <row r="55" spans="3:5">
      <c r="C55" s="13"/>
      <c r="D55" s="13"/>
      <c r="E55" s="11"/>
    </row>
    <row r="56" spans="3:5">
      <c r="C56" s="13"/>
      <c r="D56" s="13"/>
      <c r="E56" s="11"/>
    </row>
    <row r="57" spans="3:5">
      <c r="C57" s="13"/>
      <c r="D57" s="13"/>
      <c r="E57" s="40"/>
    </row>
    <row r="58" spans="3:5">
      <c r="C58" s="13"/>
      <c r="D58" s="75"/>
      <c r="E58" s="11"/>
    </row>
    <row r="59" spans="3:5">
      <c r="C59" s="13"/>
      <c r="D59" s="13"/>
      <c r="E59" s="11"/>
    </row>
    <row r="60" spans="3:5">
      <c r="C60" s="75"/>
      <c r="D60" s="75"/>
      <c r="E60" s="76"/>
    </row>
    <row r="61" spans="3:5">
      <c r="C61" s="78"/>
      <c r="D61" s="75"/>
      <c r="E61" s="76"/>
    </row>
    <row r="62" spans="3:5">
      <c r="C62" s="75"/>
      <c r="D62" s="75"/>
      <c r="E62" s="76"/>
    </row>
    <row r="63" spans="3:5">
      <c r="C63" s="13"/>
      <c r="D63" s="13"/>
      <c r="E63" s="11"/>
    </row>
    <row r="64" spans="3:5">
      <c r="C64" s="75"/>
      <c r="D64" s="75"/>
      <c r="E64" s="76"/>
    </row>
    <row r="65" spans="3:5">
      <c r="C65" s="13"/>
      <c r="D65" s="13"/>
      <c r="E65" s="11"/>
    </row>
    <row r="66" spans="3:5">
      <c r="C66" s="13"/>
      <c r="D66" s="13"/>
      <c r="E66" s="11"/>
    </row>
    <row r="67" spans="3:5">
      <c r="C67" s="13"/>
      <c r="D67" s="13"/>
      <c r="E67" s="11"/>
    </row>
    <row r="68" spans="3:5">
      <c r="C68" s="75"/>
      <c r="D68" s="75"/>
      <c r="E68" s="76"/>
    </row>
    <row r="69" spans="3:5">
      <c r="C69" s="13"/>
      <c r="D69" s="13"/>
      <c r="E69" s="11"/>
    </row>
    <row r="70" spans="3:5">
      <c r="C70" s="13"/>
      <c r="D70" s="13"/>
      <c r="E70" s="11"/>
    </row>
    <row r="71" spans="3:5">
      <c r="C71" s="13"/>
      <c r="D71" s="13"/>
      <c r="E71" s="11"/>
    </row>
    <row r="72" spans="3:5">
      <c r="C72" s="75"/>
      <c r="D72" s="75"/>
      <c r="E72" s="76"/>
    </row>
    <row r="73" spans="3:5">
      <c r="C73" s="13"/>
      <c r="D73" s="13"/>
      <c r="E73" s="11"/>
    </row>
    <row r="74" spans="3:5">
      <c r="C74" s="13"/>
      <c r="D74" s="13"/>
      <c r="E74" s="11"/>
    </row>
    <row r="75" spans="3:5">
      <c r="C75" s="13"/>
      <c r="D75" s="13"/>
      <c r="E75" s="11"/>
    </row>
    <row r="76" spans="3:5">
      <c r="C76" s="13"/>
      <c r="D76" s="13"/>
      <c r="E76" s="11"/>
    </row>
    <row r="77" spans="3:5">
      <c r="C77" s="13"/>
      <c r="D77" s="13"/>
      <c r="E77" s="11"/>
    </row>
    <row r="78" spans="3:5">
      <c r="C78" s="75"/>
      <c r="D78" s="75"/>
      <c r="E78" s="76"/>
    </row>
    <row r="79" spans="3:5">
      <c r="C79" s="75"/>
      <c r="D79" s="75"/>
      <c r="E79" s="76"/>
    </row>
    <row r="80" spans="3:5">
      <c r="C80" s="13"/>
      <c r="D80" s="13"/>
      <c r="E80" s="11"/>
    </row>
    <row r="81" spans="3:5">
      <c r="C81" s="75"/>
      <c r="D81" s="75"/>
      <c r="E81" s="76"/>
    </row>
    <row r="82" spans="3:5">
      <c r="C82" s="13"/>
      <c r="D82" s="13"/>
      <c r="E82" s="11"/>
    </row>
    <row r="83" spans="3:5">
      <c r="C83" s="75"/>
      <c r="D83" s="75"/>
      <c r="E83" s="76"/>
    </row>
    <row r="84" spans="3:5">
      <c r="C84" s="13"/>
      <c r="D84" s="13"/>
      <c r="E84" s="11"/>
    </row>
    <row r="85" spans="3:5">
      <c r="C85" s="13"/>
      <c r="D85" s="13"/>
      <c r="E85" s="11"/>
    </row>
    <row r="86" spans="3:5">
      <c r="C86" s="75"/>
      <c r="D86" s="75"/>
      <c r="E86" s="76"/>
    </row>
    <row r="87" spans="3:5">
      <c r="C87" s="13"/>
      <c r="D87" s="13"/>
      <c r="E87" s="11"/>
    </row>
    <row r="88" spans="3:5">
      <c r="C88" s="13"/>
      <c r="D88" s="13"/>
      <c r="E88" s="11"/>
    </row>
    <row r="89" spans="3:5">
      <c r="C89" s="13"/>
      <c r="D89" s="13"/>
      <c r="E89" s="11"/>
    </row>
    <row r="90" spans="3:5">
      <c r="C90" s="75"/>
      <c r="D90" s="78"/>
      <c r="E90" s="76"/>
    </row>
    <row r="91" spans="3:5">
      <c r="C91" s="75"/>
      <c r="D91" s="75"/>
      <c r="E91" s="76"/>
    </row>
    <row r="92" spans="3:5">
      <c r="C92" s="75"/>
      <c r="D92" s="75"/>
      <c r="E92" s="76"/>
    </row>
    <row r="93" spans="3:5">
      <c r="C93" s="13"/>
      <c r="D93" s="13"/>
      <c r="E93" s="11"/>
    </row>
    <row r="94" spans="3:5">
      <c r="C94" s="13"/>
      <c r="D94" s="13"/>
      <c r="E94" s="11"/>
    </row>
    <row r="95" spans="3:5">
      <c r="C95" s="13"/>
      <c r="D95" s="13"/>
      <c r="E95" s="11"/>
    </row>
    <row r="96" spans="3:5">
      <c r="C96" s="75"/>
      <c r="D96" s="75"/>
      <c r="E96" s="76"/>
    </row>
    <row r="97" spans="3:5">
      <c r="C97" s="75"/>
      <c r="D97" s="75"/>
      <c r="E97" s="76"/>
    </row>
    <row r="98" spans="3:5">
      <c r="C98" s="13"/>
      <c r="D98" s="13"/>
      <c r="E98" s="11"/>
    </row>
    <row r="99" spans="3:5">
      <c r="C99" s="13"/>
      <c r="D99" s="13"/>
      <c r="E99" s="11"/>
    </row>
    <row r="100" spans="3:5">
      <c r="C100" s="13"/>
      <c r="D100" s="13"/>
      <c r="E100" s="11"/>
    </row>
    <row r="101" spans="3:5">
      <c r="C101" s="13"/>
      <c r="D101" s="13"/>
      <c r="E101" s="11"/>
    </row>
    <row r="102" spans="3:5">
      <c r="C102" s="13"/>
      <c r="D102" s="13"/>
      <c r="E102" s="11"/>
    </row>
    <row r="103" spans="3:5">
      <c r="C103" s="13"/>
      <c r="D103" s="13"/>
      <c r="E103" s="11"/>
    </row>
    <row r="104" spans="3:5">
      <c r="C104" s="75"/>
      <c r="D104" s="75"/>
      <c r="E104" s="76"/>
    </row>
    <row r="105" spans="3:5">
      <c r="C105" s="13"/>
      <c r="D105" s="13"/>
      <c r="E105" s="11"/>
    </row>
    <row r="106" spans="3:5">
      <c r="C106" s="75"/>
      <c r="D106" s="75"/>
      <c r="E106" s="76"/>
    </row>
    <row r="107" spans="3:5">
      <c r="C107" s="13"/>
      <c r="D107" s="13"/>
      <c r="E107" s="11"/>
    </row>
    <row r="108" spans="3:5">
      <c r="C108" s="75"/>
      <c r="D108" s="75"/>
      <c r="E108" s="76"/>
    </row>
    <row r="109" spans="3:5">
      <c r="C109" s="13"/>
      <c r="D109" s="13"/>
      <c r="E109" s="11"/>
    </row>
    <row r="110" spans="3:5">
      <c r="C110" s="13"/>
      <c r="D110" s="13"/>
      <c r="E110" s="11"/>
    </row>
    <row r="111" spans="3:5">
      <c r="C111" s="75"/>
      <c r="D111" s="75"/>
      <c r="E111" s="76"/>
    </row>
    <row r="112" spans="3:5">
      <c r="C112" s="13"/>
      <c r="D112" s="13"/>
      <c r="E112" s="11"/>
    </row>
    <row r="113" spans="3:5">
      <c r="C113" s="13"/>
      <c r="D113" s="13"/>
      <c r="E113" s="11"/>
    </row>
    <row r="114" spans="3:5">
      <c r="C114" s="75"/>
      <c r="D114" s="75"/>
      <c r="E114" s="76"/>
    </row>
    <row r="115" spans="3:5">
      <c r="C115" s="13"/>
      <c r="D115" s="13"/>
      <c r="E115" s="11"/>
    </row>
    <row r="116" spans="3:5">
      <c r="C116" s="75"/>
      <c r="D116" s="75"/>
      <c r="E116" s="76"/>
    </row>
    <row r="117" spans="3:5">
      <c r="C117" s="13"/>
      <c r="D117" s="13"/>
      <c r="E117" s="11"/>
    </row>
    <row r="118" spans="3:5">
      <c r="C118" s="75"/>
      <c r="D118" s="75"/>
      <c r="E118" s="76"/>
    </row>
    <row r="119" spans="3:5">
      <c r="C119" s="13"/>
      <c r="D119" s="13"/>
      <c r="E119" s="11"/>
    </row>
    <row r="120" spans="3:5">
      <c r="C120" s="75"/>
      <c r="D120" s="75"/>
      <c r="E120" s="76"/>
    </row>
    <row r="121" spans="3:5">
      <c r="C121" s="13"/>
      <c r="D121" s="13"/>
      <c r="E121" s="11"/>
    </row>
    <row r="122" spans="3:5">
      <c r="C122" s="13"/>
      <c r="D122" s="13"/>
      <c r="E122" s="11"/>
    </row>
    <row r="123" spans="3:5">
      <c r="C123" s="13"/>
      <c r="D123" s="13"/>
      <c r="E123" s="11"/>
    </row>
    <row r="124" spans="3:5">
      <c r="C124" s="13"/>
      <c r="D124" s="13"/>
      <c r="E124" s="11"/>
    </row>
    <row r="125" spans="3:5">
      <c r="C125" s="13"/>
      <c r="D125" s="13"/>
      <c r="E125" s="11"/>
    </row>
    <row r="126" spans="3:5">
      <c r="C126" s="75"/>
      <c r="D126" s="75"/>
      <c r="E126" s="76"/>
    </row>
    <row r="127" spans="3:5">
      <c r="C127" s="13"/>
      <c r="D127" s="13"/>
      <c r="E127" s="11"/>
    </row>
    <row r="128" spans="3:5">
      <c r="C128" s="75"/>
      <c r="D128" s="75"/>
      <c r="E128" s="76"/>
    </row>
    <row r="129" spans="3:5">
      <c r="C129" s="75"/>
      <c r="D129" s="75"/>
      <c r="E129" s="76"/>
    </row>
    <row r="130" spans="3:5">
      <c r="C130" s="75"/>
      <c r="D130" s="75"/>
      <c r="E130" s="76"/>
    </row>
    <row r="131" spans="3:5">
      <c r="C131" s="13"/>
      <c r="D131" s="13"/>
      <c r="E131" s="11"/>
    </row>
    <row r="132" spans="3:5">
      <c r="C132" s="13"/>
      <c r="D132" s="13"/>
      <c r="E132" s="11"/>
    </row>
    <row r="133" spans="3:5">
      <c r="C133" s="13"/>
      <c r="D133" s="13"/>
      <c r="E133" s="11"/>
    </row>
    <row r="134" spans="3:5">
      <c r="C134" s="13"/>
      <c r="D134" s="13"/>
      <c r="E134" s="11"/>
    </row>
    <row r="135" spans="3:5">
      <c r="C135" s="75"/>
      <c r="D135" s="75"/>
      <c r="E135" s="76"/>
    </row>
    <row r="136" spans="3:5" ht="15.75">
      <c r="C136" s="79"/>
      <c r="D136" s="79"/>
      <c r="E136" s="11"/>
    </row>
    <row r="137" spans="3:5">
      <c r="C137" s="13"/>
      <c r="D137" s="13"/>
      <c r="E137" s="11"/>
    </row>
    <row r="138" spans="3:5" ht="15.75">
      <c r="C138" s="79"/>
      <c r="D138" s="79"/>
      <c r="E138" s="11"/>
    </row>
    <row r="139" spans="3:5">
      <c r="C139" s="13"/>
      <c r="D139" s="13"/>
      <c r="E139" s="11"/>
    </row>
    <row r="140" spans="3:5">
      <c r="C140" s="13"/>
      <c r="D140" s="13"/>
      <c r="E140" s="11"/>
    </row>
    <row r="141" spans="3:5">
      <c r="C141" s="13"/>
      <c r="D141" s="13"/>
      <c r="E141" s="11"/>
    </row>
    <row r="142" spans="3:5">
      <c r="C142" s="75"/>
      <c r="D142" s="75"/>
      <c r="E142" s="76"/>
    </row>
    <row r="143" spans="3:5">
      <c r="C143" s="13"/>
      <c r="D143" s="13"/>
      <c r="E143" s="11"/>
    </row>
    <row r="144" spans="3:5">
      <c r="C144" s="13"/>
      <c r="D144" s="13"/>
      <c r="E144" s="11"/>
    </row>
    <row r="145" spans="3:5">
      <c r="C145" s="13"/>
      <c r="D145" s="13"/>
      <c r="E145" s="11"/>
    </row>
    <row r="146" spans="3:5">
      <c r="C146" s="13"/>
      <c r="D146" s="13"/>
      <c r="E146" s="11"/>
    </row>
    <row r="147" spans="3:5">
      <c r="C147" s="75"/>
      <c r="D147" s="75"/>
      <c r="E147" s="76"/>
    </row>
    <row r="148" spans="3:5">
      <c r="C148" s="75"/>
      <c r="D148" s="75"/>
      <c r="E148" s="76"/>
    </row>
    <row r="149" spans="3:5">
      <c r="C149" s="75"/>
      <c r="D149" s="75"/>
      <c r="E149" s="76"/>
    </row>
    <row r="150" spans="3:5">
      <c r="C150" s="75"/>
      <c r="D150" s="75"/>
      <c r="E150" s="76"/>
    </row>
    <row r="151" spans="3:5">
      <c r="C151" s="13"/>
      <c r="D151" s="13"/>
      <c r="E151" s="11"/>
    </row>
    <row r="152" spans="3:5">
      <c r="C152" s="75"/>
      <c r="D152" s="75"/>
      <c r="E152" s="76"/>
    </row>
    <row r="153" spans="3:5">
      <c r="C153" s="13"/>
      <c r="D153" s="13"/>
      <c r="E153" s="11"/>
    </row>
    <row r="154" spans="3:5">
      <c r="C154" s="75"/>
      <c r="D154" s="75"/>
      <c r="E154" s="76"/>
    </row>
    <row r="155" spans="3:5">
      <c r="C155" s="13"/>
      <c r="D155" s="13"/>
      <c r="E155" s="11"/>
    </row>
    <row r="156" spans="3:5">
      <c r="C156" s="13"/>
      <c r="D156" s="13"/>
      <c r="E156" s="11"/>
    </row>
    <row r="157" spans="3:5">
      <c r="C157" s="13"/>
      <c r="D157" s="13"/>
      <c r="E157" s="11"/>
    </row>
    <row r="158" spans="3:5">
      <c r="C158" s="13"/>
      <c r="D158" s="13"/>
      <c r="E158" s="11"/>
    </row>
    <row r="159" spans="3:5">
      <c r="C159" s="13"/>
      <c r="D159" s="13"/>
      <c r="E159" s="11"/>
    </row>
    <row r="160" spans="3:5">
      <c r="C160" s="13"/>
      <c r="D160" s="13"/>
      <c r="E160" s="11"/>
    </row>
    <row r="161" spans="3:5">
      <c r="C161" s="13"/>
      <c r="D161" s="13"/>
      <c r="E161" s="11"/>
    </row>
    <row r="162" spans="3:5">
      <c r="C162" s="75"/>
      <c r="D162" s="75"/>
      <c r="E162" s="76"/>
    </row>
    <row r="163" spans="3:5">
      <c r="C163" s="13"/>
      <c r="D163" s="13"/>
      <c r="E163" s="11"/>
    </row>
    <row r="164" spans="3:5">
      <c r="C164" s="13"/>
      <c r="D164" s="13"/>
      <c r="E164" s="11"/>
    </row>
    <row r="165" spans="3:5">
      <c r="C165" s="13"/>
      <c r="D165" s="13"/>
      <c r="E165" s="11"/>
    </row>
    <row r="166" spans="3:5">
      <c r="C166" s="13"/>
      <c r="D166" s="13"/>
      <c r="E166" s="11"/>
    </row>
    <row r="167" spans="3:5">
      <c r="C167" s="13"/>
      <c r="D167" s="13"/>
      <c r="E167" s="11"/>
    </row>
    <row r="168" spans="3:5">
      <c r="C168" s="13"/>
      <c r="D168" s="13"/>
      <c r="E168" s="11"/>
    </row>
    <row r="169" spans="3:5">
      <c r="C169" s="13"/>
      <c r="D169" s="13"/>
      <c r="E169" s="11"/>
    </row>
    <row r="306" spans="3:5">
      <c r="C306" s="13"/>
      <c r="D306" s="13"/>
      <c r="E306" s="11"/>
    </row>
    <row r="307" spans="3:5">
      <c r="C307" s="13"/>
      <c r="D307" s="13"/>
      <c r="E307" s="11"/>
    </row>
    <row r="308" spans="3:5">
      <c r="C308" s="13"/>
      <c r="D308" s="13"/>
      <c r="E308" s="11"/>
    </row>
    <row r="309" spans="3:5">
      <c r="C309" s="13"/>
      <c r="D309" s="13"/>
      <c r="E309" s="11"/>
    </row>
    <row r="310" spans="3:5">
      <c r="C310" s="13"/>
      <c r="D310" s="13"/>
      <c r="E310" s="11"/>
    </row>
    <row r="311" spans="3:5">
      <c r="C311" s="13"/>
      <c r="D311" s="13"/>
      <c r="E311" s="11"/>
    </row>
    <row r="312" spans="3:5">
      <c r="C312" s="13"/>
      <c r="D312" s="13"/>
      <c r="E312" s="11"/>
    </row>
    <row r="313" spans="3:5">
      <c r="C313" s="13"/>
      <c r="D313" s="13"/>
      <c r="E313" s="11"/>
    </row>
    <row r="314" spans="3:5">
      <c r="C314" s="13"/>
      <c r="D314" s="13"/>
      <c r="E314" s="11"/>
    </row>
    <row r="315" spans="3:5">
      <c r="C315" s="13"/>
      <c r="D315" s="13"/>
      <c r="E315" s="11"/>
    </row>
    <row r="316" spans="3:5">
      <c r="C316" s="13"/>
      <c r="D316" s="13"/>
      <c r="E316" s="11"/>
    </row>
    <row r="317" spans="3:5">
      <c r="C317" s="13"/>
      <c r="D317" s="13"/>
      <c r="E317" s="11"/>
    </row>
    <row r="318" spans="3:5">
      <c r="C318" s="13"/>
      <c r="D318" s="13"/>
      <c r="E318" s="11"/>
    </row>
    <row r="319" spans="3:5">
      <c r="C319" s="13"/>
      <c r="D319" s="13"/>
      <c r="E319" s="11"/>
    </row>
    <row r="320" spans="3:5">
      <c r="C320" s="13"/>
      <c r="D320" s="13"/>
      <c r="E320" s="11"/>
    </row>
    <row r="321" spans="3:5">
      <c r="C321" s="13"/>
      <c r="D321" s="13"/>
      <c r="E321" s="11"/>
    </row>
    <row r="322" spans="3:5">
      <c r="C322" s="13"/>
      <c r="D322" s="13"/>
      <c r="E322" s="11"/>
    </row>
    <row r="323" spans="3:5">
      <c r="C323" s="13"/>
      <c r="D323" s="13"/>
      <c r="E323" s="11"/>
    </row>
    <row r="324" spans="3:5">
      <c r="C324" s="13"/>
      <c r="D324" s="13"/>
      <c r="E324" s="11"/>
    </row>
    <row r="325" spans="3:5">
      <c r="C325" s="13"/>
      <c r="D325" s="13"/>
      <c r="E325" s="11"/>
    </row>
    <row r="326" spans="3:5">
      <c r="C326" s="13"/>
      <c r="D326" s="13"/>
      <c r="E326" s="11"/>
    </row>
    <row r="327" spans="3:5">
      <c r="C327" s="13"/>
      <c r="D327" s="13"/>
      <c r="E327" s="11"/>
    </row>
    <row r="328" spans="3:5">
      <c r="C328" s="13"/>
      <c r="D328" s="13"/>
      <c r="E328" s="11"/>
    </row>
    <row r="329" spans="3:5">
      <c r="C329" s="13"/>
      <c r="D329" s="13"/>
      <c r="E329" s="11"/>
    </row>
    <row r="330" spans="3:5">
      <c r="C330" s="13"/>
      <c r="D330" s="13"/>
      <c r="E330" s="11"/>
    </row>
    <row r="331" spans="3:5">
      <c r="C331" s="13"/>
      <c r="D331" s="13"/>
      <c r="E331" s="11"/>
    </row>
    <row r="332" spans="3:5">
      <c r="C332" s="13"/>
      <c r="D332" s="13"/>
      <c r="E332" s="11"/>
    </row>
    <row r="333" spans="3:5">
      <c r="C333" s="13"/>
      <c r="D333" s="13"/>
      <c r="E333" s="11"/>
    </row>
    <row r="334" spans="3:5">
      <c r="C334" s="13"/>
      <c r="D334" s="13"/>
      <c r="E334" s="11"/>
    </row>
    <row r="335" spans="3:5">
      <c r="C335" s="13"/>
      <c r="D335" s="13"/>
      <c r="E335" s="11"/>
    </row>
    <row r="336" spans="3:5">
      <c r="C336" s="13"/>
      <c r="D336" s="13"/>
      <c r="E336" s="11"/>
    </row>
    <row r="337" spans="3:5">
      <c r="C337" s="13"/>
      <c r="D337" s="13"/>
      <c r="E337" s="11"/>
    </row>
    <row r="338" spans="3:5">
      <c r="C338" s="13"/>
      <c r="D338" s="13"/>
      <c r="E338" s="11"/>
    </row>
    <row r="339" spans="3:5">
      <c r="C339" s="13"/>
      <c r="D339" s="13"/>
      <c r="E339" s="11"/>
    </row>
    <row r="340" spans="3:5">
      <c r="C340" s="13"/>
      <c r="D340" s="13"/>
      <c r="E340" s="11"/>
    </row>
    <row r="341" spans="3:5">
      <c r="C341" s="13"/>
      <c r="D341" s="13"/>
      <c r="E341" s="11"/>
    </row>
    <row r="342" spans="3:5">
      <c r="C342" s="13"/>
      <c r="D342" s="13"/>
      <c r="E342" s="11"/>
    </row>
    <row r="343" spans="3:5">
      <c r="C343" s="13"/>
      <c r="D343" s="13"/>
      <c r="E343" s="11"/>
    </row>
    <row r="344" spans="3:5">
      <c r="C344" s="13"/>
      <c r="D344" s="13"/>
      <c r="E344" s="11"/>
    </row>
    <row r="345" spans="3:5">
      <c r="C345" s="13"/>
      <c r="D345" s="13"/>
      <c r="E345" s="11"/>
    </row>
    <row r="346" spans="3:5">
      <c r="C346" s="13"/>
      <c r="D346" s="13"/>
      <c r="E346" s="11"/>
    </row>
    <row r="347" spans="3:5">
      <c r="C347" s="13"/>
      <c r="D347" s="13"/>
      <c r="E347" s="11"/>
    </row>
    <row r="348" spans="3:5">
      <c r="C348" s="13"/>
      <c r="D348" s="13"/>
      <c r="E348" s="11"/>
    </row>
    <row r="349" spans="3:5">
      <c r="C349" s="13"/>
      <c r="D349" s="13"/>
      <c r="E349" s="11"/>
    </row>
    <row r="350" spans="3:5">
      <c r="C350" s="13"/>
      <c r="D350" s="13"/>
      <c r="E350" s="11"/>
    </row>
    <row r="351" spans="3:5">
      <c r="C351" s="13"/>
      <c r="D351" s="13"/>
      <c r="E351" s="11"/>
    </row>
    <row r="352" spans="3:5">
      <c r="C352" s="13"/>
      <c r="D352" s="13"/>
      <c r="E352" s="11"/>
    </row>
    <row r="353" spans="3:5">
      <c r="C353" s="13"/>
      <c r="D353" s="13"/>
      <c r="E353" s="11"/>
    </row>
    <row r="354" spans="3:5">
      <c r="C354" s="13"/>
      <c r="D354" s="13"/>
      <c r="E354" s="11"/>
    </row>
    <row r="355" spans="3:5">
      <c r="C355" s="13"/>
      <c r="D355" s="13"/>
      <c r="E355" s="11"/>
    </row>
    <row r="356" spans="3:5">
      <c r="C356" s="13"/>
      <c r="D356" s="13"/>
      <c r="E356" s="11"/>
    </row>
    <row r="357" spans="3:5">
      <c r="C357" s="13"/>
      <c r="D357" s="13"/>
      <c r="E357" s="11"/>
    </row>
    <row r="358" spans="3:5">
      <c r="C358" s="13"/>
      <c r="D358" s="13"/>
      <c r="E358" s="11"/>
    </row>
    <row r="359" spans="3:5">
      <c r="C359" s="13"/>
      <c r="D359" s="13"/>
      <c r="E359" s="11"/>
    </row>
    <row r="360" spans="3:5">
      <c r="C360" s="13"/>
      <c r="D360" s="13"/>
      <c r="E360" s="11"/>
    </row>
    <row r="361" spans="3:5">
      <c r="C361" s="13"/>
      <c r="D361" s="13"/>
      <c r="E361" s="11"/>
    </row>
    <row r="362" spans="3:5">
      <c r="C362" s="13"/>
      <c r="D362" s="13"/>
      <c r="E362" s="11"/>
    </row>
    <row r="363" spans="3:5">
      <c r="C363" s="13"/>
      <c r="D363" s="13"/>
      <c r="E363" s="11"/>
    </row>
    <row r="364" spans="3:5">
      <c r="C364" s="13"/>
      <c r="D364" s="13"/>
      <c r="E364" s="11"/>
    </row>
    <row r="365" spans="3:5">
      <c r="C365" s="13"/>
      <c r="D365" s="13"/>
      <c r="E365" s="11"/>
    </row>
    <row r="366" spans="3:5">
      <c r="C366" s="13"/>
      <c r="D366" s="13"/>
      <c r="E366" s="11"/>
    </row>
    <row r="367" spans="3:5">
      <c r="C367" s="13"/>
      <c r="D367" s="13"/>
      <c r="E367" s="11"/>
    </row>
    <row r="368" spans="3:5">
      <c r="C368" s="13"/>
      <c r="D368" s="13"/>
      <c r="E368" s="11"/>
    </row>
    <row r="369" spans="3:5">
      <c r="C369" s="13"/>
      <c r="D369" s="13"/>
      <c r="E369" s="11"/>
    </row>
    <row r="370" spans="3:5">
      <c r="C370" s="13"/>
      <c r="D370" s="13"/>
      <c r="E370" s="11"/>
    </row>
    <row r="371" spans="3:5">
      <c r="C371" s="13"/>
      <c r="D371" s="13"/>
      <c r="E371" s="11"/>
    </row>
    <row r="372" spans="3:5">
      <c r="C372" s="13"/>
      <c r="D372" s="13"/>
      <c r="E372" s="11"/>
    </row>
    <row r="373" spans="3:5">
      <c r="C373" s="13"/>
      <c r="D373" s="13"/>
      <c r="E373" s="11"/>
    </row>
    <row r="374" spans="3:5">
      <c r="C374" s="13"/>
      <c r="D374" s="13"/>
      <c r="E374" s="11"/>
    </row>
    <row r="375" spans="3:5">
      <c r="C375" s="13"/>
      <c r="D375" s="13"/>
      <c r="E375" s="11"/>
    </row>
    <row r="376" spans="3:5">
      <c r="C376" s="13"/>
      <c r="D376" s="13"/>
      <c r="E376" s="11"/>
    </row>
    <row r="377" spans="3:5">
      <c r="C377" s="13"/>
      <c r="D377" s="13"/>
      <c r="E377" s="11"/>
    </row>
    <row r="378" spans="3:5">
      <c r="C378" s="13"/>
      <c r="D378" s="13"/>
      <c r="E378" s="11"/>
    </row>
    <row r="379" spans="3:5">
      <c r="C379" s="13"/>
      <c r="D379" s="13"/>
      <c r="E379" s="11"/>
    </row>
    <row r="380" spans="3:5">
      <c r="C380" s="13"/>
      <c r="D380" s="13"/>
      <c r="E380" s="11"/>
    </row>
    <row r="381" spans="3:5">
      <c r="C381" s="13"/>
      <c r="D381" s="13"/>
      <c r="E381" s="11"/>
    </row>
    <row r="382" spans="3:5">
      <c r="C382" s="13"/>
      <c r="D382" s="13"/>
      <c r="E382" s="11"/>
    </row>
    <row r="383" spans="3:5">
      <c r="C383" s="13"/>
      <c r="D383" s="13"/>
      <c r="E383" s="11"/>
    </row>
    <row r="384" spans="3:5">
      <c r="C384" s="13"/>
      <c r="D384" s="13"/>
      <c r="E384" s="11"/>
    </row>
    <row r="385" spans="3:5">
      <c r="C385" s="13"/>
      <c r="D385" s="13"/>
      <c r="E385" s="11"/>
    </row>
    <row r="386" spans="3:5">
      <c r="C386" s="13"/>
      <c r="D386" s="13"/>
      <c r="E386" s="11"/>
    </row>
    <row r="387" spans="3:5">
      <c r="C387" s="13"/>
      <c r="D387" s="13"/>
      <c r="E387" s="11"/>
    </row>
    <row r="388" spans="3:5">
      <c r="C388" s="13"/>
      <c r="D388" s="13"/>
      <c r="E388" s="11"/>
    </row>
    <row r="389" spans="3:5">
      <c r="C389" s="13"/>
      <c r="D389" s="13"/>
      <c r="E389" s="11"/>
    </row>
    <row r="390" spans="3:5">
      <c r="C390" s="13"/>
      <c r="D390" s="13"/>
      <c r="E390" s="11"/>
    </row>
    <row r="391" spans="3:5">
      <c r="C391" s="13"/>
      <c r="D391" s="13"/>
      <c r="E391" s="11"/>
    </row>
    <row r="392" spans="3:5">
      <c r="C392" s="13"/>
      <c r="D392" s="13"/>
      <c r="E392" s="11"/>
    </row>
    <row r="393" spans="3:5">
      <c r="C393" s="13"/>
      <c r="D393" s="13"/>
      <c r="E393" s="11"/>
    </row>
    <row r="394" spans="3:5">
      <c r="C394" s="13"/>
      <c r="D394" s="13"/>
      <c r="E394" s="11"/>
    </row>
    <row r="395" spans="3:5">
      <c r="C395" s="13"/>
      <c r="D395" s="13"/>
      <c r="E395" s="11"/>
    </row>
    <row r="396" spans="3:5">
      <c r="C396" s="13"/>
      <c r="D396" s="13"/>
      <c r="E396" s="11"/>
    </row>
    <row r="397" spans="3:5">
      <c r="C397" s="13"/>
      <c r="D397" s="13"/>
      <c r="E397" s="11"/>
    </row>
    <row r="398" spans="3:5">
      <c r="C398" s="13"/>
      <c r="D398" s="13"/>
      <c r="E398" s="11"/>
    </row>
    <row r="399" spans="3:5">
      <c r="C399" s="13"/>
      <c r="D399" s="13"/>
      <c r="E399" s="11"/>
    </row>
    <row r="400" spans="3:5">
      <c r="C400" s="13"/>
      <c r="D400" s="13"/>
      <c r="E400" s="11"/>
    </row>
    <row r="401" spans="3:5">
      <c r="C401" s="13"/>
      <c r="D401" s="13"/>
      <c r="E401" s="11"/>
    </row>
    <row r="402" spans="3:5">
      <c r="C402" s="13"/>
      <c r="D402" s="13"/>
      <c r="E402" s="11"/>
    </row>
    <row r="403" spans="3:5">
      <c r="C403" s="13"/>
      <c r="D403" s="13"/>
      <c r="E403" s="11"/>
    </row>
    <row r="404" spans="3:5">
      <c r="C404" s="13"/>
      <c r="D404" s="13"/>
      <c r="E404" s="11"/>
    </row>
    <row r="405" spans="3:5">
      <c r="C405" s="13"/>
      <c r="D405" s="13"/>
      <c r="E405" s="11"/>
    </row>
    <row r="406" spans="3: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0"/>
  <sheetViews>
    <sheetView workbookViewId="0">
      <selection activeCell="S25" sqref="S25"/>
    </sheetView>
  </sheetViews>
  <sheetFormatPr defaultRowHeight="1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>
      <c r="A1" s="32" t="s">
        <v>425</v>
      </c>
      <c r="B1" s="32" t="s">
        <v>426</v>
      </c>
      <c r="C1" s="32" t="s">
        <v>427</v>
      </c>
      <c r="D1" s="32" t="s">
        <v>428</v>
      </c>
      <c r="E1" s="32" t="s">
        <v>429</v>
      </c>
    </row>
    <row r="2" spans="1:5">
      <c r="A2" s="5" t="s">
        <v>4</v>
      </c>
      <c r="B2" s="5" t="s">
        <v>5</v>
      </c>
      <c r="C2" s="6" t="s">
        <v>6</v>
      </c>
      <c r="D2" s="36"/>
      <c r="E2" s="12" t="s">
        <v>444</v>
      </c>
    </row>
    <row r="3" spans="1:5">
      <c r="A3" s="7" t="s">
        <v>7</v>
      </c>
      <c r="B3" s="7" t="s">
        <v>8</v>
      </c>
      <c r="C3" s="8" t="s">
        <v>9</v>
      </c>
      <c r="D3" s="40" t="s">
        <v>445</v>
      </c>
      <c r="E3" s="12" t="s">
        <v>446</v>
      </c>
    </row>
    <row r="4" spans="1:5">
      <c r="A4" s="5" t="s">
        <v>10</v>
      </c>
      <c r="B4" s="5" t="s">
        <v>11</v>
      </c>
      <c r="C4" s="6" t="s">
        <v>12</v>
      </c>
      <c r="D4" s="36"/>
      <c r="E4" s="5" t="s">
        <v>447</v>
      </c>
    </row>
    <row r="5" spans="1:5">
      <c r="A5" s="7" t="s">
        <v>13</v>
      </c>
      <c r="B5" s="7" t="s">
        <v>14</v>
      </c>
      <c r="C5" s="8" t="s">
        <v>15</v>
      </c>
      <c r="D5" s="43"/>
      <c r="E5" s="44"/>
    </row>
    <row r="6" spans="1:5">
      <c r="A6" s="5" t="s">
        <v>16</v>
      </c>
      <c r="B6" s="5" t="s">
        <v>17</v>
      </c>
      <c r="C6" s="6" t="s">
        <v>18</v>
      </c>
      <c r="D6" s="36">
        <v>9098875893</v>
      </c>
      <c r="E6" s="45" t="s">
        <v>448</v>
      </c>
    </row>
    <row r="7" spans="1:5">
      <c r="A7" s="5" t="s">
        <v>19</v>
      </c>
      <c r="B7" s="5" t="s">
        <v>20</v>
      </c>
      <c r="C7" s="6" t="s">
        <v>21</v>
      </c>
      <c r="D7" s="36"/>
      <c r="E7" s="12" t="s">
        <v>449</v>
      </c>
    </row>
    <row r="8" spans="1:5">
      <c r="A8" s="7" t="s">
        <v>22</v>
      </c>
      <c r="B8" s="7" t="s">
        <v>20</v>
      </c>
      <c r="C8" s="8" t="s">
        <v>23</v>
      </c>
      <c r="D8" s="46">
        <v>9168138609</v>
      </c>
      <c r="E8" s="12" t="s">
        <v>450</v>
      </c>
    </row>
    <row r="9" spans="1:5">
      <c r="A9" s="5" t="s">
        <v>24</v>
      </c>
      <c r="B9" s="5" t="s">
        <v>25</v>
      </c>
      <c r="C9" s="6" t="s">
        <v>26</v>
      </c>
      <c r="D9" s="36">
        <v>5302775321</v>
      </c>
      <c r="E9" s="45" t="s">
        <v>451</v>
      </c>
    </row>
    <row r="10" spans="1:5">
      <c r="A10" s="5" t="s">
        <v>27</v>
      </c>
      <c r="B10" s="5" t="s">
        <v>28</v>
      </c>
      <c r="C10" s="6" t="s">
        <v>29</v>
      </c>
      <c r="D10" s="47"/>
      <c r="E10" s="12" t="s">
        <v>452</v>
      </c>
    </row>
    <row r="11" spans="1:5">
      <c r="A11" s="5" t="s">
        <v>30</v>
      </c>
      <c r="B11" s="5" t="s">
        <v>20</v>
      </c>
      <c r="C11" s="6" t="s">
        <v>31</v>
      </c>
      <c r="D11" s="47">
        <v>9162036636</v>
      </c>
      <c r="E11" s="12" t="s">
        <v>453</v>
      </c>
    </row>
    <row r="12" spans="1:5">
      <c r="A12" s="7" t="s">
        <v>32</v>
      </c>
      <c r="B12" s="7" t="s">
        <v>33</v>
      </c>
      <c r="C12" s="8" t="s">
        <v>34</v>
      </c>
      <c r="D12" s="48">
        <v>7078430109</v>
      </c>
      <c r="E12" s="45" t="s">
        <v>454</v>
      </c>
    </row>
    <row r="13" spans="1:5">
      <c r="A13" s="5" t="s">
        <v>35</v>
      </c>
      <c r="B13" s="5" t="s">
        <v>36</v>
      </c>
      <c r="C13" s="6" t="s">
        <v>37</v>
      </c>
      <c r="D13" s="47">
        <v>8054892161</v>
      </c>
      <c r="E13" s="15" t="s">
        <v>455</v>
      </c>
    </row>
    <row r="14" spans="1:5">
      <c r="A14" s="5" t="s">
        <v>38</v>
      </c>
      <c r="B14" s="5" t="s">
        <v>39</v>
      </c>
      <c r="C14" s="6" t="s">
        <v>40</v>
      </c>
      <c r="D14" s="47">
        <v>9167055602</v>
      </c>
      <c r="E14" s="12" t="s">
        <v>456</v>
      </c>
    </row>
    <row r="15" spans="1:5">
      <c r="A15" s="5" t="s">
        <v>41</v>
      </c>
      <c r="B15" s="5" t="s">
        <v>42</v>
      </c>
      <c r="C15" s="6" t="s">
        <v>43</v>
      </c>
      <c r="D15" s="40" t="s">
        <v>457</v>
      </c>
      <c r="E15" s="15" t="s">
        <v>458</v>
      </c>
    </row>
    <row r="16" spans="1:5">
      <c r="A16" s="7" t="s">
        <v>44</v>
      </c>
      <c r="B16" s="7" t="s">
        <v>45</v>
      </c>
      <c r="C16" s="8" t="s">
        <v>46</v>
      </c>
      <c r="D16" s="48" t="s">
        <v>459</v>
      </c>
      <c r="E16" s="12" t="s">
        <v>460</v>
      </c>
    </row>
    <row r="17" spans="1:5">
      <c r="A17" s="7" t="s">
        <v>47</v>
      </c>
      <c r="B17" s="7" t="s">
        <v>45</v>
      </c>
      <c r="C17" s="8" t="s">
        <v>48</v>
      </c>
      <c r="D17" s="48" t="s">
        <v>459</v>
      </c>
      <c r="E17" s="12" t="s">
        <v>460</v>
      </c>
    </row>
    <row r="18" spans="1:5">
      <c r="A18" s="5" t="s">
        <v>49</v>
      </c>
      <c r="B18" s="5" t="s">
        <v>50</v>
      </c>
      <c r="C18" s="6" t="s">
        <v>51</v>
      </c>
      <c r="D18" s="47"/>
      <c r="E18" s="12" t="s">
        <v>461</v>
      </c>
    </row>
    <row r="19" spans="1:5">
      <c r="A19" s="5" t="s">
        <v>52</v>
      </c>
      <c r="B19" s="7" t="s">
        <v>45</v>
      </c>
      <c r="C19" s="6" t="s">
        <v>53</v>
      </c>
      <c r="D19" s="47" t="s">
        <v>462</v>
      </c>
      <c r="E19" s="12" t="s">
        <v>463</v>
      </c>
    </row>
    <row r="20" spans="1:5">
      <c r="A20" s="5" t="s">
        <v>54</v>
      </c>
      <c r="B20" s="5" t="s">
        <v>55</v>
      </c>
      <c r="C20" s="6" t="s">
        <v>56</v>
      </c>
      <c r="D20" s="47"/>
      <c r="E20" s="12" t="s">
        <v>464</v>
      </c>
    </row>
    <row r="21" spans="1:5">
      <c r="A21" s="5" t="s">
        <v>57</v>
      </c>
      <c r="B21" s="5" t="s">
        <v>58</v>
      </c>
      <c r="C21" s="6" t="s">
        <v>59</v>
      </c>
      <c r="D21" s="47"/>
      <c r="E21" s="12" t="s">
        <v>465</v>
      </c>
    </row>
    <row r="22" spans="1:5">
      <c r="A22" s="7" t="s">
        <v>60</v>
      </c>
      <c r="B22" s="7" t="s">
        <v>61</v>
      </c>
      <c r="C22" s="8" t="s">
        <v>62</v>
      </c>
      <c r="D22" s="48">
        <v>9253213485</v>
      </c>
      <c r="E22" s="12" t="s">
        <v>466</v>
      </c>
    </row>
    <row r="23" spans="1:5">
      <c r="A23" s="5" t="s">
        <v>63</v>
      </c>
      <c r="B23" s="5" t="s">
        <v>64</v>
      </c>
      <c r="C23" s="6" t="s">
        <v>65</v>
      </c>
      <c r="D23" s="47"/>
      <c r="E23" s="12"/>
    </row>
    <row r="24" spans="1:5">
      <c r="A24" s="5" t="s">
        <v>66</v>
      </c>
      <c r="B24" s="5" t="s">
        <v>67</v>
      </c>
      <c r="C24" s="6" t="s">
        <v>68</v>
      </c>
      <c r="D24" s="36"/>
      <c r="E24" s="12"/>
    </row>
    <row r="25" spans="1:5">
      <c r="A25" s="5" t="s">
        <v>69</v>
      </c>
      <c r="B25" s="5" t="s">
        <v>67</v>
      </c>
      <c r="C25" s="6" t="s">
        <v>70</v>
      </c>
      <c r="D25" s="36"/>
      <c r="E25" s="45" t="s">
        <v>467</v>
      </c>
    </row>
    <row r="26" spans="1:5">
      <c r="A26" s="7" t="s">
        <v>71</v>
      </c>
      <c r="B26" s="7" t="s">
        <v>72</v>
      </c>
      <c r="C26" s="8" t="s">
        <v>73</v>
      </c>
      <c r="D26" s="43">
        <v>9705539123</v>
      </c>
      <c r="E26" s="12" t="s">
        <v>468</v>
      </c>
    </row>
    <row r="27" spans="1:5">
      <c r="A27" s="7" t="s">
        <v>74</v>
      </c>
      <c r="B27" s="7" t="s">
        <v>75</v>
      </c>
      <c r="C27" s="8" t="s">
        <v>76</v>
      </c>
      <c r="D27" s="43"/>
      <c r="E27" s="12" t="s">
        <v>469</v>
      </c>
    </row>
    <row r="28" spans="1:5" ht="15.7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>
      <c r="A29" s="5" t="s">
        <v>80</v>
      </c>
      <c r="B29" s="5" t="s">
        <v>81</v>
      </c>
      <c r="C29" s="6" t="s">
        <v>82</v>
      </c>
      <c r="D29" s="36"/>
      <c r="E29" s="12" t="s">
        <v>472</v>
      </c>
    </row>
    <row r="30" spans="1:5">
      <c r="A30" s="7" t="s">
        <v>83</v>
      </c>
      <c r="B30" s="7" t="s">
        <v>84</v>
      </c>
      <c r="C30" s="8" t="s">
        <v>85</v>
      </c>
      <c r="D30" s="43"/>
      <c r="E30" s="12" t="s">
        <v>473</v>
      </c>
    </row>
    <row r="31" spans="1:5">
      <c r="A31" s="7" t="s">
        <v>86</v>
      </c>
      <c r="B31" s="7" t="s">
        <v>64</v>
      </c>
      <c r="C31" s="8" t="s">
        <v>87</v>
      </c>
      <c r="D31" s="43">
        <v>7073175740</v>
      </c>
      <c r="E31" s="45" t="s">
        <v>474</v>
      </c>
    </row>
    <row r="32" spans="1:5">
      <c r="A32" s="5" t="s">
        <v>88</v>
      </c>
      <c r="B32" s="5" t="s">
        <v>84</v>
      </c>
      <c r="C32" s="6" t="s">
        <v>89</v>
      </c>
      <c r="D32" s="36"/>
      <c r="E32" s="12" t="s">
        <v>475</v>
      </c>
    </row>
    <row r="33" spans="1:5">
      <c r="A33" s="7" t="s">
        <v>90</v>
      </c>
      <c r="B33" s="7" t="s">
        <v>91</v>
      </c>
      <c r="C33" s="8" t="s">
        <v>92</v>
      </c>
      <c r="D33" s="43" t="s">
        <v>476</v>
      </c>
      <c r="E33" s="12" t="s">
        <v>477</v>
      </c>
    </row>
    <row r="34" spans="1:5">
      <c r="A34" s="7" t="s">
        <v>93</v>
      </c>
      <c r="B34" s="7" t="s">
        <v>94</v>
      </c>
      <c r="C34" s="8" t="s">
        <v>95</v>
      </c>
      <c r="D34" s="43"/>
      <c r="E34" s="12" t="s">
        <v>478</v>
      </c>
    </row>
    <row r="35" spans="1:5">
      <c r="A35" s="5" t="s">
        <v>96</v>
      </c>
      <c r="B35" s="5" t="s">
        <v>97</v>
      </c>
      <c r="C35" s="6" t="s">
        <v>98</v>
      </c>
      <c r="D35" s="36"/>
      <c r="E35" s="12" t="s">
        <v>479</v>
      </c>
    </row>
    <row r="36" spans="1:5">
      <c r="A36" s="7" t="s">
        <v>99</v>
      </c>
      <c r="B36" s="7" t="s">
        <v>100</v>
      </c>
      <c r="C36" s="8" t="s">
        <v>101</v>
      </c>
      <c r="D36" s="43"/>
      <c r="E36" s="12" t="s">
        <v>480</v>
      </c>
    </row>
    <row r="37" spans="1:5">
      <c r="A37" s="5" t="s">
        <v>102</v>
      </c>
      <c r="B37" s="5" t="s">
        <v>103</v>
      </c>
      <c r="C37" s="6" t="s">
        <v>104</v>
      </c>
      <c r="D37" s="36">
        <v>9165213208</v>
      </c>
      <c r="E37" s="12" t="s">
        <v>481</v>
      </c>
    </row>
    <row r="38" spans="1:5">
      <c r="A38" s="5" t="s">
        <v>105</v>
      </c>
      <c r="B38" s="5" t="s">
        <v>106</v>
      </c>
      <c r="C38" s="6" t="s">
        <v>107</v>
      </c>
      <c r="D38" s="36"/>
      <c r="E38" s="12" t="s">
        <v>482</v>
      </c>
    </row>
    <row r="39" spans="1:5">
      <c r="A39" s="7" t="s">
        <v>108</v>
      </c>
      <c r="B39" s="7" t="s">
        <v>72</v>
      </c>
      <c r="C39" s="8" t="s">
        <v>109</v>
      </c>
      <c r="D39" s="40" t="s">
        <v>483</v>
      </c>
      <c r="E39" s="12" t="s">
        <v>484</v>
      </c>
    </row>
    <row r="40" spans="1:5">
      <c r="A40" s="7" t="s">
        <v>110</v>
      </c>
      <c r="B40" s="7" t="s">
        <v>20</v>
      </c>
      <c r="C40" s="8" t="s">
        <v>111</v>
      </c>
      <c r="D40" s="40" t="s">
        <v>485</v>
      </c>
      <c r="E40" s="12" t="s">
        <v>486</v>
      </c>
    </row>
    <row r="41" spans="1:5">
      <c r="A41" s="5" t="s">
        <v>112</v>
      </c>
      <c r="B41" s="5" t="s">
        <v>55</v>
      </c>
      <c r="C41" s="6" t="s">
        <v>113</v>
      </c>
      <c r="D41" s="36"/>
      <c r="E41" s="12" t="s">
        <v>487</v>
      </c>
    </row>
    <row r="42" spans="1:5">
      <c r="A42" s="7" t="s">
        <v>114</v>
      </c>
      <c r="B42" s="7" t="s">
        <v>72</v>
      </c>
      <c r="C42" s="8" t="s">
        <v>115</v>
      </c>
      <c r="D42" s="43" t="s">
        <v>488</v>
      </c>
      <c r="E42" s="12" t="s">
        <v>468</v>
      </c>
    </row>
    <row r="43" spans="1:5">
      <c r="A43" s="5" t="s">
        <v>116</v>
      </c>
      <c r="B43" s="5" t="s">
        <v>117</v>
      </c>
      <c r="C43" s="6" t="s">
        <v>118</v>
      </c>
      <c r="D43" s="36"/>
      <c r="E43" s="12"/>
    </row>
    <row r="44" spans="1:5">
      <c r="A44" s="5" t="s">
        <v>119</v>
      </c>
      <c r="B44" s="5" t="s">
        <v>72</v>
      </c>
      <c r="C44" s="6" t="s">
        <v>120</v>
      </c>
      <c r="D44" s="36">
        <v>7078499317</v>
      </c>
      <c r="E44" s="12" t="s">
        <v>489</v>
      </c>
    </row>
    <row r="45" spans="1:5">
      <c r="A45" s="5" t="s">
        <v>121</v>
      </c>
      <c r="B45" s="5" t="s">
        <v>122</v>
      </c>
      <c r="C45" s="6" t="s">
        <v>123</v>
      </c>
      <c r="D45" s="36"/>
      <c r="E45" s="12" t="s">
        <v>490</v>
      </c>
    </row>
    <row r="46" spans="1:5">
      <c r="A46" s="5" t="s">
        <v>124</v>
      </c>
      <c r="B46" s="5" t="s">
        <v>72</v>
      </c>
      <c r="C46" s="6" t="s">
        <v>125</v>
      </c>
      <c r="D46" s="36">
        <v>7073225806</v>
      </c>
      <c r="E46" s="45" t="s">
        <v>491</v>
      </c>
    </row>
    <row r="47" spans="1:5">
      <c r="A47" s="7" t="s">
        <v>126</v>
      </c>
      <c r="B47" s="7" t="s">
        <v>127</v>
      </c>
      <c r="C47" s="8" t="s">
        <v>128</v>
      </c>
      <c r="D47" s="40" t="s">
        <v>492</v>
      </c>
      <c r="E47" s="12" t="s">
        <v>493</v>
      </c>
    </row>
    <row r="48" spans="1:5">
      <c r="A48" s="5" t="s">
        <v>129</v>
      </c>
      <c r="B48" s="5" t="s">
        <v>130</v>
      </c>
      <c r="C48" s="6" t="s">
        <v>131</v>
      </c>
      <c r="D48" s="36"/>
      <c r="E48" s="12" t="s">
        <v>494</v>
      </c>
    </row>
    <row r="49" spans="1:5">
      <c r="A49" s="5" t="s">
        <v>132</v>
      </c>
      <c r="B49" s="5" t="s">
        <v>84</v>
      </c>
      <c r="C49" s="6" t="s">
        <v>133</v>
      </c>
      <c r="D49" s="36"/>
      <c r="E49" s="12"/>
    </row>
    <row r="50" spans="1:5">
      <c r="A50" s="5" t="s">
        <v>134</v>
      </c>
      <c r="B50" s="5" t="s">
        <v>135</v>
      </c>
      <c r="C50" s="6" t="s">
        <v>136</v>
      </c>
      <c r="D50" s="49">
        <v>4152058885</v>
      </c>
      <c r="E50" s="45" t="s">
        <v>495</v>
      </c>
    </row>
    <row r="51" spans="1:5">
      <c r="A51" s="5" t="s">
        <v>137</v>
      </c>
      <c r="B51" s="5" t="s">
        <v>138</v>
      </c>
      <c r="C51" s="6" t="s">
        <v>139</v>
      </c>
      <c r="D51" s="49">
        <v>4152052574</v>
      </c>
      <c r="E51" s="45" t="s">
        <v>496</v>
      </c>
    </row>
    <row r="52" spans="1:5">
      <c r="A52" s="5" t="s">
        <v>140</v>
      </c>
      <c r="B52" s="5" t="s">
        <v>138</v>
      </c>
      <c r="C52" s="10" t="s">
        <v>141</v>
      </c>
      <c r="D52" s="36"/>
      <c r="E52" s="12"/>
    </row>
    <row r="53" spans="1:5">
      <c r="A53" s="5" t="s">
        <v>142</v>
      </c>
      <c r="B53" s="7" t="s">
        <v>45</v>
      </c>
      <c r="C53" s="6" t="s">
        <v>143</v>
      </c>
      <c r="D53" s="36" t="s">
        <v>497</v>
      </c>
      <c r="E53" s="12" t="s">
        <v>498</v>
      </c>
    </row>
    <row r="54" spans="1:5">
      <c r="A54" s="5" t="s">
        <v>144</v>
      </c>
      <c r="B54" s="5" t="s">
        <v>145</v>
      </c>
      <c r="C54" s="11" t="s">
        <v>146</v>
      </c>
      <c r="D54" s="36"/>
      <c r="E54" s="12" t="s">
        <v>499</v>
      </c>
    </row>
    <row r="55" spans="1:5">
      <c r="A55" s="7" t="s">
        <v>147</v>
      </c>
      <c r="B55" s="7" t="s">
        <v>148</v>
      </c>
      <c r="C55" s="8" t="s">
        <v>149</v>
      </c>
      <c r="D55" s="43">
        <v>9166997163</v>
      </c>
      <c r="E55" s="45" t="s">
        <v>500</v>
      </c>
    </row>
    <row r="56" spans="1:5">
      <c r="A56" s="12" t="s">
        <v>150</v>
      </c>
      <c r="B56" s="7" t="s">
        <v>151</v>
      </c>
      <c r="C56" s="8" t="s">
        <v>152</v>
      </c>
      <c r="D56" s="43">
        <v>5104613953</v>
      </c>
      <c r="E56" s="45" t="s">
        <v>501</v>
      </c>
    </row>
    <row r="57" spans="1:5">
      <c r="A57" s="7" t="s">
        <v>153</v>
      </c>
      <c r="B57" s="7" t="s">
        <v>72</v>
      </c>
      <c r="C57" s="8" t="s">
        <v>154</v>
      </c>
      <c r="D57" s="43">
        <v>7074848898</v>
      </c>
      <c r="E57" s="12" t="s">
        <v>502</v>
      </c>
    </row>
    <row r="58" spans="1:5">
      <c r="A58" s="5" t="s">
        <v>155</v>
      </c>
      <c r="B58" s="5" t="s">
        <v>156</v>
      </c>
      <c r="C58" s="6" t="s">
        <v>157</v>
      </c>
      <c r="D58" s="36"/>
      <c r="E58" s="12" t="s">
        <v>503</v>
      </c>
    </row>
    <row r="59" spans="1: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>
      <c r="A60" s="5" t="s">
        <v>161</v>
      </c>
      <c r="B60" s="5" t="s">
        <v>91</v>
      </c>
      <c r="C60" s="6" t="s">
        <v>162</v>
      </c>
      <c r="D60" s="36"/>
      <c r="E60" s="12" t="s">
        <v>505</v>
      </c>
    </row>
    <row r="61" spans="1:5">
      <c r="A61" s="5" t="s">
        <v>163</v>
      </c>
      <c r="B61" s="5" t="s">
        <v>164</v>
      </c>
      <c r="C61" s="6" t="s">
        <v>165</v>
      </c>
      <c r="D61" s="49"/>
      <c r="E61" s="12" t="s">
        <v>506</v>
      </c>
    </row>
    <row r="62" spans="1:5">
      <c r="A62" s="5" t="s">
        <v>166</v>
      </c>
      <c r="B62" s="5" t="s">
        <v>167</v>
      </c>
      <c r="C62" s="6" t="s">
        <v>168</v>
      </c>
      <c r="D62" s="36">
        <v>9253604907</v>
      </c>
      <c r="E62" s="12" t="s">
        <v>507</v>
      </c>
    </row>
    <row r="63" spans="1:5">
      <c r="A63" s="7" t="s">
        <v>169</v>
      </c>
      <c r="B63" s="7" t="s">
        <v>170</v>
      </c>
      <c r="C63" s="8" t="s">
        <v>171</v>
      </c>
      <c r="D63" s="36"/>
      <c r="E63" s="12" t="s">
        <v>508</v>
      </c>
    </row>
    <row r="64" spans="1:5">
      <c r="A64" s="5" t="s">
        <v>172</v>
      </c>
      <c r="B64" s="5" t="s">
        <v>173</v>
      </c>
      <c r="C64" s="6" t="s">
        <v>174</v>
      </c>
      <c r="D64" s="36">
        <v>5305180274</v>
      </c>
      <c r="E64" s="12" t="s">
        <v>509</v>
      </c>
    </row>
    <row r="65" spans="1:5">
      <c r="A65" s="5" t="s">
        <v>175</v>
      </c>
      <c r="B65" s="5" t="s">
        <v>72</v>
      </c>
      <c r="C65" s="6" t="s">
        <v>176</v>
      </c>
      <c r="D65" s="36"/>
      <c r="E65" s="12"/>
    </row>
    <row r="66" spans="1:5">
      <c r="A66" s="5" t="s">
        <v>177</v>
      </c>
      <c r="B66" s="5" t="s">
        <v>156</v>
      </c>
      <c r="C66" s="6" t="s">
        <v>178</v>
      </c>
      <c r="D66" s="36"/>
      <c r="E66" s="12" t="s">
        <v>510</v>
      </c>
    </row>
    <row r="67" spans="1:5">
      <c r="A67" s="7" t="s">
        <v>179</v>
      </c>
      <c r="B67" s="7" t="s">
        <v>180</v>
      </c>
      <c r="C67" s="8" t="s">
        <v>181</v>
      </c>
      <c r="D67" s="43"/>
      <c r="E67" s="12" t="s">
        <v>511</v>
      </c>
    </row>
    <row r="68" spans="1:5">
      <c r="A68" s="5" t="s">
        <v>182</v>
      </c>
      <c r="B68" s="5" t="s">
        <v>20</v>
      </c>
      <c r="C68" s="6" t="s">
        <v>183</v>
      </c>
      <c r="D68" s="36"/>
      <c r="E68" s="12" t="s">
        <v>512</v>
      </c>
    </row>
    <row r="69" spans="1: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>
      <c r="A70" s="5" t="s">
        <v>187</v>
      </c>
      <c r="B70" s="5" t="s">
        <v>188</v>
      </c>
      <c r="C70" s="6" t="s">
        <v>189</v>
      </c>
      <c r="D70" s="36"/>
      <c r="E70" s="12" t="s">
        <v>514</v>
      </c>
    </row>
    <row r="71" spans="1:5">
      <c r="A71" s="5" t="s">
        <v>190</v>
      </c>
      <c r="B71" s="5" t="s">
        <v>191</v>
      </c>
      <c r="C71" s="6" t="s">
        <v>192</v>
      </c>
      <c r="D71" s="49"/>
      <c r="E71" s="12" t="s">
        <v>515</v>
      </c>
    </row>
    <row r="72" spans="1:5">
      <c r="A72" s="5" t="s">
        <v>193</v>
      </c>
      <c r="B72" s="5" t="s">
        <v>194</v>
      </c>
      <c r="C72" s="6" t="s">
        <v>195</v>
      </c>
      <c r="D72" s="10" t="s">
        <v>516</v>
      </c>
      <c r="E72" s="45" t="s">
        <v>517</v>
      </c>
    </row>
    <row r="73" spans="1:5">
      <c r="A73" s="7" t="s">
        <v>196</v>
      </c>
      <c r="B73" s="7" t="s">
        <v>64</v>
      </c>
      <c r="C73" s="8" t="s">
        <v>197</v>
      </c>
      <c r="D73" s="43">
        <v>4084722020</v>
      </c>
      <c r="E73" s="45" t="s">
        <v>518</v>
      </c>
    </row>
    <row r="74" spans="1:5">
      <c r="A74" s="7" t="s">
        <v>198</v>
      </c>
      <c r="B74" s="7" t="s">
        <v>199</v>
      </c>
      <c r="C74" s="8" t="s">
        <v>200</v>
      </c>
      <c r="D74" s="50"/>
      <c r="E74" s="12"/>
    </row>
    <row r="75" spans="1:5">
      <c r="A75" s="5" t="s">
        <v>201</v>
      </c>
      <c r="B75" s="5" t="s">
        <v>202</v>
      </c>
      <c r="C75" s="6" t="s">
        <v>203</v>
      </c>
      <c r="D75" s="36"/>
      <c r="E75" s="12" t="s">
        <v>519</v>
      </c>
    </row>
    <row r="76" spans="1:5">
      <c r="A76" s="7" t="s">
        <v>204</v>
      </c>
      <c r="B76" s="7" t="s">
        <v>205</v>
      </c>
      <c r="C76" s="8" t="s">
        <v>206</v>
      </c>
      <c r="D76" s="43"/>
      <c r="E76" s="12" t="s">
        <v>520</v>
      </c>
    </row>
    <row r="77" spans="1:5">
      <c r="A77" s="5" t="s">
        <v>207</v>
      </c>
      <c r="B77" s="5" t="s">
        <v>208</v>
      </c>
      <c r="C77" s="6" t="s">
        <v>209</v>
      </c>
      <c r="D77" s="36">
        <v>9254579513</v>
      </c>
      <c r="E77" s="45" t="s">
        <v>521</v>
      </c>
    </row>
    <row r="78" spans="1:5">
      <c r="A78" s="7" t="s">
        <v>210</v>
      </c>
      <c r="B78" s="7" t="s">
        <v>211</v>
      </c>
      <c r="C78" s="8" t="s">
        <v>212</v>
      </c>
      <c r="D78" s="43"/>
      <c r="E78" s="12"/>
    </row>
    <row r="79" spans="1:5">
      <c r="A79" s="5" t="s">
        <v>213</v>
      </c>
      <c r="B79" s="5" t="s">
        <v>214</v>
      </c>
      <c r="C79" s="6" t="s">
        <v>215</v>
      </c>
      <c r="D79" s="36"/>
      <c r="E79" s="12" t="s">
        <v>522</v>
      </c>
    </row>
    <row r="80" spans="1:5">
      <c r="A80" s="5" t="s">
        <v>216</v>
      </c>
      <c r="B80" s="5" t="s">
        <v>217</v>
      </c>
      <c r="C80" s="6" t="s">
        <v>218</v>
      </c>
      <c r="D80" s="36"/>
      <c r="E80" s="12" t="s">
        <v>523</v>
      </c>
    </row>
    <row r="81" spans="1:5">
      <c r="A81" s="7" t="s">
        <v>219</v>
      </c>
      <c r="B81" s="7" t="s">
        <v>220</v>
      </c>
      <c r="C81" s="8" t="s">
        <v>221</v>
      </c>
      <c r="D81" s="43"/>
      <c r="E81" s="12" t="s">
        <v>524</v>
      </c>
    </row>
    <row r="82" spans="1:5">
      <c r="A82" s="5" t="s">
        <v>222</v>
      </c>
      <c r="B82" s="5" t="s">
        <v>223</v>
      </c>
      <c r="C82" s="6" t="s">
        <v>224</v>
      </c>
      <c r="D82" s="36"/>
      <c r="E82" s="12"/>
    </row>
    <row r="83" spans="1:5">
      <c r="A83" s="5" t="s">
        <v>225</v>
      </c>
      <c r="B83" s="5" t="s">
        <v>226</v>
      </c>
      <c r="C83" s="6" t="s">
        <v>227</v>
      </c>
      <c r="D83" s="36">
        <v>5106819675</v>
      </c>
      <c r="E83" s="45" t="s">
        <v>525</v>
      </c>
    </row>
    <row r="84" spans="1:5">
      <c r="A84" s="5" t="s">
        <v>228</v>
      </c>
      <c r="B84" s="5" t="s">
        <v>229</v>
      </c>
      <c r="C84" s="6" t="s">
        <v>230</v>
      </c>
      <c r="D84" s="36"/>
      <c r="E84" s="12" t="s">
        <v>526</v>
      </c>
    </row>
    <row r="85" spans="1:5">
      <c r="A85" s="7" t="s">
        <v>231</v>
      </c>
      <c r="B85" s="12" t="s">
        <v>232</v>
      </c>
      <c r="C85" s="8" t="s">
        <v>233</v>
      </c>
      <c r="D85" s="36"/>
      <c r="E85" s="12" t="s">
        <v>527</v>
      </c>
    </row>
    <row r="86" spans="1:5">
      <c r="A86" s="7" t="s">
        <v>234</v>
      </c>
      <c r="B86" s="7" t="s">
        <v>235</v>
      </c>
      <c r="C86" s="8" t="s">
        <v>236</v>
      </c>
      <c r="D86" s="43"/>
      <c r="E86" s="12" t="s">
        <v>528</v>
      </c>
    </row>
    <row r="87" spans="1:5">
      <c r="A87" s="7" t="s">
        <v>237</v>
      </c>
      <c r="B87" s="7" t="s">
        <v>194</v>
      </c>
      <c r="C87" s="8" t="s">
        <v>238</v>
      </c>
      <c r="D87" s="43"/>
      <c r="E87" s="12" t="s">
        <v>529</v>
      </c>
    </row>
    <row r="88" spans="1:5">
      <c r="A88" s="5" t="s">
        <v>239</v>
      </c>
      <c r="B88" s="5" t="s">
        <v>240</v>
      </c>
      <c r="C88" s="6" t="s">
        <v>241</v>
      </c>
      <c r="D88" s="36"/>
      <c r="E88" s="12" t="s">
        <v>530</v>
      </c>
    </row>
    <row r="89" spans="1:5">
      <c r="A89" s="5" t="s">
        <v>242</v>
      </c>
      <c r="B89" s="5" t="s">
        <v>130</v>
      </c>
      <c r="C89" s="6" t="s">
        <v>243</v>
      </c>
      <c r="D89" s="36"/>
      <c r="E89" s="12"/>
    </row>
    <row r="90" spans="1:5">
      <c r="A90" s="5" t="s">
        <v>244</v>
      </c>
      <c r="B90" s="5" t="s">
        <v>245</v>
      </c>
      <c r="C90" s="6" t="s">
        <v>246</v>
      </c>
      <c r="D90" s="36"/>
      <c r="E90" s="12" t="s">
        <v>531</v>
      </c>
    </row>
    <row r="91" spans="1:5">
      <c r="A91" s="7" t="s">
        <v>247</v>
      </c>
      <c r="B91" s="7" t="s">
        <v>185</v>
      </c>
      <c r="C91" s="8" t="s">
        <v>248</v>
      </c>
      <c r="D91" s="43"/>
      <c r="E91" s="12" t="s">
        <v>532</v>
      </c>
    </row>
    <row r="92" spans="1:5">
      <c r="A92" s="7" t="s">
        <v>249</v>
      </c>
      <c r="B92" s="7" t="s">
        <v>250</v>
      </c>
      <c r="C92" s="8" t="s">
        <v>251</v>
      </c>
      <c r="D92" s="36"/>
      <c r="E92" s="12" t="s">
        <v>533</v>
      </c>
    </row>
    <row r="93" spans="1:5">
      <c r="A93" s="5" t="s">
        <v>252</v>
      </c>
      <c r="B93" s="5" t="s">
        <v>42</v>
      </c>
      <c r="C93" s="6" t="s">
        <v>253</v>
      </c>
      <c r="D93" s="36"/>
      <c r="E93" s="12" t="s">
        <v>534</v>
      </c>
    </row>
    <row r="94" spans="1:5">
      <c r="A94" s="5" t="s">
        <v>254</v>
      </c>
      <c r="B94" s="5" t="s">
        <v>255</v>
      </c>
      <c r="C94" s="6" t="s">
        <v>256</v>
      </c>
      <c r="D94" s="10" t="s">
        <v>535</v>
      </c>
      <c r="E94" s="45" t="s">
        <v>536</v>
      </c>
    </row>
    <row r="95" spans="1:5">
      <c r="A95" s="5" t="s">
        <v>257</v>
      </c>
      <c r="B95" s="5" t="s">
        <v>255</v>
      </c>
      <c r="C95" s="6" t="s">
        <v>258</v>
      </c>
      <c r="D95" s="10" t="s">
        <v>535</v>
      </c>
      <c r="E95" s="45" t="s">
        <v>537</v>
      </c>
    </row>
    <row r="96" spans="1:5">
      <c r="A96" s="5" t="s">
        <v>259</v>
      </c>
      <c r="B96" s="5" t="s">
        <v>75</v>
      </c>
      <c r="C96" s="6" t="s">
        <v>260</v>
      </c>
      <c r="D96" s="36"/>
      <c r="E96" s="12" t="s">
        <v>538</v>
      </c>
    </row>
    <row r="97" spans="1:5">
      <c r="A97" s="5" t="s">
        <v>261</v>
      </c>
      <c r="B97" s="5" t="s">
        <v>262</v>
      </c>
      <c r="C97" s="6" t="s">
        <v>263</v>
      </c>
      <c r="D97" s="40" t="s">
        <v>539</v>
      </c>
      <c r="E97" s="15" t="s">
        <v>540</v>
      </c>
    </row>
    <row r="98" spans="1:5">
      <c r="A98" s="5" t="s">
        <v>264</v>
      </c>
      <c r="B98" s="5" t="s">
        <v>45</v>
      </c>
      <c r="C98" s="6" t="s">
        <v>265</v>
      </c>
      <c r="D98" s="47" t="s">
        <v>541</v>
      </c>
      <c r="E98" s="15" t="s">
        <v>542</v>
      </c>
    </row>
    <row r="99" spans="1:5">
      <c r="A99" s="7" t="s">
        <v>266</v>
      </c>
      <c r="B99" s="7" t="s">
        <v>267</v>
      </c>
      <c r="C99" s="8" t="s">
        <v>268</v>
      </c>
      <c r="D99" s="46"/>
      <c r="E99" s="12"/>
    </row>
    <row r="100" spans="1:5">
      <c r="A100" s="5" t="s">
        <v>269</v>
      </c>
      <c r="B100" s="5" t="s">
        <v>270</v>
      </c>
      <c r="C100" s="6" t="s">
        <v>271</v>
      </c>
      <c r="D100" s="36"/>
      <c r="E100" s="12" t="s">
        <v>543</v>
      </c>
    </row>
    <row r="101" spans="1:5">
      <c r="A101" s="7" t="s">
        <v>272</v>
      </c>
      <c r="B101" s="7" t="s">
        <v>45</v>
      </c>
      <c r="C101" s="8" t="s">
        <v>273</v>
      </c>
      <c r="D101" s="43">
        <v>7072242345</v>
      </c>
      <c r="E101" s="12" t="s">
        <v>544</v>
      </c>
    </row>
    <row r="102" spans="1:5">
      <c r="A102" s="5" t="s">
        <v>274</v>
      </c>
      <c r="B102" s="5" t="s">
        <v>275</v>
      </c>
      <c r="C102" s="6" t="s">
        <v>276</v>
      </c>
      <c r="D102" s="36"/>
      <c r="E102" s="12" t="s">
        <v>545</v>
      </c>
    </row>
    <row r="103" spans="1:5">
      <c r="A103" s="7" t="s">
        <v>277</v>
      </c>
      <c r="B103" s="7" t="s">
        <v>194</v>
      </c>
      <c r="C103" s="8" t="s">
        <v>278</v>
      </c>
      <c r="D103" s="43"/>
      <c r="E103" s="12" t="s">
        <v>546</v>
      </c>
    </row>
    <row r="104" spans="1:5">
      <c r="A104" s="5" t="s">
        <v>279</v>
      </c>
      <c r="B104" s="5" t="s">
        <v>8</v>
      </c>
      <c r="C104" s="6" t="s">
        <v>280</v>
      </c>
      <c r="D104" s="36"/>
      <c r="E104" s="12" t="s">
        <v>547</v>
      </c>
    </row>
    <row r="105" spans="1:5">
      <c r="A105" s="5" t="s">
        <v>281</v>
      </c>
      <c r="B105" s="5" t="s">
        <v>282</v>
      </c>
      <c r="C105" s="6"/>
      <c r="D105" s="36"/>
      <c r="E105" s="12" t="s">
        <v>548</v>
      </c>
    </row>
    <row r="106" spans="1:5">
      <c r="A106" s="7" t="s">
        <v>283</v>
      </c>
      <c r="B106" s="7" t="s">
        <v>81</v>
      </c>
      <c r="C106" s="8" t="s">
        <v>284</v>
      </c>
      <c r="D106" s="43"/>
      <c r="E106" s="12" t="s">
        <v>549</v>
      </c>
    </row>
    <row r="107" spans="1:5">
      <c r="A107" s="5" t="s">
        <v>285</v>
      </c>
      <c r="B107" s="5" t="s">
        <v>191</v>
      </c>
      <c r="C107" s="6" t="s">
        <v>286</v>
      </c>
      <c r="D107" s="36"/>
      <c r="E107" s="12" t="s">
        <v>550</v>
      </c>
    </row>
    <row r="108" spans="1:5">
      <c r="A108" s="5" t="s">
        <v>287</v>
      </c>
      <c r="B108" s="5" t="s">
        <v>156</v>
      </c>
      <c r="C108" s="6" t="s">
        <v>288</v>
      </c>
      <c r="D108" s="36"/>
      <c r="E108" s="12" t="s">
        <v>551</v>
      </c>
    </row>
    <row r="109" spans="1:5">
      <c r="A109" s="7" t="s">
        <v>289</v>
      </c>
      <c r="B109" s="7" t="s">
        <v>45</v>
      </c>
      <c r="C109" s="8" t="s">
        <v>290</v>
      </c>
      <c r="D109" s="40" t="s">
        <v>552</v>
      </c>
      <c r="E109" s="12" t="s">
        <v>553</v>
      </c>
    </row>
    <row r="110" spans="1:5">
      <c r="A110" s="5" t="s">
        <v>291</v>
      </c>
      <c r="B110" s="13" t="s">
        <v>255</v>
      </c>
      <c r="C110" s="6"/>
      <c r="D110" s="36"/>
      <c r="E110" s="12" t="s">
        <v>554</v>
      </c>
    </row>
    <row r="111" spans="1:5">
      <c r="A111" s="7" t="s">
        <v>292</v>
      </c>
      <c r="B111" s="7" t="s">
        <v>293</v>
      </c>
      <c r="C111" s="8" t="s">
        <v>294</v>
      </c>
      <c r="D111" s="43"/>
      <c r="E111" s="12" t="s">
        <v>555</v>
      </c>
    </row>
    <row r="112" spans="1:5">
      <c r="A112" s="5" t="s">
        <v>295</v>
      </c>
      <c r="B112" s="5" t="s">
        <v>127</v>
      </c>
      <c r="C112" s="6" t="s">
        <v>296</v>
      </c>
      <c r="D112" s="36">
        <v>8057047967</v>
      </c>
      <c r="E112" s="12"/>
    </row>
    <row r="113" spans="1:5">
      <c r="A113" s="7" t="s">
        <v>297</v>
      </c>
      <c r="B113" s="7" t="s">
        <v>61</v>
      </c>
      <c r="C113" s="8" t="s">
        <v>298</v>
      </c>
      <c r="D113" s="43"/>
      <c r="E113" s="12" t="s">
        <v>556</v>
      </c>
    </row>
    <row r="114" spans="1:5">
      <c r="A114" s="5" t="s">
        <v>299</v>
      </c>
      <c r="B114" s="5" t="s">
        <v>300</v>
      </c>
      <c r="C114" s="6" t="s">
        <v>301</v>
      </c>
      <c r="D114" s="36"/>
      <c r="E114" s="12"/>
    </row>
    <row r="115" spans="1:5">
      <c r="A115" s="7" t="s">
        <v>302</v>
      </c>
      <c r="B115" s="7" t="s">
        <v>72</v>
      </c>
      <c r="C115" s="8" t="s">
        <v>303</v>
      </c>
      <c r="D115" s="43"/>
      <c r="E115" s="12" t="s">
        <v>557</v>
      </c>
    </row>
    <row r="116" spans="1:5">
      <c r="A116" s="5" t="s">
        <v>304</v>
      </c>
      <c r="B116" s="5" t="s">
        <v>305</v>
      </c>
      <c r="C116" s="6" t="s">
        <v>306</v>
      </c>
      <c r="D116" s="36"/>
      <c r="E116" s="12" t="s">
        <v>558</v>
      </c>
    </row>
    <row r="117" spans="1:5">
      <c r="A117" s="5" t="s">
        <v>307</v>
      </c>
      <c r="B117" s="5" t="s">
        <v>39</v>
      </c>
      <c r="C117" s="6" t="s">
        <v>308</v>
      </c>
      <c r="D117" s="36"/>
      <c r="E117" s="12" t="s">
        <v>559</v>
      </c>
    </row>
    <row r="118" spans="1:5">
      <c r="A118" s="5" t="s">
        <v>309</v>
      </c>
      <c r="B118" s="5" t="s">
        <v>72</v>
      </c>
      <c r="C118" s="6" t="s">
        <v>310</v>
      </c>
      <c r="D118" s="36"/>
      <c r="E118" s="12" t="s">
        <v>560</v>
      </c>
    </row>
    <row r="119" spans="1:5">
      <c r="A119" s="5" t="s">
        <v>311</v>
      </c>
      <c r="B119" s="5" t="s">
        <v>84</v>
      </c>
      <c r="C119" s="6" t="s">
        <v>312</v>
      </c>
      <c r="D119" s="36"/>
      <c r="E119" s="12" t="s">
        <v>561</v>
      </c>
    </row>
    <row r="120" spans="1:5">
      <c r="A120" s="5" t="s">
        <v>313</v>
      </c>
      <c r="B120" s="5" t="s">
        <v>314</v>
      </c>
      <c r="C120" s="6" t="s">
        <v>315</v>
      </c>
      <c r="D120" s="36"/>
      <c r="E120" s="12"/>
    </row>
    <row r="121" spans="1:5">
      <c r="A121" s="7" t="s">
        <v>316</v>
      </c>
      <c r="B121" s="7" t="s">
        <v>45</v>
      </c>
      <c r="C121" s="8" t="s">
        <v>317</v>
      </c>
      <c r="D121" s="43">
        <v>5105046905</v>
      </c>
      <c r="E121" s="45" t="s">
        <v>562</v>
      </c>
    </row>
    <row r="122" spans="1:5">
      <c r="A122" s="5" t="s">
        <v>318</v>
      </c>
      <c r="B122" s="5" t="s">
        <v>148</v>
      </c>
      <c r="C122" s="6" t="s">
        <v>319</v>
      </c>
      <c r="D122" s="40" t="s">
        <v>563</v>
      </c>
      <c r="E122" s="12" t="s">
        <v>564</v>
      </c>
    </row>
    <row r="123" spans="1:5">
      <c r="A123" s="7" t="s">
        <v>320</v>
      </c>
      <c r="B123" s="7" t="s">
        <v>321</v>
      </c>
      <c r="C123" s="8" t="s">
        <v>322</v>
      </c>
      <c r="D123" s="43">
        <v>9167697400</v>
      </c>
      <c r="E123" s="12" t="s">
        <v>565</v>
      </c>
    </row>
    <row r="124" spans="1:5">
      <c r="A124" s="7" t="s">
        <v>323</v>
      </c>
      <c r="B124" s="7" t="s">
        <v>235</v>
      </c>
      <c r="C124" s="8" t="s">
        <v>324</v>
      </c>
      <c r="D124" s="46"/>
      <c r="E124" s="12" t="s">
        <v>566</v>
      </c>
    </row>
    <row r="125" spans="1:5">
      <c r="A125" s="7" t="s">
        <v>325</v>
      </c>
      <c r="B125" s="7" t="s">
        <v>326</v>
      </c>
      <c r="C125" s="8" t="s">
        <v>327</v>
      </c>
      <c r="D125" s="43"/>
      <c r="E125" s="12" t="s">
        <v>567</v>
      </c>
    </row>
    <row r="126" spans="1:5">
      <c r="A126" s="5" t="s">
        <v>328</v>
      </c>
      <c r="B126" s="5" t="s">
        <v>329</v>
      </c>
      <c r="C126" s="6" t="s">
        <v>330</v>
      </c>
      <c r="D126" s="36">
        <v>5302194729</v>
      </c>
      <c r="E126" s="45" t="s">
        <v>568</v>
      </c>
    </row>
    <row r="127" spans="1:5">
      <c r="A127" s="5" t="s">
        <v>331</v>
      </c>
      <c r="B127" s="5" t="s">
        <v>332</v>
      </c>
      <c r="C127" s="6" t="s">
        <v>333</v>
      </c>
      <c r="D127" s="36"/>
      <c r="E127" s="12" t="s">
        <v>569</v>
      </c>
    </row>
    <row r="128" spans="1:5">
      <c r="A128" s="5" t="s">
        <v>334</v>
      </c>
      <c r="B128" s="5" t="s">
        <v>33</v>
      </c>
      <c r="C128" s="6" t="s">
        <v>335</v>
      </c>
      <c r="D128" s="36"/>
      <c r="E128" s="12"/>
    </row>
    <row r="129" spans="1:5">
      <c r="A129" s="5" t="s">
        <v>336</v>
      </c>
      <c r="B129" s="5" t="s">
        <v>67</v>
      </c>
      <c r="C129" s="6" t="s">
        <v>337</v>
      </c>
      <c r="D129" s="36">
        <v>7075991826</v>
      </c>
      <c r="E129" s="12" t="s">
        <v>570</v>
      </c>
    </row>
    <row r="130" spans="1:5">
      <c r="A130" s="7" t="s">
        <v>338</v>
      </c>
      <c r="B130" s="7" t="s">
        <v>67</v>
      </c>
      <c r="C130" s="8" t="s">
        <v>339</v>
      </c>
      <c r="D130" s="43">
        <v>7075994605</v>
      </c>
      <c r="E130" s="15" t="s">
        <v>571</v>
      </c>
    </row>
    <row r="131" spans="1:5" ht="15.75">
      <c r="A131" s="14" t="s">
        <v>340</v>
      </c>
      <c r="B131" s="14" t="s">
        <v>255</v>
      </c>
      <c r="C131" s="6"/>
      <c r="D131" s="36"/>
      <c r="E131" s="12" t="s">
        <v>572</v>
      </c>
    </row>
    <row r="132" spans="1:5">
      <c r="A132" s="5" t="s">
        <v>341</v>
      </c>
      <c r="B132" s="5" t="s">
        <v>342</v>
      </c>
      <c r="C132" s="6" t="s">
        <v>343</v>
      </c>
      <c r="D132" s="36">
        <v>7073490481</v>
      </c>
      <c r="E132" s="45" t="s">
        <v>573</v>
      </c>
    </row>
    <row r="133" spans="1:5" ht="15.75">
      <c r="A133" s="14" t="s">
        <v>344</v>
      </c>
      <c r="B133" s="14" t="s">
        <v>33</v>
      </c>
      <c r="C133" s="6" t="s">
        <v>345</v>
      </c>
      <c r="D133" s="36"/>
      <c r="E133" s="12" t="s">
        <v>574</v>
      </c>
    </row>
    <row r="134" spans="1:5">
      <c r="A134" s="5" t="s">
        <v>346</v>
      </c>
      <c r="B134" s="5" t="s">
        <v>347</v>
      </c>
      <c r="C134" s="6" t="s">
        <v>348</v>
      </c>
      <c r="D134" s="36">
        <v>2093653232</v>
      </c>
      <c r="E134" s="45" t="s">
        <v>575</v>
      </c>
    </row>
    <row r="135" spans="1:5">
      <c r="A135" s="5" t="s">
        <v>349</v>
      </c>
      <c r="B135" s="5" t="s">
        <v>350</v>
      </c>
      <c r="C135" s="6" t="s">
        <v>351</v>
      </c>
      <c r="D135" s="36">
        <v>7076641532</v>
      </c>
      <c r="E135" s="45" t="s">
        <v>576</v>
      </c>
    </row>
    <row r="136" spans="1:5">
      <c r="A136" s="5" t="s">
        <v>352</v>
      </c>
      <c r="B136" s="5" t="s">
        <v>45</v>
      </c>
      <c r="C136" s="6" t="s">
        <v>353</v>
      </c>
      <c r="D136" s="40" t="s">
        <v>577</v>
      </c>
      <c r="E136" s="12" t="s">
        <v>578</v>
      </c>
    </row>
    <row r="137" spans="1:5">
      <c r="A137" s="7" t="s">
        <v>354</v>
      </c>
      <c r="B137" s="7" t="s">
        <v>355</v>
      </c>
      <c r="C137" s="8" t="s">
        <v>356</v>
      </c>
      <c r="D137" s="43"/>
      <c r="E137" s="12" t="s">
        <v>579</v>
      </c>
    </row>
    <row r="138" spans="1:5">
      <c r="A138" s="5" t="s">
        <v>357</v>
      </c>
      <c r="B138" s="5" t="s">
        <v>358</v>
      </c>
      <c r="C138" s="6" t="s">
        <v>359</v>
      </c>
      <c r="D138" s="36"/>
      <c r="E138" s="12" t="s">
        <v>580</v>
      </c>
    </row>
    <row r="139" spans="1:5">
      <c r="A139" s="5" t="s">
        <v>360</v>
      </c>
      <c r="B139" s="5" t="s">
        <v>255</v>
      </c>
      <c r="C139" s="6"/>
      <c r="D139" s="36"/>
      <c r="E139" s="12" t="s">
        <v>581</v>
      </c>
    </row>
    <row r="140" spans="1:5">
      <c r="A140" s="5" t="s">
        <v>361</v>
      </c>
      <c r="B140" s="5" t="s">
        <v>45</v>
      </c>
      <c r="C140" s="6" t="s">
        <v>362</v>
      </c>
      <c r="D140" s="36">
        <v>5303666465</v>
      </c>
      <c r="E140" s="45" t="s">
        <v>582</v>
      </c>
    </row>
    <row r="141" spans="1:5">
      <c r="A141" s="5" t="s">
        <v>363</v>
      </c>
      <c r="B141" s="5" t="s">
        <v>355</v>
      </c>
      <c r="C141" s="6" t="s">
        <v>364</v>
      </c>
      <c r="D141" s="36"/>
      <c r="E141" s="12" t="s">
        <v>583</v>
      </c>
    </row>
    <row r="142" spans="1:5">
      <c r="A142" s="7" t="s">
        <v>365</v>
      </c>
      <c r="B142" s="7" t="s">
        <v>72</v>
      </c>
      <c r="C142" s="8" t="s">
        <v>366</v>
      </c>
      <c r="D142" s="46"/>
      <c r="E142" s="12" t="s">
        <v>584</v>
      </c>
    </row>
    <row r="143" spans="1:5">
      <c r="A143" s="7" t="s">
        <v>367</v>
      </c>
      <c r="B143" s="7" t="s">
        <v>45</v>
      </c>
      <c r="C143" s="8" t="s">
        <v>368</v>
      </c>
      <c r="D143" s="43">
        <v>7072524331</v>
      </c>
      <c r="E143" s="12" t="s">
        <v>585</v>
      </c>
    </row>
    <row r="144" spans="1:5">
      <c r="A144" s="7" t="s">
        <v>369</v>
      </c>
      <c r="B144" s="7" t="s">
        <v>45</v>
      </c>
      <c r="C144" s="8" t="s">
        <v>370</v>
      </c>
      <c r="D144" s="43" t="s">
        <v>586</v>
      </c>
      <c r="E144" s="12" t="s">
        <v>587</v>
      </c>
    </row>
    <row r="145" spans="1:5">
      <c r="A145" s="7" t="s">
        <v>371</v>
      </c>
      <c r="B145" s="7" t="s">
        <v>372</v>
      </c>
      <c r="C145" s="8" t="s">
        <v>373</v>
      </c>
      <c r="D145" s="43"/>
      <c r="E145" s="12" t="s">
        <v>588</v>
      </c>
    </row>
    <row r="146" spans="1:5">
      <c r="A146" s="5" t="s">
        <v>374</v>
      </c>
      <c r="B146" s="5" t="s">
        <v>375</v>
      </c>
      <c r="C146" s="6" t="s">
        <v>376</v>
      </c>
      <c r="D146" s="36"/>
      <c r="E146" s="12" t="s">
        <v>589</v>
      </c>
    </row>
    <row r="147" spans="1:5">
      <c r="A147" s="7" t="s">
        <v>377</v>
      </c>
      <c r="B147" s="7" t="s">
        <v>25</v>
      </c>
      <c r="C147" s="8" t="s">
        <v>378</v>
      </c>
      <c r="D147" s="36"/>
      <c r="E147" s="12" t="s">
        <v>590</v>
      </c>
    </row>
    <row r="148" spans="1:5">
      <c r="A148" s="5" t="s">
        <v>379</v>
      </c>
      <c r="B148" s="5" t="s">
        <v>145</v>
      </c>
      <c r="C148" s="6" t="s">
        <v>380</v>
      </c>
      <c r="D148" s="36"/>
      <c r="E148" s="12" t="s">
        <v>591</v>
      </c>
    </row>
    <row r="149" spans="1:5">
      <c r="A149" s="7" t="s">
        <v>381</v>
      </c>
      <c r="B149" s="7" t="s">
        <v>103</v>
      </c>
      <c r="C149" s="8" t="s">
        <v>382</v>
      </c>
      <c r="D149" s="36"/>
      <c r="E149" s="12" t="s">
        <v>592</v>
      </c>
    </row>
    <row r="150" spans="1: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>
      <c r="A151" s="5" t="s">
        <v>385</v>
      </c>
      <c r="B151" s="5" t="s">
        <v>84</v>
      </c>
      <c r="C151" s="6" t="s">
        <v>386</v>
      </c>
      <c r="D151" s="36"/>
      <c r="E151" s="12"/>
    </row>
    <row r="152" spans="1:5">
      <c r="A152" s="5" t="s">
        <v>387</v>
      </c>
      <c r="B152" s="5" t="s">
        <v>388</v>
      </c>
      <c r="C152" s="6" t="s">
        <v>389</v>
      </c>
      <c r="D152" s="36"/>
      <c r="E152" s="12"/>
    </row>
    <row r="153" spans="1:5">
      <c r="A153" s="5" t="s">
        <v>390</v>
      </c>
      <c r="B153" s="5" t="s">
        <v>208</v>
      </c>
      <c r="C153" s="6" t="s">
        <v>391</v>
      </c>
      <c r="D153" s="36"/>
      <c r="E153" s="12" t="s">
        <v>595</v>
      </c>
    </row>
    <row r="154" spans="1:5">
      <c r="A154" s="5" t="s">
        <v>392</v>
      </c>
      <c r="B154" s="5" t="s">
        <v>342</v>
      </c>
      <c r="C154" s="6" t="s">
        <v>393</v>
      </c>
      <c r="D154" s="36">
        <v>7075087889</v>
      </c>
      <c r="E154" s="12" t="s">
        <v>468</v>
      </c>
    </row>
    <row r="155" spans="1:5">
      <c r="A155" s="5" t="s">
        <v>394</v>
      </c>
      <c r="B155" s="5" t="s">
        <v>50</v>
      </c>
      <c r="C155" s="6" t="s">
        <v>395</v>
      </c>
      <c r="D155" s="36"/>
      <c r="E155" s="12" t="s">
        <v>596</v>
      </c>
    </row>
    <row r="156" spans="1:5">
      <c r="A156" s="5" t="s">
        <v>396</v>
      </c>
      <c r="B156" s="5" t="s">
        <v>72</v>
      </c>
      <c r="C156" s="6" t="s">
        <v>397</v>
      </c>
      <c r="D156" s="36">
        <v>7075290228</v>
      </c>
      <c r="E156" s="45" t="s">
        <v>597</v>
      </c>
    </row>
    <row r="157" spans="1:5">
      <c r="A157" s="7" t="s">
        <v>398</v>
      </c>
      <c r="B157" s="7" t="s">
        <v>185</v>
      </c>
      <c r="C157" s="8" t="s">
        <v>399</v>
      </c>
      <c r="D157" s="46"/>
      <c r="E157" s="12" t="s">
        <v>532</v>
      </c>
    </row>
    <row r="158" spans="1:5">
      <c r="A158" s="5" t="s">
        <v>400</v>
      </c>
      <c r="B158" s="5" t="s">
        <v>194</v>
      </c>
      <c r="C158" s="6" t="s">
        <v>401</v>
      </c>
      <c r="D158" s="36"/>
      <c r="E158" s="12" t="s">
        <v>598</v>
      </c>
    </row>
    <row r="159" spans="1:5">
      <c r="A159" s="5" t="s">
        <v>402</v>
      </c>
      <c r="B159" s="5" t="s">
        <v>329</v>
      </c>
      <c r="C159" s="6" t="s">
        <v>403</v>
      </c>
      <c r="D159" s="36"/>
      <c r="E159" s="12" t="s">
        <v>599</v>
      </c>
    </row>
    <row r="160" spans="1:5">
      <c r="A160" s="5" t="s">
        <v>404</v>
      </c>
      <c r="B160" s="5" t="s">
        <v>42</v>
      </c>
      <c r="C160" s="6" t="s">
        <v>405</v>
      </c>
      <c r="D160" s="36"/>
      <c r="E160" s="12"/>
    </row>
    <row r="161" spans="1:5">
      <c r="A161" s="5" t="s">
        <v>406</v>
      </c>
      <c r="B161" s="5" t="s">
        <v>45</v>
      </c>
      <c r="C161" s="6" t="s">
        <v>407</v>
      </c>
      <c r="D161" s="36">
        <v>7078150886</v>
      </c>
      <c r="E161" s="45" t="s">
        <v>600</v>
      </c>
    </row>
    <row r="162" spans="1:5">
      <c r="A162" s="5" t="s">
        <v>408</v>
      </c>
      <c r="B162" s="5" t="s">
        <v>409</v>
      </c>
      <c r="C162" s="6" t="s">
        <v>410</v>
      </c>
      <c r="D162" s="36">
        <v>5106764872</v>
      </c>
      <c r="E162" s="45" t="s">
        <v>601</v>
      </c>
    </row>
    <row r="163" spans="1:5">
      <c r="A163" s="5" t="s">
        <v>411</v>
      </c>
      <c r="B163" s="5" t="s">
        <v>412</v>
      </c>
      <c r="C163" s="6" t="s">
        <v>413</v>
      </c>
      <c r="D163" s="36"/>
      <c r="E163" s="12"/>
    </row>
    <row r="164" spans="1: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>
      <c r="A165" s="15"/>
      <c r="B165" s="15"/>
      <c r="C165" s="15"/>
      <c r="D165" s="15"/>
      <c r="E165" s="15"/>
    </row>
    <row r="166" spans="1:5">
      <c r="A166" s="15"/>
      <c r="B166" s="15"/>
      <c r="C166" s="15"/>
      <c r="D166" s="15"/>
      <c r="E166" s="15"/>
    </row>
    <row r="167" spans="1:5">
      <c r="A167" s="15"/>
      <c r="B167" s="15"/>
      <c r="C167" s="15"/>
      <c r="D167" s="15"/>
      <c r="E167" s="15"/>
    </row>
    <row r="168" spans="1:5">
      <c r="A168" s="15"/>
      <c r="B168" s="15"/>
      <c r="C168" s="15"/>
      <c r="D168" s="15"/>
      <c r="E168" s="15"/>
    </row>
    <row r="169" spans="1:5">
      <c r="A169" s="15"/>
      <c r="B169" s="15"/>
      <c r="C169" s="15"/>
      <c r="D169" s="15"/>
      <c r="E169" s="15"/>
    </row>
    <row r="170" spans="1:5">
      <c r="A170" s="15"/>
      <c r="B170" s="15"/>
      <c r="C170" s="15"/>
      <c r="D170" s="15"/>
      <c r="E170" s="15"/>
    </row>
    <row r="171" spans="1:5">
      <c r="A171" s="15"/>
      <c r="B171" s="15"/>
      <c r="C171" s="15"/>
      <c r="D171" s="15"/>
      <c r="E171" s="15"/>
    </row>
    <row r="172" spans="1:5">
      <c r="A172" s="15"/>
      <c r="B172" s="15"/>
      <c r="C172" s="15"/>
      <c r="D172" s="15"/>
      <c r="E172" s="15"/>
    </row>
    <row r="173" spans="1:5">
      <c r="A173" s="15"/>
      <c r="B173" s="15"/>
      <c r="C173" s="15"/>
      <c r="D173" s="15"/>
      <c r="E173" s="15"/>
    </row>
    <row r="174" spans="1:5">
      <c r="A174" s="15"/>
      <c r="B174" s="15"/>
      <c r="C174" s="15"/>
      <c r="D174" s="15"/>
      <c r="E174" s="15"/>
    </row>
    <row r="175" spans="1:5">
      <c r="A175" s="15"/>
      <c r="B175" s="15"/>
      <c r="C175" s="15"/>
      <c r="D175" s="15"/>
      <c r="E175" s="15"/>
    </row>
    <row r="176" spans="1:5">
      <c r="A176" s="15"/>
      <c r="B176" s="15"/>
      <c r="C176" s="15"/>
      <c r="D176" s="15"/>
      <c r="E176" s="15"/>
    </row>
    <row r="177" spans="1:5">
      <c r="A177" s="15"/>
      <c r="B177" s="15"/>
      <c r="C177" s="15"/>
      <c r="D177" s="15"/>
      <c r="E177" s="15"/>
    </row>
    <row r="178" spans="1:5">
      <c r="A178" s="15"/>
      <c r="B178" s="15"/>
      <c r="C178" s="15"/>
      <c r="D178" s="15"/>
      <c r="E178" s="15"/>
    </row>
    <row r="179" spans="1:5">
      <c r="A179" s="15"/>
      <c r="B179" s="15"/>
      <c r="C179" s="15"/>
      <c r="D179" s="15"/>
      <c r="E179" s="15"/>
    </row>
    <row r="180" spans="1:5">
      <c r="A180" s="15"/>
      <c r="B180" s="15"/>
      <c r="C180" s="15"/>
      <c r="D180" s="15"/>
      <c r="E180" s="15"/>
    </row>
    <row r="181" spans="1:5">
      <c r="A181" s="15"/>
      <c r="B181" s="15"/>
      <c r="C181" s="15"/>
      <c r="D181" s="15"/>
      <c r="E181" s="15"/>
    </row>
    <row r="182" spans="1:5">
      <c r="A182" s="15"/>
      <c r="B182" s="15"/>
      <c r="C182" s="15"/>
      <c r="D182" s="15"/>
      <c r="E182" s="15"/>
    </row>
    <row r="183" spans="1:5">
      <c r="A183" s="15"/>
      <c r="B183" s="15"/>
      <c r="C183" s="15"/>
      <c r="D183" s="15"/>
      <c r="E183" s="15"/>
    </row>
    <row r="184" spans="1:5">
      <c r="A184" s="15"/>
      <c r="B184" s="15"/>
      <c r="C184" s="15"/>
      <c r="D184" s="15"/>
      <c r="E184" s="15"/>
    </row>
    <row r="185" spans="1:5">
      <c r="A185" s="15"/>
      <c r="B185" s="15"/>
      <c r="C185" s="15"/>
      <c r="D185" s="15"/>
      <c r="E185" s="15"/>
    </row>
    <row r="186" spans="1:5">
      <c r="A186" s="15"/>
      <c r="B186" s="15"/>
      <c r="C186" s="15"/>
      <c r="D186" s="15"/>
      <c r="E186" s="15"/>
    </row>
    <row r="187" spans="1:5">
      <c r="A187" s="15"/>
      <c r="B187" s="15"/>
      <c r="C187" s="15"/>
      <c r="D187" s="15"/>
      <c r="E187" s="15"/>
    </row>
    <row r="188" spans="1:5">
      <c r="A188" s="15"/>
      <c r="B188" s="15"/>
      <c r="C188" s="15"/>
      <c r="D188" s="15"/>
      <c r="E188" s="15"/>
    </row>
    <row r="189" spans="1:5">
      <c r="A189" s="15"/>
      <c r="B189" s="15"/>
      <c r="C189" s="15"/>
      <c r="D189" s="15"/>
      <c r="E189" s="15"/>
    </row>
    <row r="190" spans="1:5">
      <c r="A190" s="15"/>
      <c r="B190" s="15"/>
      <c r="C190" s="15"/>
      <c r="D190" s="15"/>
      <c r="E190" s="15"/>
    </row>
    <row r="191" spans="1:5">
      <c r="A191" s="15"/>
      <c r="B191" s="15"/>
      <c r="C191" s="15"/>
      <c r="D191" s="15"/>
      <c r="E191" s="15"/>
    </row>
    <row r="192" spans="1:5">
      <c r="A192" s="15"/>
      <c r="B192" s="15"/>
      <c r="C192" s="15"/>
      <c r="D192" s="15"/>
      <c r="E192" s="15"/>
    </row>
    <row r="193" spans="1:5">
      <c r="A193" s="15"/>
      <c r="B193" s="15"/>
      <c r="C193" s="15"/>
      <c r="D193" s="15"/>
      <c r="E193" s="15"/>
    </row>
    <row r="194" spans="1:5">
      <c r="A194" s="15"/>
      <c r="B194" s="15"/>
      <c r="C194" s="15"/>
      <c r="D194" s="15"/>
      <c r="E194" s="15"/>
    </row>
    <row r="195" spans="1:5">
      <c r="A195" s="15"/>
      <c r="B195" s="15"/>
      <c r="C195" s="15"/>
      <c r="D195" s="15"/>
      <c r="E195" s="15"/>
    </row>
    <row r="196" spans="1:5">
      <c r="A196" s="15"/>
      <c r="B196" s="15"/>
      <c r="C196" s="15"/>
      <c r="D196" s="15"/>
      <c r="E196" s="15"/>
    </row>
    <row r="197" spans="1:5">
      <c r="A197" s="15"/>
      <c r="B197" s="15"/>
      <c r="C197" s="15"/>
      <c r="D197" s="15"/>
      <c r="E197" s="15"/>
    </row>
    <row r="198" spans="1:5">
      <c r="A198" s="15"/>
      <c r="B198" s="15"/>
      <c r="C198" s="15"/>
      <c r="D198" s="15"/>
      <c r="E198" s="15"/>
    </row>
    <row r="199" spans="1:5">
      <c r="A199" s="15"/>
      <c r="B199" s="15"/>
      <c r="C199" s="15"/>
      <c r="D199" s="15"/>
      <c r="E199" s="15"/>
    </row>
    <row r="200" spans="1:5">
      <c r="A200" s="15"/>
      <c r="B200" s="15"/>
      <c r="C200" s="15"/>
      <c r="D200" s="15"/>
      <c r="E200" s="15"/>
    </row>
    <row r="201" spans="1:5">
      <c r="A201" s="15"/>
      <c r="B201" s="15"/>
      <c r="C201" s="15"/>
      <c r="D201" s="15"/>
      <c r="E201" s="15"/>
    </row>
    <row r="202" spans="1:5">
      <c r="A202" s="15"/>
      <c r="B202" s="15"/>
      <c r="C202" s="15"/>
      <c r="D202" s="15"/>
      <c r="E202" s="15"/>
    </row>
    <row r="203" spans="1:5">
      <c r="A203" s="15"/>
      <c r="B203" s="15"/>
      <c r="C203" s="15"/>
      <c r="D203" s="15"/>
      <c r="E203" s="15"/>
    </row>
    <row r="204" spans="1:5">
      <c r="A204" s="15"/>
      <c r="B204" s="15"/>
      <c r="C204" s="15"/>
      <c r="D204" s="15"/>
      <c r="E204" s="15"/>
    </row>
    <row r="205" spans="1:5">
      <c r="A205" s="15"/>
      <c r="B205" s="15"/>
      <c r="C205" s="15"/>
      <c r="D205" s="15"/>
      <c r="E205" s="15"/>
    </row>
    <row r="206" spans="1:5">
      <c r="A206" s="15"/>
      <c r="B206" s="15"/>
      <c r="C206" s="15"/>
      <c r="D206" s="15"/>
      <c r="E206" s="15"/>
    </row>
    <row r="207" spans="1:5">
      <c r="A207" s="15"/>
      <c r="B207" s="15"/>
      <c r="C207" s="15"/>
      <c r="D207" s="15"/>
      <c r="E207" s="15"/>
    </row>
    <row r="208" spans="1:5">
      <c r="A208" s="15"/>
      <c r="B208" s="15"/>
      <c r="C208" s="15"/>
      <c r="D208" s="15"/>
      <c r="E208" s="15"/>
    </row>
    <row r="209" spans="1:5">
      <c r="A209" s="15"/>
      <c r="B209" s="15"/>
      <c r="C209" s="15"/>
      <c r="D209" s="15"/>
      <c r="E209" s="15"/>
    </row>
    <row r="210" spans="1:5">
      <c r="A210" s="15"/>
      <c r="B210" s="15"/>
      <c r="C210" s="15"/>
      <c r="D210" s="15"/>
      <c r="E210" s="15"/>
    </row>
    <row r="211" spans="1:5">
      <c r="A211" s="15"/>
      <c r="B211" s="15"/>
      <c r="C211" s="15"/>
      <c r="D211" s="15"/>
      <c r="E211" s="15"/>
    </row>
    <row r="212" spans="1:5">
      <c r="A212" s="15"/>
      <c r="B212" s="15"/>
      <c r="C212" s="15"/>
      <c r="D212" s="15"/>
      <c r="E212" s="15"/>
    </row>
    <row r="213" spans="1:5">
      <c r="A213" s="15"/>
      <c r="B213" s="15"/>
      <c r="C213" s="15"/>
      <c r="D213" s="15"/>
      <c r="E213" s="15"/>
    </row>
    <row r="214" spans="1:5">
      <c r="A214" s="15"/>
      <c r="B214" s="15"/>
      <c r="C214" s="15"/>
      <c r="D214" s="15"/>
      <c r="E214" s="15"/>
    </row>
    <row r="215" spans="1:5">
      <c r="A215" s="15"/>
      <c r="B215" s="15"/>
      <c r="C215" s="15"/>
      <c r="D215" s="15"/>
      <c r="E215" s="15"/>
    </row>
    <row r="216" spans="1:5">
      <c r="A216" s="15"/>
      <c r="B216" s="15"/>
      <c r="C216" s="15"/>
      <c r="D216" s="15"/>
      <c r="E216" s="15"/>
    </row>
    <row r="217" spans="1:5">
      <c r="A217" s="15"/>
      <c r="B217" s="15"/>
      <c r="C217" s="15"/>
      <c r="D217" s="15"/>
      <c r="E217" s="15"/>
    </row>
    <row r="218" spans="1:5">
      <c r="A218" s="15"/>
      <c r="B218" s="15"/>
      <c r="C218" s="15"/>
      <c r="D218" s="15"/>
      <c r="E218" s="15"/>
    </row>
    <row r="219" spans="1:5">
      <c r="A219" s="15"/>
      <c r="B219" s="15"/>
      <c r="C219" s="15"/>
      <c r="D219" s="15"/>
      <c r="E219" s="15"/>
    </row>
    <row r="220" spans="1:5">
      <c r="A220" s="15"/>
      <c r="B220" s="15"/>
      <c r="C220" s="15"/>
      <c r="D220" s="15"/>
      <c r="E220" s="15"/>
    </row>
    <row r="221" spans="1:5">
      <c r="A221" s="15"/>
      <c r="B221" s="15"/>
      <c r="C221" s="15"/>
      <c r="D221" s="15"/>
      <c r="E221" s="15"/>
    </row>
    <row r="222" spans="1:5">
      <c r="A222" s="15"/>
      <c r="B222" s="15"/>
      <c r="C222" s="15"/>
      <c r="D222" s="15"/>
      <c r="E222" s="15"/>
    </row>
    <row r="223" spans="1:5">
      <c r="A223" s="15"/>
      <c r="B223" s="15"/>
      <c r="C223" s="15"/>
      <c r="D223" s="15"/>
      <c r="E223" s="15"/>
    </row>
    <row r="224" spans="1:5">
      <c r="A224" s="15"/>
      <c r="B224" s="15"/>
      <c r="C224" s="15"/>
      <c r="D224" s="15"/>
      <c r="E224" s="15"/>
    </row>
    <row r="225" spans="1:5">
      <c r="A225" s="15"/>
      <c r="B225" s="15"/>
      <c r="C225" s="15"/>
      <c r="D225" s="15"/>
      <c r="E225" s="15"/>
    </row>
    <row r="226" spans="1:5">
      <c r="A226" s="15"/>
      <c r="B226" s="15"/>
      <c r="C226" s="15"/>
      <c r="D226" s="15"/>
      <c r="E226" s="15"/>
    </row>
    <row r="227" spans="1:5">
      <c r="A227" s="15"/>
      <c r="B227" s="15"/>
      <c r="C227" s="15"/>
      <c r="D227" s="15"/>
      <c r="E227" s="15"/>
    </row>
    <row r="228" spans="1:5">
      <c r="A228" s="15"/>
      <c r="B228" s="15"/>
      <c r="C228" s="15"/>
      <c r="D228" s="15"/>
      <c r="E228" s="15"/>
    </row>
    <row r="229" spans="1:5">
      <c r="A229" s="15"/>
      <c r="B229" s="15"/>
      <c r="C229" s="15"/>
      <c r="D229" s="15"/>
      <c r="E229" s="15"/>
    </row>
    <row r="230" spans="1:5">
      <c r="A230" s="15"/>
      <c r="B230" s="15"/>
      <c r="C230" s="15"/>
      <c r="D230" s="15"/>
      <c r="E230" s="15"/>
    </row>
    <row r="231" spans="1:5">
      <c r="A231" s="15"/>
      <c r="B231" s="15"/>
      <c r="C231" s="15"/>
      <c r="D231" s="15"/>
      <c r="E231" s="15"/>
    </row>
    <row r="232" spans="1:5">
      <c r="A232" s="15"/>
      <c r="B232" s="15"/>
      <c r="C232" s="15"/>
      <c r="D232" s="15"/>
      <c r="E232" s="15"/>
    </row>
    <row r="233" spans="1:5">
      <c r="A233" s="15"/>
      <c r="B233" s="15"/>
      <c r="C233" s="15"/>
      <c r="D233" s="15"/>
      <c r="E233" s="15"/>
    </row>
    <row r="234" spans="1:5">
      <c r="A234" s="15"/>
      <c r="B234" s="15"/>
      <c r="C234" s="15"/>
      <c r="D234" s="15"/>
      <c r="E234" s="15"/>
    </row>
    <row r="235" spans="1:5">
      <c r="A235" s="15"/>
      <c r="B235" s="15"/>
      <c r="C235" s="15"/>
      <c r="D235" s="15"/>
      <c r="E235" s="15"/>
    </row>
    <row r="236" spans="1:5">
      <c r="A236" s="15"/>
      <c r="B236" s="15"/>
      <c r="C236" s="15"/>
      <c r="D236" s="15"/>
      <c r="E236" s="15"/>
    </row>
    <row r="237" spans="1:5">
      <c r="A237" s="15"/>
      <c r="B237" s="15"/>
      <c r="C237" s="15"/>
      <c r="D237" s="15"/>
      <c r="E237" s="15"/>
    </row>
    <row r="238" spans="1:5">
      <c r="A238" s="15"/>
      <c r="B238" s="15"/>
      <c r="C238" s="15"/>
      <c r="D238" s="15"/>
      <c r="E238" s="15"/>
    </row>
    <row r="239" spans="1:5">
      <c r="A239" s="15"/>
      <c r="B239" s="15"/>
      <c r="C239" s="15"/>
      <c r="D239" s="15"/>
      <c r="E239" s="15"/>
    </row>
    <row r="240" spans="1:5">
      <c r="A240" s="15"/>
      <c r="B240" s="15"/>
      <c r="C240" s="15"/>
      <c r="D240" s="15"/>
      <c r="E240" s="15"/>
    </row>
    <row r="241" spans="1:5">
      <c r="A241" s="15"/>
      <c r="B241" s="15"/>
      <c r="C241" s="15"/>
      <c r="D241" s="15"/>
      <c r="E241" s="15"/>
    </row>
    <row r="242" spans="1:5">
      <c r="A242" s="15"/>
      <c r="B242" s="15"/>
      <c r="C242" s="15"/>
      <c r="D242" s="15"/>
      <c r="E242" s="15"/>
    </row>
    <row r="243" spans="1:5">
      <c r="A243" s="15"/>
      <c r="B243" s="15"/>
      <c r="C243" s="15"/>
      <c r="D243" s="15"/>
      <c r="E243" s="15"/>
    </row>
    <row r="244" spans="1:5">
      <c r="A244" s="15"/>
      <c r="B244" s="15"/>
      <c r="C244" s="15"/>
      <c r="D244" s="15"/>
      <c r="E244" s="15"/>
    </row>
    <row r="245" spans="1:5">
      <c r="A245" s="15"/>
      <c r="B245" s="15"/>
      <c r="C245" s="15"/>
      <c r="D245" s="15"/>
      <c r="E245" s="15"/>
    </row>
    <row r="246" spans="1:5">
      <c r="A246" s="15"/>
      <c r="B246" s="15"/>
      <c r="C246" s="15"/>
      <c r="D246" s="15"/>
      <c r="E246" s="15"/>
    </row>
    <row r="247" spans="1:5">
      <c r="A247" s="15"/>
      <c r="B247" s="15"/>
      <c r="C247" s="15"/>
      <c r="D247" s="15"/>
      <c r="E247" s="15"/>
    </row>
    <row r="248" spans="1:5">
      <c r="A248" s="15"/>
      <c r="B248" s="15"/>
      <c r="C248" s="15"/>
      <c r="D248" s="15"/>
      <c r="E248" s="15"/>
    </row>
    <row r="249" spans="1:5">
      <c r="A249" s="15"/>
      <c r="B249" s="15"/>
      <c r="C249" s="15"/>
      <c r="D249" s="15"/>
      <c r="E249" s="15"/>
    </row>
    <row r="250" spans="1:5">
      <c r="A250" s="15"/>
      <c r="B250" s="15"/>
      <c r="C250" s="15"/>
      <c r="D250" s="15"/>
      <c r="E250" s="15"/>
    </row>
    <row r="251" spans="1:5">
      <c r="A251" s="15"/>
      <c r="B251" s="15"/>
      <c r="C251" s="15"/>
      <c r="D251" s="15"/>
      <c r="E251" s="15"/>
    </row>
    <row r="252" spans="1:5">
      <c r="A252" s="15"/>
      <c r="B252" s="15"/>
      <c r="C252" s="15"/>
      <c r="D252" s="15"/>
      <c r="E252" s="15"/>
    </row>
    <row r="253" spans="1:5">
      <c r="A253" s="15"/>
      <c r="B253" s="15"/>
      <c r="C253" s="15"/>
      <c r="D253" s="15"/>
      <c r="E253" s="15"/>
    </row>
    <row r="254" spans="1:5">
      <c r="A254" s="15"/>
      <c r="B254" s="15"/>
      <c r="C254" s="15"/>
      <c r="D254" s="15"/>
      <c r="E254" s="15"/>
    </row>
    <row r="255" spans="1:5">
      <c r="A255" s="15"/>
      <c r="B255" s="15"/>
      <c r="C255" s="15"/>
      <c r="D255" s="15"/>
      <c r="E255" s="15"/>
    </row>
    <row r="256" spans="1:5">
      <c r="A256" s="15"/>
      <c r="B256" s="15"/>
      <c r="C256" s="15"/>
      <c r="D256" s="15"/>
      <c r="E256" s="15"/>
    </row>
    <row r="257" spans="1:5">
      <c r="A257" s="15"/>
      <c r="B257" s="15"/>
      <c r="C257" s="15"/>
      <c r="D257" s="15"/>
      <c r="E257" s="15"/>
    </row>
    <row r="258" spans="1:5">
      <c r="A258" s="15"/>
      <c r="B258" s="15"/>
      <c r="C258" s="15"/>
      <c r="D258" s="15"/>
      <c r="E258" s="15"/>
    </row>
    <row r="259" spans="1:5">
      <c r="A259" s="15"/>
      <c r="B259" s="15"/>
      <c r="C259" s="15"/>
      <c r="D259" s="15"/>
      <c r="E259" s="15"/>
    </row>
    <row r="260" spans="1:5">
      <c r="A260" s="15"/>
      <c r="B260" s="15"/>
      <c r="C260" s="15"/>
      <c r="D260" s="15"/>
      <c r="E260" s="15"/>
    </row>
    <row r="261" spans="1:5">
      <c r="A261" s="15"/>
      <c r="B261" s="15"/>
      <c r="C261" s="15"/>
      <c r="D261" s="15"/>
      <c r="E261" s="15"/>
    </row>
    <row r="262" spans="1:5">
      <c r="A262" s="15"/>
      <c r="B262" s="15"/>
      <c r="C262" s="15"/>
      <c r="D262" s="15"/>
      <c r="E262" s="15"/>
    </row>
    <row r="263" spans="1:5">
      <c r="A263" s="15"/>
      <c r="B263" s="15"/>
      <c r="C263" s="15"/>
      <c r="D263" s="15"/>
      <c r="E263" s="15"/>
    </row>
    <row r="264" spans="1:5">
      <c r="A264" s="15"/>
      <c r="B264" s="15"/>
      <c r="C264" s="15"/>
      <c r="D264" s="15"/>
      <c r="E264" s="15"/>
    </row>
    <row r="265" spans="1:5">
      <c r="A265" s="15"/>
      <c r="B265" s="15"/>
      <c r="C265" s="15"/>
      <c r="D265" s="15"/>
      <c r="E265" s="15"/>
    </row>
    <row r="266" spans="1:5">
      <c r="A266" s="15"/>
      <c r="B266" s="15"/>
      <c r="C266" s="15"/>
      <c r="D266" s="15"/>
      <c r="E266" s="15"/>
    </row>
    <row r="267" spans="1:5">
      <c r="A267" s="15"/>
      <c r="B267" s="15"/>
      <c r="C267" s="15"/>
      <c r="D267" s="15"/>
      <c r="E267" s="15"/>
    </row>
    <row r="268" spans="1:5">
      <c r="A268" s="15"/>
      <c r="B268" s="15"/>
      <c r="C268" s="15"/>
      <c r="D268" s="15"/>
      <c r="E268" s="15"/>
    </row>
    <row r="269" spans="1:5">
      <c r="A269" s="15"/>
      <c r="B269" s="15"/>
      <c r="C269" s="15"/>
      <c r="D269" s="15"/>
      <c r="E269" s="15"/>
    </row>
    <row r="270" spans="1:5">
      <c r="A270" s="15"/>
      <c r="B270" s="15"/>
      <c r="C270" s="15"/>
      <c r="D270" s="15"/>
      <c r="E270" s="15"/>
    </row>
    <row r="271" spans="1:5">
      <c r="A271" s="15"/>
      <c r="B271" s="15"/>
      <c r="C271" s="15"/>
      <c r="D271" s="15"/>
      <c r="E271" s="15"/>
    </row>
    <row r="272" spans="1:5">
      <c r="A272" s="15"/>
      <c r="B272" s="15"/>
      <c r="C272" s="15"/>
      <c r="D272" s="15"/>
      <c r="E272" s="15"/>
    </row>
    <row r="273" spans="1:5">
      <c r="A273" s="15"/>
      <c r="B273" s="15"/>
      <c r="C273" s="15"/>
      <c r="D273" s="15"/>
      <c r="E273" s="15"/>
    </row>
    <row r="274" spans="1:5">
      <c r="A274" s="15"/>
      <c r="B274" s="15"/>
      <c r="C274" s="15"/>
      <c r="D274" s="15"/>
      <c r="E274" s="15"/>
    </row>
    <row r="275" spans="1:5">
      <c r="A275" s="15"/>
      <c r="B275" s="15"/>
      <c r="C275" s="15"/>
      <c r="D275" s="15"/>
      <c r="E275" s="15"/>
    </row>
    <row r="276" spans="1:5">
      <c r="A276" s="15"/>
      <c r="B276" s="15"/>
      <c r="C276" s="15"/>
      <c r="D276" s="15"/>
      <c r="E276" s="15"/>
    </row>
    <row r="277" spans="1:5">
      <c r="A277" s="15"/>
      <c r="B277" s="15"/>
      <c r="C277" s="15"/>
      <c r="D277" s="15"/>
      <c r="E277" s="15"/>
    </row>
    <row r="278" spans="1:5">
      <c r="A278" s="15"/>
      <c r="B278" s="15"/>
      <c r="C278" s="15"/>
      <c r="D278" s="15"/>
      <c r="E278" s="15"/>
    </row>
    <row r="279" spans="1:5">
      <c r="A279" s="15"/>
      <c r="B279" s="15"/>
      <c r="C279" s="15"/>
      <c r="D279" s="15"/>
      <c r="E279" s="15"/>
    </row>
    <row r="280" spans="1:5">
      <c r="A280" s="15"/>
      <c r="B280" s="15"/>
      <c r="C280" s="15"/>
      <c r="D280" s="15"/>
      <c r="E280" s="15"/>
    </row>
    <row r="281" spans="1:5">
      <c r="A281" s="15"/>
      <c r="B281" s="15"/>
      <c r="C281" s="15"/>
      <c r="D281" s="15"/>
      <c r="E281" s="15"/>
    </row>
    <row r="282" spans="1:5">
      <c r="A282" s="15"/>
      <c r="B282" s="15"/>
      <c r="C282" s="15"/>
      <c r="D282" s="15"/>
      <c r="E282" s="15"/>
    </row>
    <row r="283" spans="1:5">
      <c r="A283" s="15"/>
      <c r="B283" s="15"/>
      <c r="C283" s="15"/>
      <c r="D283" s="15"/>
      <c r="E283" s="15"/>
    </row>
    <row r="284" spans="1:5">
      <c r="A284" s="15"/>
      <c r="B284" s="15"/>
      <c r="C284" s="15"/>
      <c r="D284" s="15"/>
      <c r="E284" s="15"/>
    </row>
    <row r="285" spans="1:5">
      <c r="A285" s="15"/>
      <c r="B285" s="15"/>
      <c r="C285" s="15"/>
      <c r="D285" s="15"/>
      <c r="E285" s="15"/>
    </row>
    <row r="286" spans="1:5">
      <c r="A286" s="15"/>
      <c r="B286" s="15"/>
      <c r="C286" s="15"/>
      <c r="D286" s="15"/>
      <c r="E286" s="15"/>
    </row>
    <row r="287" spans="1:5">
      <c r="A287" s="15"/>
      <c r="B287" s="15"/>
      <c r="C287" s="15"/>
      <c r="D287" s="15"/>
      <c r="E287" s="15"/>
    </row>
    <row r="288" spans="1:5">
      <c r="A288" s="15"/>
      <c r="B288" s="15"/>
      <c r="C288" s="15"/>
      <c r="D288" s="15"/>
      <c r="E288" s="15"/>
    </row>
    <row r="289" spans="1:5">
      <c r="A289" s="15"/>
      <c r="B289" s="15"/>
      <c r="C289" s="15"/>
      <c r="D289" s="15"/>
      <c r="E289" s="15"/>
    </row>
    <row r="290" spans="1:5">
      <c r="A290" s="15"/>
      <c r="B290" s="15"/>
      <c r="C290" s="15"/>
      <c r="D290" s="15"/>
      <c r="E290" s="15"/>
    </row>
    <row r="291" spans="1:5">
      <c r="A291" s="15"/>
      <c r="B291" s="15"/>
      <c r="C291" s="15"/>
      <c r="D291" s="15"/>
      <c r="E291" s="15"/>
    </row>
    <row r="292" spans="1:5">
      <c r="A292" s="15"/>
      <c r="B292" s="15"/>
      <c r="C292" s="15"/>
      <c r="D292" s="15"/>
      <c r="E292" s="15"/>
    </row>
    <row r="293" spans="1:5">
      <c r="A293" s="15"/>
      <c r="B293" s="15"/>
      <c r="C293" s="15"/>
      <c r="D293" s="15"/>
      <c r="E293" s="15"/>
    </row>
    <row r="294" spans="1:5">
      <c r="A294" s="15"/>
      <c r="B294" s="15"/>
      <c r="C294" s="15"/>
      <c r="D294" s="15"/>
      <c r="E294" s="15"/>
    </row>
    <row r="295" spans="1:5">
      <c r="A295" s="15"/>
      <c r="B295" s="15"/>
      <c r="C295" s="15"/>
      <c r="D295" s="15"/>
      <c r="E295" s="15"/>
    </row>
    <row r="296" spans="1:5">
      <c r="A296" s="15"/>
      <c r="B296" s="15"/>
      <c r="C296" s="15"/>
      <c r="D296" s="15"/>
      <c r="E296" s="15"/>
    </row>
    <row r="297" spans="1:5">
      <c r="A297" s="15"/>
      <c r="B297" s="15"/>
      <c r="C297" s="15"/>
      <c r="D297" s="15"/>
      <c r="E297" s="15"/>
    </row>
    <row r="298" spans="1:5">
      <c r="A298" s="15"/>
      <c r="B298" s="15"/>
      <c r="C298" s="15"/>
      <c r="D298" s="15"/>
      <c r="E298" s="15"/>
    </row>
    <row r="299" spans="1:5">
      <c r="A299" s="15"/>
      <c r="B299" s="15"/>
      <c r="C299" s="15"/>
      <c r="D299" s="15"/>
      <c r="E299" s="15"/>
    </row>
    <row r="300" spans="1:5">
      <c r="A300" s="15"/>
      <c r="B300" s="15"/>
      <c r="C300" s="15"/>
      <c r="D300" s="15"/>
      <c r="E300" s="15"/>
    </row>
    <row r="301" spans="1:5">
      <c r="A301" s="15"/>
      <c r="B301" s="15"/>
      <c r="C301" s="15"/>
      <c r="D301" s="15"/>
      <c r="E301" s="15"/>
    </row>
    <row r="302" spans="1:5">
      <c r="A302" s="15"/>
      <c r="B302" s="15"/>
      <c r="C302" s="15"/>
      <c r="D302" s="15"/>
      <c r="E302" s="15"/>
    </row>
    <row r="303" spans="1:5">
      <c r="A303" s="15"/>
      <c r="B303" s="15"/>
      <c r="C303" s="15"/>
      <c r="D303" s="15"/>
      <c r="E303" s="15"/>
    </row>
    <row r="304" spans="1:5">
      <c r="A304" s="15"/>
      <c r="B304" s="15"/>
      <c r="C304" s="15"/>
      <c r="D304" s="15"/>
      <c r="E304" s="15"/>
    </row>
    <row r="305" spans="1:5">
      <c r="A305" s="15"/>
      <c r="B305" s="15"/>
      <c r="C305" s="15"/>
      <c r="D305" s="15"/>
      <c r="E305" s="15"/>
    </row>
    <row r="306" spans="1:5">
      <c r="A306" s="15"/>
      <c r="B306" s="15"/>
      <c r="C306" s="15"/>
      <c r="D306" s="15"/>
      <c r="E306" s="15"/>
    </row>
    <row r="307" spans="1:5">
      <c r="A307" s="15"/>
      <c r="B307" s="15"/>
      <c r="C307" s="15"/>
      <c r="D307" s="15"/>
      <c r="E307" s="15"/>
    </row>
    <row r="308" spans="1:5">
      <c r="A308" s="15"/>
      <c r="B308" s="15"/>
      <c r="C308" s="15"/>
      <c r="D308" s="15"/>
      <c r="E308" s="15"/>
    </row>
    <row r="309" spans="1:5">
      <c r="A309" s="15"/>
      <c r="B309" s="15"/>
      <c r="C309" s="15"/>
      <c r="D309" s="15"/>
      <c r="E309" s="15"/>
    </row>
    <row r="310" spans="1:5">
      <c r="A310" s="15"/>
      <c r="B310" s="15"/>
      <c r="C310" s="15"/>
      <c r="D310" s="15"/>
      <c r="E310" s="15"/>
    </row>
    <row r="311" spans="1:5">
      <c r="A311" s="15"/>
      <c r="B311" s="15"/>
      <c r="C311" s="15"/>
      <c r="D311" s="15"/>
      <c r="E311" s="15"/>
    </row>
    <row r="312" spans="1:5">
      <c r="A312" s="15"/>
      <c r="B312" s="15"/>
      <c r="C312" s="15"/>
      <c r="D312" s="15"/>
      <c r="E312" s="15"/>
    </row>
    <row r="313" spans="1:5">
      <c r="A313" s="15"/>
      <c r="B313" s="15"/>
      <c r="C313" s="15"/>
      <c r="D313" s="15"/>
      <c r="E313" s="15"/>
    </row>
    <row r="314" spans="1:5">
      <c r="A314" s="15"/>
      <c r="B314" s="15"/>
      <c r="C314" s="15"/>
      <c r="D314" s="15"/>
      <c r="E314" s="15"/>
    </row>
    <row r="315" spans="1:5">
      <c r="A315" s="15"/>
      <c r="B315" s="15"/>
      <c r="C315" s="15"/>
      <c r="D315" s="15"/>
      <c r="E315" s="15"/>
    </row>
    <row r="316" spans="1:5">
      <c r="A316" s="15"/>
      <c r="B316" s="15"/>
      <c r="C316" s="15"/>
      <c r="D316" s="15"/>
      <c r="E316" s="15"/>
    </row>
    <row r="317" spans="1:5">
      <c r="A317" s="15"/>
      <c r="B317" s="15"/>
      <c r="C317" s="15"/>
      <c r="D317" s="15"/>
      <c r="E317" s="15"/>
    </row>
    <row r="318" spans="1:5">
      <c r="A318" s="15"/>
      <c r="B318" s="15"/>
      <c r="C318" s="15"/>
      <c r="D318" s="15"/>
      <c r="E318" s="15"/>
    </row>
    <row r="319" spans="1:5">
      <c r="A319" s="15"/>
      <c r="B319" s="15"/>
      <c r="C319" s="15"/>
      <c r="D319" s="15"/>
      <c r="E319" s="15"/>
    </row>
    <row r="320" spans="1:5">
      <c r="A320" s="15"/>
      <c r="B320" s="15"/>
      <c r="C320" s="15"/>
      <c r="D320" s="15"/>
      <c r="E320" s="15"/>
    </row>
    <row r="321" spans="1:5">
      <c r="A321" s="15"/>
      <c r="B321" s="15"/>
      <c r="C321" s="15"/>
      <c r="D321" s="15"/>
      <c r="E321" s="15"/>
    </row>
    <row r="322" spans="1:5">
      <c r="A322" s="15"/>
      <c r="B322" s="15"/>
      <c r="C322" s="15"/>
      <c r="D322" s="15"/>
      <c r="E322" s="15"/>
    </row>
    <row r="323" spans="1:5">
      <c r="A323" s="15"/>
      <c r="B323" s="15"/>
      <c r="C323" s="15"/>
      <c r="D323" s="15"/>
      <c r="E323" s="15"/>
    </row>
    <row r="324" spans="1:5">
      <c r="A324" s="15"/>
      <c r="B324" s="15"/>
      <c r="C324" s="15"/>
      <c r="D324" s="15"/>
      <c r="E324" s="15"/>
    </row>
    <row r="325" spans="1:5">
      <c r="A325" s="15"/>
      <c r="B325" s="15"/>
      <c r="C325" s="15"/>
      <c r="D325" s="15"/>
      <c r="E325" s="15"/>
    </row>
    <row r="326" spans="1:5">
      <c r="A326" s="15"/>
      <c r="B326" s="15"/>
      <c r="C326" s="15"/>
      <c r="D326" s="15"/>
      <c r="E326" s="15"/>
    </row>
    <row r="327" spans="1:5">
      <c r="A327" s="15"/>
      <c r="B327" s="15"/>
      <c r="C327" s="15"/>
      <c r="D327" s="15"/>
      <c r="E327" s="15"/>
    </row>
    <row r="328" spans="1:5">
      <c r="A328" s="15"/>
      <c r="B328" s="15"/>
      <c r="C328" s="15"/>
      <c r="D328" s="15"/>
      <c r="E328" s="15"/>
    </row>
    <row r="329" spans="1:5">
      <c r="A329" s="15"/>
      <c r="B329" s="15"/>
      <c r="C329" s="15"/>
      <c r="D329" s="15"/>
      <c r="E329" s="15"/>
    </row>
    <row r="330" spans="1:5">
      <c r="A330" s="15"/>
      <c r="B330" s="15"/>
      <c r="C330" s="15"/>
      <c r="D330" s="15"/>
      <c r="E330" s="15"/>
    </row>
    <row r="331" spans="1:5">
      <c r="A331" s="15"/>
      <c r="B331" s="15"/>
      <c r="C331" s="15"/>
      <c r="D331" s="15"/>
      <c r="E331" s="15"/>
    </row>
    <row r="332" spans="1:5">
      <c r="A332" s="15"/>
      <c r="B332" s="15"/>
      <c r="C332" s="15"/>
      <c r="D332" s="15"/>
      <c r="E332" s="15"/>
    </row>
    <row r="333" spans="1:5">
      <c r="A333" s="15"/>
      <c r="B333" s="15"/>
      <c r="C333" s="15"/>
      <c r="D333" s="15"/>
      <c r="E333" s="15"/>
    </row>
    <row r="334" spans="1:5">
      <c r="A334" s="15"/>
      <c r="B334" s="15"/>
      <c r="C334" s="15"/>
      <c r="D334" s="15"/>
      <c r="E334" s="15"/>
    </row>
    <row r="335" spans="1:5">
      <c r="A335" s="15"/>
      <c r="B335" s="15"/>
      <c r="C335" s="15"/>
      <c r="D335" s="15"/>
      <c r="E335" s="15"/>
    </row>
    <row r="336" spans="1:5">
      <c r="A336" s="15"/>
      <c r="B336" s="15"/>
      <c r="C336" s="15"/>
      <c r="D336" s="15"/>
      <c r="E336" s="15"/>
    </row>
    <row r="337" spans="1:5">
      <c r="A337" s="15"/>
      <c r="B337" s="15"/>
      <c r="C337" s="15"/>
      <c r="D337" s="15"/>
      <c r="E337" s="15"/>
    </row>
    <row r="338" spans="1:5">
      <c r="A338" s="15"/>
      <c r="B338" s="15"/>
      <c r="C338" s="15"/>
      <c r="D338" s="15"/>
      <c r="E338" s="15"/>
    </row>
    <row r="339" spans="1:5">
      <c r="A339" s="15"/>
      <c r="B339" s="15"/>
      <c r="C339" s="15"/>
      <c r="D339" s="15"/>
      <c r="E339" s="15"/>
    </row>
    <row r="340" spans="1:5">
      <c r="A340" s="15"/>
      <c r="B340" s="15"/>
      <c r="C340" s="15"/>
      <c r="D340" s="15"/>
      <c r="E340" s="15"/>
    </row>
    <row r="341" spans="1:5">
      <c r="A341" s="15"/>
      <c r="B341" s="15"/>
      <c r="C341" s="15"/>
      <c r="D341" s="15"/>
      <c r="E341" s="15"/>
    </row>
    <row r="342" spans="1:5">
      <c r="A342" s="15"/>
      <c r="B342" s="15"/>
      <c r="C342" s="15"/>
      <c r="D342" s="15"/>
      <c r="E342" s="15"/>
    </row>
    <row r="343" spans="1:5">
      <c r="A343" s="15"/>
      <c r="B343" s="15"/>
      <c r="C343" s="15"/>
      <c r="D343" s="15"/>
      <c r="E343" s="15"/>
    </row>
    <row r="344" spans="1:5">
      <c r="A344" s="15"/>
      <c r="B344" s="15"/>
      <c r="C344" s="15"/>
      <c r="D344" s="15"/>
      <c r="E344" s="15"/>
    </row>
    <row r="345" spans="1:5">
      <c r="A345" s="15"/>
      <c r="B345" s="15"/>
      <c r="C345" s="15"/>
      <c r="D345" s="15"/>
      <c r="E345" s="15"/>
    </row>
    <row r="346" spans="1:5">
      <c r="A346" s="15"/>
      <c r="B346" s="15"/>
      <c r="C346" s="15"/>
      <c r="D346" s="15"/>
      <c r="E346" s="15"/>
    </row>
    <row r="347" spans="1:5">
      <c r="A347" s="15"/>
      <c r="B347" s="15"/>
      <c r="C347" s="15"/>
      <c r="D347" s="15"/>
      <c r="E347" s="15"/>
    </row>
    <row r="348" spans="1:5">
      <c r="A348" s="15"/>
      <c r="B348" s="15"/>
      <c r="C348" s="15"/>
      <c r="D348" s="15"/>
      <c r="E348" s="15"/>
    </row>
    <row r="349" spans="1:5">
      <c r="A349" s="15"/>
      <c r="B349" s="15"/>
      <c r="C349" s="15"/>
      <c r="D349" s="15"/>
      <c r="E349" s="15"/>
    </row>
    <row r="350" spans="1:5">
      <c r="A350" s="15"/>
      <c r="B350" s="15"/>
      <c r="C350" s="15"/>
      <c r="D350" s="15"/>
      <c r="E350" s="15"/>
    </row>
    <row r="351" spans="1:5">
      <c r="A351" s="15"/>
      <c r="B351" s="15"/>
      <c r="C351" s="15"/>
      <c r="D351" s="15"/>
      <c r="E351" s="15"/>
    </row>
    <row r="352" spans="1:5">
      <c r="A352" s="15"/>
      <c r="B352" s="15"/>
      <c r="C352" s="15"/>
      <c r="D352" s="15"/>
      <c r="E352" s="15"/>
    </row>
    <row r="353" spans="1:5">
      <c r="A353" s="15"/>
      <c r="B353" s="15"/>
      <c r="C353" s="15"/>
      <c r="D353" s="15"/>
      <c r="E353" s="15"/>
    </row>
    <row r="354" spans="1:5">
      <c r="A354" s="15"/>
      <c r="B354" s="15"/>
      <c r="C354" s="15"/>
      <c r="D354" s="15"/>
      <c r="E354" s="15"/>
    </row>
    <row r="355" spans="1:5">
      <c r="A355" s="15"/>
      <c r="B355" s="15"/>
      <c r="C355" s="15"/>
      <c r="D355" s="15"/>
      <c r="E355" s="15"/>
    </row>
    <row r="356" spans="1:5">
      <c r="A356" s="15"/>
      <c r="B356" s="15"/>
      <c r="C356" s="15"/>
      <c r="D356" s="15"/>
      <c r="E356" s="15"/>
    </row>
    <row r="357" spans="1:5">
      <c r="A357" s="15"/>
      <c r="B357" s="15"/>
      <c r="C357" s="15"/>
      <c r="D357" s="15"/>
      <c r="E357" s="15"/>
    </row>
    <row r="358" spans="1:5">
      <c r="A358" s="15"/>
      <c r="B358" s="15"/>
      <c r="C358" s="15"/>
      <c r="D358" s="15"/>
      <c r="E358" s="15"/>
    </row>
    <row r="359" spans="1:5">
      <c r="A359" s="15"/>
      <c r="B359" s="15"/>
      <c r="C359" s="15"/>
      <c r="D359" s="15"/>
      <c r="E359" s="15"/>
    </row>
    <row r="360" spans="1:5">
      <c r="A360" s="15"/>
      <c r="B360" s="15"/>
      <c r="C360" s="15"/>
      <c r="D360" s="15"/>
      <c r="E360" s="15"/>
    </row>
    <row r="361" spans="1:5">
      <c r="A361" s="15"/>
      <c r="B361" s="15"/>
      <c r="C361" s="15"/>
      <c r="D361" s="15"/>
      <c r="E361" s="15"/>
    </row>
    <row r="362" spans="1:5">
      <c r="A362" s="15"/>
      <c r="B362" s="15"/>
      <c r="C362" s="15"/>
      <c r="D362" s="15"/>
      <c r="E362" s="15"/>
    </row>
    <row r="363" spans="1:5">
      <c r="A363" s="15"/>
      <c r="B363" s="15"/>
      <c r="C363" s="15"/>
      <c r="D363" s="15"/>
      <c r="E363" s="15"/>
    </row>
    <row r="364" spans="1:5">
      <c r="A364" s="15"/>
      <c r="B364" s="15"/>
      <c r="C364" s="15"/>
      <c r="D364" s="15"/>
      <c r="E364" s="15"/>
    </row>
    <row r="365" spans="1:5">
      <c r="A365" s="15"/>
      <c r="B365" s="15"/>
      <c r="C365" s="15"/>
      <c r="D365" s="15"/>
      <c r="E365" s="15"/>
    </row>
    <row r="366" spans="1:5">
      <c r="A366" s="15"/>
      <c r="B366" s="15"/>
      <c r="C366" s="15"/>
      <c r="D366" s="15"/>
      <c r="E366" s="15"/>
    </row>
    <row r="367" spans="1:5">
      <c r="A367" s="15"/>
      <c r="B367" s="15"/>
      <c r="C367" s="15"/>
      <c r="D367" s="15"/>
      <c r="E367" s="15"/>
    </row>
    <row r="368" spans="1:5">
      <c r="A368" s="15"/>
      <c r="B368" s="15"/>
      <c r="C368" s="15"/>
      <c r="D368" s="15"/>
      <c r="E368" s="15"/>
    </row>
    <row r="369" spans="1:5">
      <c r="A369" s="15"/>
      <c r="B369" s="15"/>
      <c r="C369" s="15"/>
      <c r="D369" s="15"/>
      <c r="E369" s="15"/>
    </row>
    <row r="370" spans="1:5">
      <c r="A370" s="15"/>
      <c r="B370" s="15"/>
      <c r="C370" s="15"/>
      <c r="D370" s="15"/>
      <c r="E370" s="15"/>
    </row>
    <row r="371" spans="1:5">
      <c r="A371" s="15"/>
      <c r="B371" s="15"/>
      <c r="C371" s="15"/>
      <c r="D371" s="15"/>
      <c r="E371" s="15"/>
    </row>
    <row r="372" spans="1:5">
      <c r="A372" s="15"/>
      <c r="B372" s="15"/>
      <c r="C372" s="15"/>
      <c r="D372" s="15"/>
      <c r="E372" s="15"/>
    </row>
    <row r="373" spans="1:5">
      <c r="A373" s="15"/>
      <c r="B373" s="15"/>
      <c r="C373" s="15"/>
      <c r="D373" s="15"/>
      <c r="E373" s="15"/>
    </row>
    <row r="374" spans="1:5">
      <c r="A374" s="15"/>
      <c r="B374" s="15"/>
      <c r="C374" s="15"/>
      <c r="D374" s="15"/>
      <c r="E374" s="15"/>
    </row>
    <row r="375" spans="1:5">
      <c r="A375" s="15"/>
      <c r="B375" s="15"/>
      <c r="C375" s="15"/>
      <c r="D375" s="15"/>
      <c r="E375" s="15"/>
    </row>
    <row r="376" spans="1:5">
      <c r="A376" s="15"/>
      <c r="B376" s="15"/>
      <c r="C376" s="15"/>
      <c r="D376" s="15"/>
      <c r="E376" s="15"/>
    </row>
    <row r="377" spans="1:5">
      <c r="A377" s="15"/>
      <c r="B377" s="15"/>
      <c r="C377" s="15"/>
      <c r="D377" s="15"/>
      <c r="E377" s="15"/>
    </row>
    <row r="378" spans="1:5">
      <c r="A378" s="15"/>
      <c r="B378" s="15"/>
      <c r="C378" s="15"/>
      <c r="D378" s="15"/>
      <c r="E378" s="15"/>
    </row>
    <row r="379" spans="1:5">
      <c r="A379" s="15"/>
      <c r="B379" s="15"/>
      <c r="C379" s="15"/>
      <c r="D379" s="15"/>
      <c r="E379" s="15"/>
    </row>
    <row r="380" spans="1:5">
      <c r="A380" s="15"/>
      <c r="B380" s="15"/>
      <c r="C380" s="15"/>
      <c r="D380" s="15"/>
      <c r="E380" s="15"/>
    </row>
    <row r="381" spans="1:5">
      <c r="A381" s="15"/>
      <c r="B381" s="15"/>
      <c r="C381" s="15"/>
      <c r="D381" s="15"/>
      <c r="E381" s="15"/>
    </row>
    <row r="382" spans="1:5">
      <c r="A382" s="15"/>
      <c r="B382" s="15"/>
      <c r="C382" s="15"/>
      <c r="D382" s="15"/>
      <c r="E382" s="15"/>
    </row>
    <row r="383" spans="1:5">
      <c r="A383" s="15"/>
      <c r="B383" s="15"/>
      <c r="C383" s="15"/>
      <c r="D383" s="15"/>
      <c r="E383" s="15"/>
    </row>
    <row r="384" spans="1:5">
      <c r="A384" s="15"/>
      <c r="B384" s="15"/>
      <c r="C384" s="15"/>
      <c r="D384" s="15"/>
      <c r="E384" s="15"/>
    </row>
    <row r="385" spans="1:5">
      <c r="A385" s="15"/>
      <c r="B385" s="15"/>
      <c r="C385" s="15"/>
      <c r="D385" s="15"/>
      <c r="E385" s="15"/>
    </row>
    <row r="386" spans="1:5">
      <c r="A386" s="15"/>
      <c r="B386" s="15"/>
      <c r="C386" s="15"/>
      <c r="D386" s="15"/>
      <c r="E386" s="15"/>
    </row>
    <row r="387" spans="1:5">
      <c r="A387" s="15"/>
      <c r="B387" s="15"/>
      <c r="C387" s="15"/>
      <c r="D387" s="15"/>
      <c r="E387" s="15"/>
    </row>
    <row r="388" spans="1:5">
      <c r="A388" s="15"/>
      <c r="B388" s="15"/>
      <c r="C388" s="15"/>
      <c r="D388" s="15"/>
      <c r="E388" s="15"/>
    </row>
    <row r="389" spans="1:5">
      <c r="A389" s="15"/>
      <c r="B389" s="15"/>
      <c r="C389" s="15"/>
      <c r="D389" s="15"/>
      <c r="E389" s="15"/>
    </row>
    <row r="390" spans="1:5">
      <c r="A390" s="15"/>
      <c r="B390" s="15"/>
      <c r="C390" s="15"/>
      <c r="D390" s="15"/>
      <c r="E390" s="15"/>
    </row>
    <row r="391" spans="1:5">
      <c r="A391" s="15"/>
      <c r="B391" s="15"/>
      <c r="C391" s="15"/>
      <c r="D391" s="15"/>
      <c r="E391" s="15"/>
    </row>
    <row r="392" spans="1:5">
      <c r="A392" s="15"/>
      <c r="B392" s="15"/>
      <c r="C392" s="15"/>
      <c r="D392" s="15"/>
      <c r="E392" s="15"/>
    </row>
    <row r="393" spans="1:5">
      <c r="A393" s="15"/>
      <c r="B393" s="15"/>
      <c r="C393" s="15"/>
      <c r="D393" s="15"/>
      <c r="E393" s="15"/>
    </row>
    <row r="394" spans="1:5">
      <c r="A394" s="15"/>
      <c r="B394" s="15"/>
      <c r="C394" s="15"/>
      <c r="D394" s="15"/>
      <c r="E394" s="15"/>
    </row>
    <row r="395" spans="1:5">
      <c r="A395" s="15"/>
      <c r="B395" s="15"/>
      <c r="C395" s="15"/>
      <c r="D395" s="15"/>
      <c r="E395" s="15"/>
    </row>
    <row r="396" spans="1:5">
      <c r="A396" s="15"/>
      <c r="B396" s="15"/>
      <c r="C396" s="15"/>
      <c r="D396" s="15"/>
      <c r="E396" s="15"/>
    </row>
    <row r="397" spans="1:5">
      <c r="A397" s="15"/>
      <c r="B397" s="15"/>
      <c r="C397" s="15"/>
      <c r="D397" s="15"/>
      <c r="E397" s="15"/>
    </row>
    <row r="398" spans="1:5">
      <c r="A398" s="15"/>
      <c r="B398" s="15"/>
      <c r="C398" s="15"/>
      <c r="D398" s="15"/>
      <c r="E398" s="15"/>
    </row>
    <row r="399" spans="1:5">
      <c r="A399" s="15"/>
      <c r="B399" s="15"/>
      <c r="C399" s="15"/>
      <c r="D399" s="15"/>
      <c r="E399" s="15"/>
    </row>
    <row r="400" spans="1:5">
      <c r="A400" s="15"/>
      <c r="B400" s="15"/>
      <c r="C400" s="15"/>
      <c r="D400" s="15"/>
      <c r="E400" s="15"/>
    </row>
    <row r="401" spans="1:5">
      <c r="A401" s="15"/>
      <c r="B401" s="15"/>
      <c r="C401" s="15"/>
      <c r="D401" s="15"/>
      <c r="E401" s="15"/>
    </row>
    <row r="402" spans="1:5">
      <c r="A402" s="15"/>
      <c r="B402" s="15"/>
      <c r="C402" s="15"/>
      <c r="D402" s="15"/>
      <c r="E402" s="15"/>
    </row>
    <row r="403" spans="1:5">
      <c r="A403" s="15"/>
      <c r="B403" s="15"/>
      <c r="C403" s="15"/>
      <c r="D403" s="15"/>
      <c r="E403" s="15"/>
    </row>
    <row r="404" spans="1:5">
      <c r="A404" s="15"/>
      <c r="B404" s="15"/>
      <c r="C404" s="15"/>
      <c r="D404" s="15"/>
      <c r="E404" s="15"/>
    </row>
    <row r="405" spans="1:5">
      <c r="A405" s="15"/>
      <c r="B405" s="15"/>
      <c r="C405" s="15"/>
      <c r="D405" s="15"/>
      <c r="E405" s="15"/>
    </row>
    <row r="406" spans="1:5">
      <c r="A406" s="15"/>
      <c r="B406" s="15"/>
      <c r="C406" s="15"/>
      <c r="D406" s="15"/>
      <c r="E406" s="15"/>
    </row>
    <row r="407" spans="1:5">
      <c r="A407" s="15"/>
      <c r="B407" s="15"/>
      <c r="C407" s="15"/>
      <c r="D407" s="15"/>
      <c r="E407" s="15"/>
    </row>
    <row r="408" spans="1:5">
      <c r="A408" s="15"/>
      <c r="B408" s="15"/>
      <c r="C408" s="15"/>
      <c r="D408" s="15"/>
      <c r="E408" s="15"/>
    </row>
    <row r="409" spans="1:5">
      <c r="A409" s="15"/>
      <c r="B409" s="15"/>
      <c r="C409" s="15"/>
      <c r="D409" s="15"/>
      <c r="E409" s="15"/>
    </row>
    <row r="410" spans="1:5">
      <c r="A410" s="15"/>
      <c r="B410" s="15"/>
      <c r="C410" s="15"/>
      <c r="D410" s="15"/>
      <c r="E410" s="15"/>
    </row>
  </sheetData>
  <hyperlinks>
    <hyperlink ref="E50" r:id="rId1"/>
    <hyperlink ref="E135" r:id="rId2"/>
    <hyperlink ref="E6" r:id="rId3"/>
    <hyperlink ref="E9" r:id="rId4"/>
    <hyperlink ref="E12" r:id="rId5"/>
    <hyperlink ref="E31" r:id="rId6"/>
    <hyperlink ref="E46" r:id="rId7"/>
    <hyperlink ref="E51" r:id="rId8"/>
    <hyperlink ref="E55" r:id="rId9"/>
    <hyperlink ref="E56" r:id="rId10"/>
    <hyperlink ref="E72" r:id="rId11"/>
    <hyperlink ref="E73" r:id="rId12"/>
    <hyperlink ref="E77" r:id="rId13"/>
    <hyperlink ref="E83" r:id="rId14"/>
    <hyperlink ref="E121" r:id="rId15"/>
    <hyperlink ref="E126" r:id="rId16"/>
    <hyperlink ref="E132" r:id="rId17"/>
    <hyperlink ref="E134" r:id="rId18"/>
    <hyperlink ref="E140" r:id="rId19"/>
    <hyperlink ref="E156" r:id="rId20"/>
    <hyperlink ref="E161" r:id="rId21"/>
    <hyperlink ref="E162" r:id="rId22"/>
    <hyperlink ref="E94" r:id="rId23"/>
    <hyperlink ref="E95" r:id="rId2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161</vt:i4>
      </vt:variant>
    </vt:vector>
  </HeadingPairs>
  <TitlesOfParts>
    <vt:vector size="169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mlr94549</cp:lastModifiedBy>
  <cp:lastPrinted>2026-04-18T14:31:05Z</cp:lastPrinted>
  <dcterms:created xsi:type="dcterms:W3CDTF">2024-01-08T00:50:15Z</dcterms:created>
  <dcterms:modified xsi:type="dcterms:W3CDTF">2026-04-19T00:09:32Z</dcterms:modified>
</cp:coreProperties>
</file>