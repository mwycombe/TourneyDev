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YB PrelimReg\"/>
    </mc:Choice>
  </mc:AlternateContent>
  <xr:revisionPtr revIDLastSave="0" documentId="13_ncr:1_{65D01DB7-0B8D-41AA-9683-21E679C807D6}" xr6:coauthVersionLast="47" xr6:coauthVersionMax="47" xr10:uidLastSave="{00000000-0000-0000-0000-000000000000}"/>
  <bookViews>
    <workbookView minimized="1" xWindow="360" yWindow="435" windowWidth="27180" windowHeight="1489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O89" i="1" s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1" i="1"/>
  <c r="O82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<sst xmlns="http://schemas.openxmlformats.org/spreadsheetml/2006/main" count="1024" uniqueCount="773">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</sst>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Fill="1" applyBorder="1" applyAlignment="1" applyProtection="1"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Border="1" applyProtection="1"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11" fillId="0" borderId="1" xfId="1" applyBorder="1" applyAlignment="1" applyProtection="1"/>
    <xf numFmtId="0" fontId="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19" t="s">
        <v>574</v>
      </c>
      <c r="D1" s="120"/>
      <c r="E1" s="121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4" t="s">
        <v>648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45" t="s">
        <v>557</v>
      </c>
      <c r="C5" s="124" t="s">
        <v>649</v>
      </c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45" t="s">
        <v>558</v>
      </c>
      <c r="C7" s="124" t="s">
        <v>650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2" t="s">
        <v>651</v>
      </c>
      <c r="D11" s="123"/>
      <c r="E11" s="122" t="s">
        <v>652</v>
      </c>
      <c r="F11" s="123"/>
      <c r="G11" s="122" t="s">
        <v>653</v>
      </c>
      <c r="H11" s="123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2" t="s">
        <v>654</v>
      </c>
      <c r="D13" s="123"/>
      <c r="E13" s="122" t="s">
        <v>655</v>
      </c>
      <c r="F13" s="123"/>
      <c r="G13" s="122" t="s">
        <v>656</v>
      </c>
      <c r="H13" s="123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2" t="s">
        <v>365</v>
      </c>
      <c r="D15" s="123"/>
      <c r="E15" s="122" t="s">
        <v>657</v>
      </c>
      <c r="F15" s="123"/>
      <c r="G15" s="122" t="s">
        <v>517</v>
      </c>
      <c r="H15" s="123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28" t="s">
        <v>574</v>
      </c>
      <c r="D2" s="129"/>
      <c r="E2" s="129"/>
      <c r="F2" s="129"/>
      <c r="G2" s="130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7" t="str">
        <f>Tourney!$C$3</f>
        <v>Napa Wine Country Open</v>
      </c>
      <c r="C4" s="127"/>
      <c r="D4" s="127"/>
      <c r="E4" s="127"/>
      <c r="F4" s="127"/>
    </row>
    <row r="5" spans="1:7" x14ac:dyDescent="0.25">
      <c r="A5" s="28" t="s">
        <v>576</v>
      </c>
      <c r="B5" s="132" t="str">
        <f>Tourney!$C$5</f>
        <v>The Moose Lodge</v>
      </c>
      <c r="C5" s="132"/>
      <c r="D5" s="132"/>
      <c r="E5" s="132"/>
      <c r="F5" s="132"/>
    </row>
    <row r="6" spans="1:7" x14ac:dyDescent="0.25">
      <c r="A6" s="28" t="s">
        <v>578</v>
      </c>
      <c r="B6" s="132" t="str">
        <f>Tourney!$C$7</f>
        <v>Napa, Ca, 94558</v>
      </c>
      <c r="C6" s="132"/>
      <c r="D6" s="132"/>
      <c r="E6" s="132"/>
      <c r="F6" s="132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1" t="s">
        <v>575</v>
      </c>
      <c r="D15" s="131"/>
      <c r="E15" s="131"/>
      <c r="F15" s="131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200" activePane="bottomRight" state="frozen"/>
      <selection pane="topRight" activeCell="B1" sqref="B1"/>
      <selection pane="bottomLeft" activeCell="A2" sqref="A2"/>
      <selection pane="bottomRight" activeCell="B12" sqref="B12:U210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3" t="str">
        <f>Tourney!$C$3</f>
        <v>Napa Wine Country Open</v>
      </c>
      <c r="L2" s="133"/>
      <c r="M2" s="133"/>
      <c r="N2" s="133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3" t="str">
        <f>Tourney!$C$5</f>
        <v>The Moose Lodge</v>
      </c>
      <c r="L3" s="133"/>
      <c r="M3" s="133"/>
      <c r="N3" s="133"/>
    </row>
    <row r="4" spans="1:25" ht="16.5" customHeight="1" x14ac:dyDescent="0.25">
      <c r="A4" s="10"/>
      <c r="H4" s="12" t="s">
        <v>567</v>
      </c>
      <c r="I4" s="12"/>
      <c r="K4" s="133" t="str">
        <f>Tourney!$C$7</f>
        <v>Napa, Ca, 94558</v>
      </c>
      <c r="L4" s="133"/>
      <c r="M4" s="133"/>
      <c r="N4" s="133"/>
    </row>
    <row r="5" spans="1:25" ht="16.5" customHeight="1" x14ac:dyDescent="0.25">
      <c r="A5" s="10"/>
      <c r="H5" s="12" t="s">
        <v>559</v>
      </c>
      <c r="I5" s="12"/>
      <c r="K5" s="134">
        <f>Tourney!$C$9</f>
        <v>46130</v>
      </c>
      <c r="L5" s="134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6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7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>T16*N16</f>
        <v>0</v>
      </c>
      <c r="P16" s="9" t="s">
        <v>721</v>
      </c>
      <c r="Q16" s="9">
        <v>1723</v>
      </c>
      <c r="R16" s="89">
        <f>IF(OR(P16="c",P16="C"),+T16,"")</f>
        <v>160</v>
      </c>
      <c r="S16" s="89" t="str">
        <f>IF(OR(P16="$",N16=1),+T16,"")</f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>T17*N17</f>
        <v>0</v>
      </c>
      <c r="P17" s="9" t="s">
        <v>721</v>
      </c>
      <c r="Q17" s="9">
        <v>1587</v>
      </c>
      <c r="R17" s="89">
        <f>IF(OR(P17="c",P17="C"),+T17,"")</f>
        <v>160</v>
      </c>
      <c r="S17" s="89" t="str">
        <f>IF(OR(P17="$",N17=1),+T17,"")</f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>T18*N18</f>
        <v>0</v>
      </c>
      <c r="P18" s="9" t="s">
        <v>721</v>
      </c>
      <c r="Q18" s="9">
        <v>1826</v>
      </c>
      <c r="R18" s="89">
        <f>IF(OR(P18="c",P18="C"),+T18,"")</f>
        <v>160</v>
      </c>
      <c r="S18" s="89" t="str">
        <f>IF(OR(P18="$",N18=1),+T18,"")</f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>T19*N19</f>
        <v>0</v>
      </c>
      <c r="P19" s="9" t="s">
        <v>724</v>
      </c>
      <c r="Q19" s="9" t="s">
        <v>684</v>
      </c>
      <c r="R19" s="89" t="str">
        <f>IF(OR(P19="c",P19="C"),+T19,"")</f>
        <v/>
      </c>
      <c r="S19" s="89">
        <f>IF(OR(P19="$",N19=1),+T19,"")</f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40" t="s">
        <v>746</v>
      </c>
      <c r="H20" s="8">
        <v>1</v>
      </c>
      <c r="I20" s="9"/>
      <c r="J20" s="9"/>
      <c r="K20" s="9"/>
      <c r="L20" s="9"/>
      <c r="M20" s="9"/>
      <c r="N20" s="9"/>
      <c r="O20" s="88">
        <f>T20*N20</f>
        <v>0</v>
      </c>
      <c r="P20" s="9" t="s">
        <v>724</v>
      </c>
      <c r="Q20" s="9" t="s">
        <v>704</v>
      </c>
      <c r="R20" s="89" t="str">
        <f>IF(OR(P20="c",P20="C"),+T20,"")</f>
        <v/>
      </c>
      <c r="S20" s="89">
        <f>IF(OR(P20="$",N20=1),+T20,"")</f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40" t="s">
        <v>766</v>
      </c>
      <c r="H21" s="8">
        <v>1</v>
      </c>
      <c r="I21" s="9"/>
      <c r="J21" s="9"/>
      <c r="K21" s="9"/>
      <c r="L21" s="9"/>
      <c r="M21" s="9"/>
      <c r="N21" s="9"/>
      <c r="O21" s="88">
        <f>T21*N21</f>
        <v>0</v>
      </c>
      <c r="P21" s="9" t="s">
        <v>724</v>
      </c>
      <c r="Q21" s="9" t="s">
        <v>684</v>
      </c>
      <c r="R21" s="89" t="str">
        <f>IF(OR(P21="c",P21="C"),+T21,"")</f>
        <v/>
      </c>
      <c r="S21" s="89">
        <f>IF(OR(P21="$",N21=1),+T21,"")</f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>T22*N22</f>
        <v>0</v>
      </c>
      <c r="P22" s="9" t="s">
        <v>721</v>
      </c>
      <c r="Q22" s="9">
        <v>3536</v>
      </c>
      <c r="R22" s="89">
        <f>IF(OR(P22="c",P22="C"),+T22,"")</f>
        <v>160</v>
      </c>
      <c r="S22" s="89" t="str">
        <f>IF(OR(P22="$",N22=1),+T22,"")</f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>T23*N23</f>
        <v>0</v>
      </c>
      <c r="P23" s="9" t="s">
        <v>721</v>
      </c>
      <c r="Q23" s="9">
        <v>206</v>
      </c>
      <c r="R23" s="89">
        <f>IF(OR(P23="c",P23="C"),+T23,"")</f>
        <v>80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 t="s">
        <v>721</v>
      </c>
      <c r="Q24" s="9">
        <v>1094</v>
      </c>
      <c r="R24" s="89">
        <f>IF(OR(P24="c",P24="C"),+T24,"")</f>
        <v>70</v>
      </c>
      <c r="S24" s="89" t="str">
        <f>IF(OR(P24="$",N24=1),+T24,"")</f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>T25*N25</f>
        <v>0</v>
      </c>
      <c r="P25" s="9" t="s">
        <v>724</v>
      </c>
      <c r="Q25" s="9" t="s">
        <v>553</v>
      </c>
      <c r="R25" s="89" t="str">
        <f>IF(OR(P25="c",P25="C"),+T25,"")</f>
        <v/>
      </c>
      <c r="S25" s="89">
        <f>IF(OR(P25="$",N25=1),+T25,"")</f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7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>T26*N26</f>
        <v>0</v>
      </c>
      <c r="P26" s="9" t="s">
        <v>721</v>
      </c>
      <c r="Q26" s="9">
        <v>1360</v>
      </c>
      <c r="R26" s="89">
        <f>IF(OR(P26="c",P26="C"),+T26,"")</f>
        <v>110</v>
      </c>
      <c r="S26" s="89" t="str">
        <f>IF(OR(P26="$",N26=1),+T26,"")</f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>T27*N27</f>
        <v>100</v>
      </c>
      <c r="P27" s="9" t="s">
        <v>724</v>
      </c>
      <c r="Q27" s="9"/>
      <c r="R27" s="89" t="str">
        <f>IF(OR(P27="c",P27="C"),+T27,"")</f>
        <v/>
      </c>
      <c r="S27" s="89">
        <f>IF(OR(P27="$",N27=1),+T27,"")</f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>T28*N28</f>
        <v>160</v>
      </c>
      <c r="P28" s="9"/>
      <c r="Q28" s="9"/>
      <c r="R28" s="89" t="str">
        <f>IF(OR(P28="c",P28="C"),+T28,"")</f>
        <v/>
      </c>
      <c r="S28" s="89">
        <f>IF(OR(P28="$",N28=1),+T28,"")</f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>T29*N29</f>
        <v>0</v>
      </c>
      <c r="P29" s="9" t="s">
        <v>724</v>
      </c>
      <c r="Q29" s="9"/>
      <c r="R29" s="89" t="str">
        <f>IF(OR(P29="c",P29="C"),+T29,"")</f>
        <v/>
      </c>
      <c r="S29" s="89">
        <f>IF(OR(P29="$",N29=1),+T29,"")</f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>T30*N30</f>
        <v>0</v>
      </c>
      <c r="P30" s="9" t="s">
        <v>724</v>
      </c>
      <c r="Q30" s="9" t="s">
        <v>684</v>
      </c>
      <c r="R30" s="89" t="str">
        <f>IF(OR(P30="c",P30="C"),+T30,"")</f>
        <v/>
      </c>
      <c r="S30" s="89">
        <f>IF(OR(P30="$",N30=1),+T30,"")</f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>T31*N31</f>
        <v>160</v>
      </c>
      <c r="P31" s="9"/>
      <c r="Q31" s="9"/>
      <c r="R31" s="89" t="str">
        <f>IF(OR(P31="c",P31="C"),+T31,"")</f>
        <v/>
      </c>
      <c r="S31" s="89">
        <f>IF(OR(P31="$",N31=1),+T31,"")</f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>T32*N32</f>
        <v>0</v>
      </c>
      <c r="P32" s="9" t="s">
        <v>724</v>
      </c>
      <c r="Q32" s="9" t="s">
        <v>704</v>
      </c>
      <c r="R32" s="89" t="str">
        <f>IF(OR(P32="c",P32="C"),+T32,"")</f>
        <v/>
      </c>
      <c r="S32" s="89">
        <f>IF(OR(P32="$",N32=1),+T32,"")</f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41" t="s">
        <v>148</v>
      </c>
      <c r="H33" s="8">
        <v>1</v>
      </c>
      <c r="I33" s="9"/>
      <c r="J33" s="9"/>
      <c r="K33" s="9"/>
      <c r="L33" s="9"/>
      <c r="M33" s="9"/>
      <c r="N33" s="9"/>
      <c r="O33" s="88">
        <f>T33*N33</f>
        <v>0</v>
      </c>
      <c r="P33" s="9" t="s">
        <v>721</v>
      </c>
      <c r="Q33" s="9">
        <v>2575</v>
      </c>
      <c r="R33" s="89">
        <f>IF(OR(P33="c",P33="C"),+T33,"")</f>
        <v>80</v>
      </c>
      <c r="S33" s="89" t="str">
        <f>IF(OR(P33="$",N33=1),+T33,"")</f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>T34*N34</f>
        <v>0</v>
      </c>
      <c r="P34" s="9" t="s">
        <v>721</v>
      </c>
      <c r="Q34" s="9">
        <v>7333</v>
      </c>
      <c r="R34" s="89">
        <f>IF(OR(P34="c",P34="C"),+T34,"")</f>
        <v>110</v>
      </c>
      <c r="S34" s="89" t="str">
        <f>IF(OR(P34="$",N34=1),+T34,"")</f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>T35*N35</f>
        <v>0</v>
      </c>
      <c r="P35" s="9" t="s">
        <v>721</v>
      </c>
      <c r="Q35" s="9">
        <v>648</v>
      </c>
      <c r="R35" s="89">
        <f>IF(OR(P35="c",P35="C"),+T35,"")</f>
        <v>80</v>
      </c>
      <c r="S35" s="89" t="str">
        <f>IF(OR(P35="$",N35=1),+T35,"")</f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>T36*N36</f>
        <v>160</v>
      </c>
      <c r="P36" s="9"/>
      <c r="Q36" s="9"/>
      <c r="R36" s="89" t="str">
        <f>IF(OR(P36="c",P36="C"),+T36,"")</f>
        <v/>
      </c>
      <c r="S36" s="89">
        <f>IF(OR(P36="$",N36=1),+T36,"")</f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>T37*N37</f>
        <v>0</v>
      </c>
      <c r="P37" s="9" t="s">
        <v>724</v>
      </c>
      <c r="Q37" s="9"/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>T38*N38</f>
        <v>70</v>
      </c>
      <c r="P38" s="9"/>
      <c r="Q38" s="9"/>
      <c r="R38" s="89" t="str">
        <f>IF(OR(P38="c",P38="C"),+T38,"")</f>
        <v/>
      </c>
      <c r="S38" s="89">
        <f>IF(OR(P38="$",N38=1),+T38,"")</f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41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>T39*N39</f>
        <v>80</v>
      </c>
      <c r="P39" s="9"/>
      <c r="Q39" s="9"/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>T40*N40</f>
        <v>100</v>
      </c>
      <c r="P40" s="9"/>
      <c r="Q40" s="9"/>
      <c r="R40" s="89" t="str">
        <f>IF(OR(P40="c",P40="C"),+T40,"")</f>
        <v/>
      </c>
      <c r="S40" s="89">
        <f>IF(OR(P40="$",N40=1),+T40,"")</f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>T41*N41</f>
        <v>0</v>
      </c>
      <c r="P41" s="9" t="s">
        <v>721</v>
      </c>
      <c r="Q41" s="9">
        <v>1800</v>
      </c>
      <c r="R41" s="89">
        <f>IF(OR(P41="c",P41="C"),+T41,"")</f>
        <v>70</v>
      </c>
      <c r="S41" s="89" t="str">
        <f>IF(OR(P41="$",N41=1),+T41,"")</f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>T42*N42</f>
        <v>0</v>
      </c>
      <c r="P42" s="9" t="s">
        <v>724</v>
      </c>
      <c r="Q42" s="9" t="s">
        <v>741</v>
      </c>
      <c r="R42" s="89" t="str">
        <f>IF(OR(P42="c",P42="C"),+T42,"")</f>
        <v/>
      </c>
      <c r="S42" s="89">
        <f>IF(OR(P42="$",N42=1),+T42,"")</f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>T43*N43</f>
        <v>0</v>
      </c>
      <c r="P43" s="9" t="s">
        <v>721</v>
      </c>
      <c r="Q43" s="9">
        <v>1587</v>
      </c>
      <c r="R43" s="89">
        <f>IF(OR(P43="c",P43="C"),+T43,"")</f>
        <v>160</v>
      </c>
      <c r="S43" s="89" t="str">
        <f>IF(OR(P43="$",N43=1),+T43,"")</f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>T44*N44</f>
        <v>0</v>
      </c>
      <c r="P44" s="9" t="s">
        <v>724</v>
      </c>
      <c r="Q44" s="9" t="s">
        <v>684</v>
      </c>
      <c r="R44" s="89" t="str">
        <f>IF(OR(P44="c",P44="C"),+T44,"")</f>
        <v/>
      </c>
      <c r="S44" s="89">
        <f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>T45*N45</f>
        <v>0</v>
      </c>
      <c r="P45" s="9" t="s">
        <v>721</v>
      </c>
      <c r="Q45" s="9">
        <v>2553</v>
      </c>
      <c r="R45" s="89">
        <f>IF(OR(P45="c",P45="C"),+T45,"")</f>
        <v>160</v>
      </c>
      <c r="S45" s="89" t="str">
        <f>IF(OR(P45="$",N45=1),+T45,"")</f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133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>T47*N47</f>
        <v>110</v>
      </c>
      <c r="P47" s="9"/>
      <c r="Q47" s="9"/>
      <c r="R47" s="89" t="str">
        <f>IF(OR(P47="c",P47="C"),+T47,"")</f>
        <v/>
      </c>
      <c r="S47" s="89">
        <f>IF(OR(P47="$",N47=1),+T47,"")</f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>T48*N48</f>
        <v>100</v>
      </c>
      <c r="P48" s="9"/>
      <c r="Q48" s="9"/>
      <c r="R48" s="89" t="str">
        <f>IF(OR(P48="c",P48="C"),+T48,"")</f>
        <v/>
      </c>
      <c r="S48" s="89">
        <f>IF(OR(P48="$",N48=1),+T48,"")</f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>T49*N49</f>
        <v>0</v>
      </c>
      <c r="P49" s="9" t="s">
        <v>721</v>
      </c>
      <c r="Q49" s="9">
        <v>5361</v>
      </c>
      <c r="R49" s="89">
        <f>IF(OR(P49="c",P49="C"),+T49,"")</f>
        <v>110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>T50*N50</f>
        <v>0</v>
      </c>
      <c r="P50" s="9" t="s">
        <v>721</v>
      </c>
      <c r="Q50" s="9">
        <v>5007</v>
      </c>
      <c r="R50" s="89">
        <f>IF(OR(P50="c",P50="C"),+T50,"")</f>
        <v>70</v>
      </c>
      <c r="S50" s="89" t="str">
        <f>IF(OR(P50="$",N50=1),+T50,"")</f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>T51*N51</f>
        <v>0</v>
      </c>
      <c r="P51" s="9" t="s">
        <v>721</v>
      </c>
      <c r="Q51" s="9">
        <v>5008</v>
      </c>
      <c r="R51" s="89">
        <f>IF(OR(P51="c",P51="C"),+T51,"")</f>
        <v>160</v>
      </c>
      <c r="S51" s="89" t="str">
        <f>IF(OR(P51="$",N51=1),+T51,"")</f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>T52*N52</f>
        <v>0</v>
      </c>
      <c r="P52" s="9" t="s">
        <v>721</v>
      </c>
      <c r="Q52" s="9">
        <v>375</v>
      </c>
      <c r="R52" s="89">
        <f>IF(OR(P52="c",P52="C"),+T52,"")</f>
        <v>80</v>
      </c>
      <c r="S52" s="89" t="str">
        <f>IF(OR(P52="$",N52=1),+T52,"")</f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>T53*N53</f>
        <v>0</v>
      </c>
      <c r="P53" s="9" t="s">
        <v>721</v>
      </c>
      <c r="Q53" s="9">
        <v>1399</v>
      </c>
      <c r="R53" s="89">
        <f>IF(OR(P53="c",P53="C"),+T53,"")</f>
        <v>100</v>
      </c>
      <c r="S53" s="89" t="str">
        <f>IF(OR(P53="$",N53=1),+T53,"")</f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>T54*N54</f>
        <v>0</v>
      </c>
      <c r="P54" s="9" t="s">
        <v>721</v>
      </c>
      <c r="Q54" s="9">
        <v>1399</v>
      </c>
      <c r="R54" s="89">
        <f>IF(OR(P54="c",P54="C"),+T54,"")</f>
        <v>160</v>
      </c>
      <c r="S54" s="89" t="str">
        <f>IF(OR(P54="$",N54=1),+T54,"")</f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38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>T55*N55</f>
        <v>0</v>
      </c>
      <c r="P55" s="9" t="s">
        <v>721</v>
      </c>
      <c r="Q55" s="9">
        <v>616</v>
      </c>
      <c r="R55" s="89">
        <f>IF(OR(P55="c",P55="C"),+T55,"")</f>
        <v>160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>T56*N56</f>
        <v>0</v>
      </c>
      <c r="P56" s="9" t="s">
        <v>721</v>
      </c>
      <c r="Q56" s="9">
        <v>1886</v>
      </c>
      <c r="R56" s="89">
        <f>IF(OR(P56="c",P56="C"),+T56,"")</f>
        <v>160</v>
      </c>
      <c r="S56" s="89" t="str">
        <f>IF(OR(P56="$",N56=1),+T56,"")</f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>T57*N57</f>
        <v>0</v>
      </c>
      <c r="P57" s="9" t="s">
        <v>721</v>
      </c>
      <c r="Q57" s="9">
        <v>1886</v>
      </c>
      <c r="R57" s="89">
        <f>IF(OR(P57="c",P57="C"),+T57,"")</f>
        <v>160</v>
      </c>
      <c r="S57" s="89" t="str">
        <f>IF(OR(P57="$",N57=1),+T57,"")</f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>T58*N58</f>
        <v>110</v>
      </c>
      <c r="P58" s="9" t="s">
        <v>724</v>
      </c>
      <c r="Q58" s="9"/>
      <c r="R58" s="89" t="str">
        <f>IF(OR(P58="c",P58="C"),+T58,"")</f>
        <v/>
      </c>
      <c r="S58" s="89">
        <f>IF(OR(P58="$",N58=1),+T58,"")</f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>T59*N59</f>
        <v>0</v>
      </c>
      <c r="P59" s="9" t="s">
        <v>724</v>
      </c>
      <c r="Q59" s="9"/>
      <c r="R59" s="89" t="str">
        <f>IF(OR(P59="c",P59="C"),+T59,"")</f>
        <v/>
      </c>
      <c r="S59" s="89">
        <f>IF(OR(P59="$",N59=1),+T59,"")</f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 t="s">
        <v>724</v>
      </c>
      <c r="Q60" s="9"/>
      <c r="R60" s="89" t="str">
        <f>IF(OR(P60="c",P60="C"),+T60,"")</f>
        <v/>
      </c>
      <c r="S60" s="89">
        <f>IF(OR(P60="$",N60=1),+T60,"")</f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>T61*N61</f>
        <v>0</v>
      </c>
      <c r="P61" s="9" t="s">
        <v>724</v>
      </c>
      <c r="Q61" s="9"/>
      <c r="R61" s="89" t="str">
        <f>IF(OR(P61="c",P61="C"),+T61,"")</f>
        <v/>
      </c>
      <c r="S61" s="89">
        <f>IF(OR(P61="$",N61=1),+T61,"")</f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39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>T62*N62</f>
        <v>0</v>
      </c>
      <c r="P62" s="9" t="s">
        <v>721</v>
      </c>
      <c r="Q62" s="9">
        <v>1149</v>
      </c>
      <c r="R62" s="89">
        <f>IF(OR(P62="c",P62="C"),+T62,"")</f>
        <v>110</v>
      </c>
      <c r="S62" s="89" t="str">
        <f>IF(OR(P62="$",N62=1),+T62,"")</f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>T63*N63</f>
        <v>0</v>
      </c>
      <c r="P63" s="9" t="s">
        <v>721</v>
      </c>
      <c r="Q63" s="9">
        <v>1149</v>
      </c>
      <c r="R63" s="89">
        <f>IF(OR(P63="c",P63="C"),+T63,"")</f>
        <v>80</v>
      </c>
      <c r="S63" s="89" t="str">
        <f>IF(OR(P63="$",N63=1),+T63,"")</f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>T64*N64</f>
        <v>0</v>
      </c>
      <c r="P64" s="9" t="s">
        <v>721</v>
      </c>
      <c r="Q64" s="9">
        <v>2487</v>
      </c>
      <c r="R64" s="89">
        <f>IF(OR(P64="c",P64="C"),+T64,"")</f>
        <v>80</v>
      </c>
      <c r="S64" s="89" t="str">
        <f>IF(OR(P64="$",N64=1),+T64,"")</f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3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>T65*N65</f>
        <v>0</v>
      </c>
      <c r="P65" s="9" t="s">
        <v>721</v>
      </c>
      <c r="Q65" s="9">
        <v>8803</v>
      </c>
      <c r="R65" s="89">
        <f>IF(OR(P65="c",P65="C"),+T65,"")</f>
        <v>70</v>
      </c>
      <c r="S65" s="89" t="str">
        <f>IF(OR(P65="$",N65=1),+T65,"")</f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38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>T66*N66</f>
        <v>0</v>
      </c>
      <c r="P66" s="9" t="s">
        <v>721</v>
      </c>
      <c r="Q66" s="9">
        <v>7357</v>
      </c>
      <c r="R66" s="89">
        <f>IF(OR(P66="c",P66="C"),+T66,"")</f>
        <v>160</v>
      </c>
      <c r="S66" s="89" t="str">
        <f>IF(OR(P66="$",N66=1),+T66,"")</f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>T67*N67</f>
        <v>0</v>
      </c>
      <c r="P67" s="9" t="s">
        <v>721</v>
      </c>
      <c r="Q67" s="9">
        <v>4040</v>
      </c>
      <c r="R67" s="89">
        <f>IF(OR(P67="c",P67="C"),+T67,"")</f>
        <v>100</v>
      </c>
      <c r="S67" s="89" t="str">
        <f>IF(OR(P67="$",N67=1),+T67,"")</f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>T68*N68</f>
        <v>0</v>
      </c>
      <c r="P68" s="9" t="s">
        <v>721</v>
      </c>
      <c r="Q68" s="9">
        <v>9990</v>
      </c>
      <c r="R68" s="89">
        <f>IF(OR(P68="c",P68="C"),+T68,"")</f>
        <v>110</v>
      </c>
      <c r="S68" s="89" t="str">
        <f>IF(OR(P68="$",N68=1),+T68,"")</f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137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>T70*N70</f>
        <v>0</v>
      </c>
      <c r="P70" s="9"/>
      <c r="Q70" s="9"/>
      <c r="R70" s="89" t="str">
        <f>IF(OR(P70="c",P70="C"),+T70,"")</f>
        <v/>
      </c>
      <c r="S70" s="89" t="str">
        <f>IF(OR(P70="$",N70=1),+T70,"")</f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>T78*N78</f>
        <v>0</v>
      </c>
      <c r="P78" s="9"/>
      <c r="Q78" s="9"/>
      <c r="R78" s="89" t="str">
        <f>IF(OR(P78="c",P78="C"),+T78,"")</f>
        <v/>
      </c>
      <c r="S78" s="89" t="str">
        <f>IF(OR(P78="$",N78=1),+T78,"")</f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>T79*N79</f>
        <v>0</v>
      </c>
      <c r="P79" s="9"/>
      <c r="Q79" s="9"/>
      <c r="R79" s="89" t="str">
        <f>IF(OR(P79="c",P79="C"),+T79,"")</f>
        <v/>
      </c>
      <c r="S79" s="89" t="str">
        <f>IF(OR(P79="$",N79=1),+T79,"")</f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>T83*N83</f>
        <v>0</v>
      </c>
      <c r="P83" s="9"/>
      <c r="Q83" s="9"/>
      <c r="R83" s="89" t="str">
        <f>IF(OR(P83="c",P83="C"),+T83,"")</f>
        <v/>
      </c>
      <c r="S83" s="89" t="str">
        <f>IF(OR(P83="$",N83=1),+T83,"")</f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>T86*N86</f>
        <v>0</v>
      </c>
      <c r="P86" s="9"/>
      <c r="Q86" s="9"/>
      <c r="R86" s="89" t="str">
        <f>IF(OR(P86="c",P86="C"),+T86,"")</f>
        <v/>
      </c>
      <c r="S86" s="89" t="str">
        <f>IF(OR(P86="$",N86=1),+T86,"")</f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6" t="s">
        <v>700</v>
      </c>
      <c r="D88" s="6" t="s">
        <v>46</v>
      </c>
      <c r="E88" s="7" t="s">
        <v>701</v>
      </c>
      <c r="F88" s="13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>T89*N89</f>
        <v>0</v>
      </c>
      <c r="P89" s="9"/>
      <c r="Q89" s="9"/>
      <c r="R89" s="89" t="str">
        <f>IF(OR(P89="c",P89="C"),+T89,"")</f>
        <v/>
      </c>
      <c r="S89" s="89" t="str">
        <f>IF(OR(P89="$",N89=1),+T89,"")</f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256</v>
      </c>
      <c r="D91" s="6" t="s">
        <v>41</v>
      </c>
      <c r="E91" s="7" t="s">
        <v>257</v>
      </c>
      <c r="F91" s="138"/>
      <c r="G91" s="87" t="s">
        <v>260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2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>T93*N93</f>
        <v>0</v>
      </c>
      <c r="P93" s="9"/>
      <c r="Q93" s="9"/>
      <c r="R93" s="89" t="str">
        <f>IF(OR(P93="c",P93="C"),+T93,"")</f>
        <v/>
      </c>
      <c r="S93" s="89" t="str">
        <f>IF(OR(P93="$",N93=1),+T93,"")</f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>T105*N105</f>
        <v>0</v>
      </c>
      <c r="P105" s="9"/>
      <c r="Q105" s="9"/>
      <c r="R105" s="89" t="str">
        <f>IF(OR(P105="c",P105="C"),+T105,"")</f>
        <v/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/>
      <c r="C107" s="6" t="s">
        <v>143</v>
      </c>
      <c r="D107" s="6" t="s">
        <v>15</v>
      </c>
      <c r="E107" s="137" t="s">
        <v>165</v>
      </c>
      <c r="F107" s="118">
        <v>7078499317</v>
      </c>
      <c r="G107" s="141" t="s">
        <v>150</v>
      </c>
      <c r="H107" s="8"/>
      <c r="I107" s="9"/>
      <c r="J107" s="9"/>
      <c r="K107" s="9"/>
      <c r="L107" s="9"/>
      <c r="M107" s="9"/>
      <c r="N107" s="9"/>
      <c r="O107" s="88">
        <f>T107*N107</f>
        <v>0</v>
      </c>
      <c r="P107" s="9"/>
      <c r="Q107" s="9"/>
      <c r="R107" s="89" t="str">
        <f>IF(OR(P107="c",P107="C"),+T107,"")</f>
        <v/>
      </c>
      <c r="S107" s="89" t="str">
        <f>IF(OR(P107="$",N107=1),+T107,"")</f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>T113*N113</f>
        <v>0</v>
      </c>
      <c r="P113" s="9"/>
      <c r="Q113" s="9"/>
      <c r="R113" s="89" t="str">
        <f>IF(OR(P113="c",P113="C"),+T113,"")</f>
        <v/>
      </c>
      <c r="S113" s="89" t="str">
        <f>IF(OR(P113="$",N113=1),+T113,"")</f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/>
      <c r="C114" s="6" t="s">
        <v>435</v>
      </c>
      <c r="D114" s="6" t="s">
        <v>489</v>
      </c>
      <c r="E114" s="7" t="s">
        <v>490</v>
      </c>
      <c r="F114" s="13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>T114*N114</f>
        <v>0</v>
      </c>
      <c r="P114" s="9"/>
      <c r="Q114" s="9"/>
      <c r="R114" s="89" t="str">
        <f>IF(OR(P114="c",P114="C"),+T114,"")</f>
        <v/>
      </c>
      <c r="S114" s="89" t="str">
        <f>IF(OR(P114="$",N114=1),+T114,"")</f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>T115*N115</f>
        <v>0</v>
      </c>
      <c r="P115" s="9"/>
      <c r="Q115" s="9"/>
      <c r="R115" s="89" t="str">
        <f>IF(OR(P115="c",P115="C"),+T115,"")</f>
        <v/>
      </c>
      <c r="S115" s="89" t="str">
        <f>IF(OR(P115="$",N115=1),+T115,"")</f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>T117*N117</f>
        <v>0</v>
      </c>
      <c r="P117" s="9"/>
      <c r="Q117" s="9"/>
      <c r="R117" s="89" t="str">
        <f>IF(OR(P117="c",P117="C"),+T117,"")</f>
        <v/>
      </c>
      <c r="S117" s="89" t="str">
        <f>IF(OR(P117="$",N117=1),+T117,"")</f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/>
      <c r="Q119" s="9"/>
      <c r="R119" s="89" t="str">
        <f>IF(OR(P119="c",P119="C"),+T119,"")</f>
        <v/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1" t="s">
        <v>79</v>
      </c>
      <c r="D127" s="135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/>
      <c r="C128" s="6" t="s">
        <v>427</v>
      </c>
      <c r="D128" s="136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>T128*N128</f>
        <v>0</v>
      </c>
      <c r="P128" s="9"/>
      <c r="Q128" s="9"/>
      <c r="R128" s="89" t="str">
        <f>IF(OR(P128="c",P128="C"),+T128,"")</f>
        <v/>
      </c>
      <c r="S128" s="89" t="str">
        <f>IF(OR(P128="$",N128=1),+T128,"")</f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>T129*N129</f>
        <v>0</v>
      </c>
      <c r="P129" s="9"/>
      <c r="Q129" s="9"/>
      <c r="R129" s="89" t="str">
        <f>IF(OR(P129="c",P129="C"),+T129,"")</f>
        <v/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>T132*N132</f>
        <v>0</v>
      </c>
      <c r="P132" s="9"/>
      <c r="Q132" s="9"/>
      <c r="R132" s="89" t="str">
        <f>IF(OR(P132="c",P132="C"),+T132,"")</f>
        <v/>
      </c>
      <c r="S132" s="89" t="str">
        <f>IF(OR(P132="$",N132=1),+T132,"")</f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>T133*N133</f>
        <v>0</v>
      </c>
      <c r="P133" s="9"/>
      <c r="Q133" s="9"/>
      <c r="R133" s="89" t="str">
        <f>IF(OR(P133="c",P133="C"),+T133,"")</f>
        <v/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>T136*N136</f>
        <v>0</v>
      </c>
      <c r="P136" s="9"/>
      <c r="Q136" s="9"/>
      <c r="R136" s="89" t="str">
        <f>IF(OR(P136="c",P136="C"),+T136,"")</f>
        <v/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>T137*N137</f>
        <v>0</v>
      </c>
      <c r="P137" s="9"/>
      <c r="Q137" s="9"/>
      <c r="R137" s="89" t="str">
        <f>IF(OR(P137="c",P137="C"),+T137,"")</f>
        <v/>
      </c>
      <c r="S137" s="89" t="str">
        <f>IF(OR(P137="$",N137=1),+T137,"")</f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269</v>
      </c>
      <c r="D140" s="6" t="s">
        <v>270</v>
      </c>
      <c r="E140" s="7" t="s">
        <v>271</v>
      </c>
      <c r="F140" s="13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>T141*N141</f>
        <v>0</v>
      </c>
      <c r="P141" s="9"/>
      <c r="Q141" s="9"/>
      <c r="R141" s="89" t="str">
        <f>IF(OR(P141="c",P141="C"),+T141,"")</f>
        <v/>
      </c>
      <c r="S141" s="89" t="str">
        <f>IF(OR(P141="$",N141=1),+T141,"")</f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>T145*N145</f>
        <v>0</v>
      </c>
      <c r="P145" s="9"/>
      <c r="Q145" s="9"/>
      <c r="R145" s="89" t="str">
        <f>IF(OR(P145="c",P145="C"),+T145,"")</f>
        <v/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2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>T146*N146</f>
        <v>0</v>
      </c>
      <c r="P146" s="9"/>
      <c r="Q146" s="9"/>
      <c r="R146" s="89" t="str">
        <f>IF(OR(P146="c",P146="C"),+T146,"")</f>
        <v/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472</v>
      </c>
      <c r="D153" s="6" t="s">
        <v>96</v>
      </c>
      <c r="E153" s="7" t="s">
        <v>473</v>
      </c>
      <c r="F153" s="117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>T157*N157</f>
        <v>0</v>
      </c>
      <c r="P157" s="9"/>
      <c r="Q157" s="9"/>
      <c r="R157" s="89" t="str">
        <f>IF(OR(P157="c",P157="C"),+T157,"")</f>
        <v/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41" t="s">
        <v>417</v>
      </c>
      <c r="H160" s="8"/>
      <c r="I160" s="9"/>
      <c r="J160" s="9"/>
      <c r="K160" s="9"/>
      <c r="L160" s="9"/>
      <c r="M160" s="9"/>
      <c r="N160" s="9"/>
      <c r="O160" s="88">
        <f>T160*N160</f>
        <v>0</v>
      </c>
      <c r="P160" s="9"/>
      <c r="Q160" s="9"/>
      <c r="R160" s="89" t="str">
        <f>IF(OR(P160="c",P160="C"),+T160,"")</f>
        <v/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>T163*N163</f>
        <v>0</v>
      </c>
      <c r="P163" s="9"/>
      <c r="Q163" s="9"/>
      <c r="R163" s="89" t="str">
        <f>IF(OR(P163="c",P163="C"),+T163,"")</f>
        <v/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/>
      <c r="C164" s="6" t="s">
        <v>380</v>
      </c>
      <c r="D164" s="6" t="s">
        <v>96</v>
      </c>
      <c r="E164" s="7"/>
      <c r="F164" s="86"/>
      <c r="G164" s="141" t="s">
        <v>381</v>
      </c>
      <c r="H164" s="8"/>
      <c r="I164" s="9"/>
      <c r="J164" s="9"/>
      <c r="K164" s="9"/>
      <c r="L164" s="9"/>
      <c r="M164" s="9"/>
      <c r="N164" s="9"/>
      <c r="O164" s="88">
        <f>T164*N164</f>
        <v>0</v>
      </c>
      <c r="P164" s="9"/>
      <c r="Q164" s="9"/>
      <c r="R164" s="89" t="str">
        <f>IF(OR(P164="c",P164="C"),+T164,"")</f>
        <v/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>T166*N166</f>
        <v>0</v>
      </c>
      <c r="P166" s="9"/>
      <c r="Q166" s="9"/>
      <c r="R166" s="89" t="str">
        <f>IF(OR(P166="c",P166="C"),+T166,"")</f>
        <v/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>T169*N169</f>
        <v>0</v>
      </c>
      <c r="P169" s="9"/>
      <c r="Q169" s="9"/>
      <c r="R169" s="89" t="str">
        <f>IF(OR(P169="c",P169="C"),+T169,"")</f>
        <v/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>T170*N170</f>
        <v>0</v>
      </c>
      <c r="P170" s="9"/>
      <c r="Q170" s="9"/>
      <c r="R170" s="89" t="str">
        <f>IF(OR(P170="c",P170="C"),+T170,"")</f>
        <v/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3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3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3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3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>T178*N178</f>
        <v>0</v>
      </c>
      <c r="P178" s="9"/>
      <c r="Q178" s="9"/>
      <c r="R178" s="89" t="str">
        <f>IF(OR(P178="c",P178="C"),+T178,"")</f>
        <v/>
      </c>
      <c r="S178" s="89" t="str">
        <f>IF(OR(P178="$",N178=1),+T178,"")</f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>T179*N179</f>
        <v>0</v>
      </c>
      <c r="P179" s="9"/>
      <c r="Q179" s="9"/>
      <c r="R179" s="89" t="str">
        <f>IF(OR(P179="c",P179="C"),+T179,"")</f>
        <v/>
      </c>
      <c r="S179" s="89" t="str">
        <f>IF(OR(P179="$",N179=1),+T179,"")</f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/>
      <c r="Q180" s="9"/>
      <c r="R180" s="89" t="str">
        <f>IF(OR(P180="c",P180="C"),+T180,"")</f>
        <v/>
      </c>
      <c r="S180" s="89" t="str">
        <f>IF(OR(P180="$",N180=1),+T180,"")</f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3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3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>T184*N184</f>
        <v>0</v>
      </c>
      <c r="P184" s="9"/>
      <c r="Q184" s="9"/>
      <c r="R184" s="89" t="str">
        <f>IF(OR(P184="c",P184="C"),+T184,"")</f>
        <v/>
      </c>
      <c r="S184" s="89" t="str">
        <f>IF(OR(P184="$",N184=1),+T184,"")</f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3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3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>T187*N187</f>
        <v>0</v>
      </c>
      <c r="P187" s="9"/>
      <c r="Q187" s="9"/>
      <c r="R187" s="89" t="str">
        <f>IF(OR(P187="c",P187="C"),+T187,"")</f>
        <v/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>T188*N188</f>
        <v>0</v>
      </c>
      <c r="P188" s="9"/>
      <c r="Q188" s="9"/>
      <c r="R188" s="89" t="str">
        <f>IF(OR(P188="c",P188="C"),+T188,"")</f>
        <v/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>T192*N192</f>
        <v>0</v>
      </c>
      <c r="P192" s="9"/>
      <c r="Q192" s="9"/>
      <c r="R192" s="89" t="str">
        <f>IF(OR(P192="c",P192="C"),+T192,"")</f>
        <v/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/>
      <c r="Q197" s="9"/>
      <c r="R197" s="89" t="str">
        <f>IF(OR(P197="c",P197="C"),+T197,"")</f>
        <v/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>T204*N204</f>
        <v>0</v>
      </c>
      <c r="P204" s="9"/>
      <c r="Q204" s="9"/>
      <c r="R204" s="89" t="str">
        <f>IF(OR(P204="c",P204="C"),+T204,"")</f>
        <v/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>T205*N205</f>
        <v>0</v>
      </c>
      <c r="P205" s="9"/>
      <c r="Q205" s="9"/>
      <c r="R205" s="89" t="str">
        <f>IF(OR(P205="c",P205="C"),+T205,"")</f>
        <v/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>T210*N210</f>
        <v>0</v>
      </c>
      <c r="P210" s="9"/>
      <c r="Q210" s="9"/>
      <c r="R210" s="89" t="str">
        <f>IF(OR(P210="c",P210="C"),+T210,"")</f>
        <v/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2026-01-26T02:00:50Z</dcterms:modified>
</cp:coreProperties>
</file>